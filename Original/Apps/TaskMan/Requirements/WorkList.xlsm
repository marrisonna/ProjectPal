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charts/chart5.xml" ContentType="application/vnd.openxmlformats-officedocument.drawingml.chart+xml"/>
  <Default Extension="emf" ContentType="image/x-emf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hidePivotFieldList="1" defaultThemeVersion="124226"/>
  <bookViews>
    <workbookView xWindow="-30" yWindow="-105" windowWidth="19170" windowHeight="12270"/>
  </bookViews>
  <sheets>
    <sheet name="WorkList" sheetId="1" r:id="rId1"/>
    <sheet name="TaskPlan" sheetId="3" r:id="rId2"/>
    <sheet name="Projects" sheetId="6" r:id="rId3"/>
    <sheet name="Summary" sheetId="5" r:id="rId4"/>
  </sheets>
  <definedNames>
    <definedName name="_xlnm._FilterDatabase" localSheetId="1" hidden="1">TaskPlan!$A$1:$P$779</definedName>
    <definedName name="_xlnm._FilterDatabase" localSheetId="0" hidden="1">WorkList!$A$1:$M$998</definedName>
  </definedNames>
  <calcPr calcId="125725" calcMode="manual" calcCompleted="0" calcOnSave="0"/>
  <pivotCaches>
    <pivotCache cacheId="0" r:id="rId5"/>
    <pivotCache cacheId="1" r:id="rId6"/>
    <pivotCache cacheId="2" r:id="rId7"/>
  </pivotCaches>
</workbook>
</file>

<file path=xl/calcChain.xml><?xml version="1.0" encoding="utf-8"?>
<calcChain xmlns="http://schemas.openxmlformats.org/spreadsheetml/2006/main">
  <c r="P524" i="3"/>
  <c r="N524"/>
  <c r="O524" s="1"/>
  <c r="K524"/>
  <c r="J524"/>
  <c r="I524"/>
  <c r="H524"/>
  <c r="G524"/>
  <c r="F524"/>
  <c r="N639" i="1"/>
  <c r="L639"/>
  <c r="K639"/>
  <c r="J639"/>
  <c r="I639"/>
  <c r="H639"/>
  <c r="P716" i="3"/>
  <c r="N716"/>
  <c r="O716" s="1"/>
  <c r="P715"/>
  <c r="N715"/>
  <c r="O715" s="1"/>
  <c r="K716"/>
  <c r="J716"/>
  <c r="I716"/>
  <c r="H716"/>
  <c r="G716"/>
  <c r="F716"/>
  <c r="K715"/>
  <c r="J715"/>
  <c r="I715"/>
  <c r="H715"/>
  <c r="G715"/>
  <c r="F715"/>
  <c r="N881" i="1"/>
  <c r="L881"/>
  <c r="K881"/>
  <c r="J881"/>
  <c r="I881"/>
  <c r="H881"/>
  <c r="N880"/>
  <c r="L880"/>
  <c r="K880"/>
  <c r="J880"/>
  <c r="I880"/>
  <c r="H880"/>
  <c r="P135" i="3"/>
  <c r="K135"/>
  <c r="J135"/>
  <c r="I135"/>
  <c r="H135"/>
  <c r="G135"/>
  <c r="F135"/>
  <c r="N135"/>
  <c r="O135" s="1"/>
  <c r="L155" i="1"/>
  <c r="K155"/>
  <c r="J155"/>
  <c r="I155"/>
  <c r="H155"/>
  <c r="P397" i="3"/>
  <c r="N397"/>
  <c r="O397" s="1"/>
  <c r="K397"/>
  <c r="J397"/>
  <c r="I397"/>
  <c r="H397"/>
  <c r="G397"/>
  <c r="F397"/>
  <c r="M480" i="1"/>
  <c r="L480"/>
  <c r="K480"/>
  <c r="J480"/>
  <c r="I480"/>
  <c r="H480"/>
  <c r="H479"/>
  <c r="I479"/>
  <c r="J479"/>
  <c r="K479"/>
  <c r="L479"/>
  <c r="M479"/>
  <c r="P405" i="3"/>
  <c r="N405"/>
  <c r="O405" s="1"/>
  <c r="K405"/>
  <c r="J405"/>
  <c r="I405"/>
  <c r="H405"/>
  <c r="G405"/>
  <c r="F405"/>
  <c r="M490" i="1"/>
  <c r="L490"/>
  <c r="K490"/>
  <c r="J490"/>
  <c r="I490"/>
  <c r="H490"/>
  <c r="N735" i="3"/>
  <c r="O735" s="1"/>
  <c r="K735"/>
  <c r="J735"/>
  <c r="I735"/>
  <c r="H735"/>
  <c r="G735"/>
  <c r="F735"/>
  <c r="P85"/>
  <c r="N85"/>
  <c r="O85" s="1"/>
  <c r="K85"/>
  <c r="J85"/>
  <c r="I85"/>
  <c r="H85"/>
  <c r="G85"/>
  <c r="F85"/>
  <c r="N91" i="1"/>
  <c r="L91"/>
  <c r="K91"/>
  <c r="J91"/>
  <c r="I91"/>
  <c r="H91"/>
  <c r="P726" i="3"/>
  <c r="N726"/>
  <c r="O726" s="1"/>
  <c r="K726"/>
  <c r="J726"/>
  <c r="I726"/>
  <c r="H726"/>
  <c r="G726"/>
  <c r="F726"/>
  <c r="N896" i="1"/>
  <c r="M896"/>
  <c r="L896"/>
  <c r="K896"/>
  <c r="J896"/>
  <c r="I896"/>
  <c r="H896"/>
  <c r="P341" i="3"/>
  <c r="N341"/>
  <c r="O341" s="1"/>
  <c r="K341"/>
  <c r="J341"/>
  <c r="I341"/>
  <c r="H341"/>
  <c r="G341"/>
  <c r="F341"/>
  <c r="N410" i="1"/>
  <c r="M410"/>
  <c r="L410"/>
  <c r="K410"/>
  <c r="J410"/>
  <c r="I410"/>
  <c r="H410"/>
  <c r="P772" i="3"/>
  <c r="N772"/>
  <c r="O772" s="1"/>
  <c r="K772"/>
  <c r="J772"/>
  <c r="I772"/>
  <c r="H772"/>
  <c r="G772"/>
  <c r="F772"/>
  <c r="N972" i="1"/>
  <c r="M972"/>
  <c r="L972"/>
  <c r="K972"/>
  <c r="J972"/>
  <c r="I972"/>
  <c r="H972"/>
  <c r="P84" i="3"/>
  <c r="N84"/>
  <c r="O84" s="1"/>
  <c r="K84"/>
  <c r="J84"/>
  <c r="I84"/>
  <c r="H84"/>
  <c r="G84"/>
  <c r="F84"/>
  <c r="N90" i="1"/>
  <c r="L90"/>
  <c r="K90"/>
  <c r="J90"/>
  <c r="I90"/>
  <c r="H90"/>
  <c r="P674" i="3"/>
  <c r="N674"/>
  <c r="O674" s="1"/>
  <c r="K674"/>
  <c r="J674"/>
  <c r="I674"/>
  <c r="H674"/>
  <c r="G674"/>
  <c r="F674"/>
  <c r="N833" i="1"/>
  <c r="M833"/>
  <c r="L833"/>
  <c r="K833"/>
  <c r="J833"/>
  <c r="I833"/>
  <c r="H833"/>
  <c r="N832"/>
  <c r="M832"/>
  <c r="L832"/>
  <c r="K832"/>
  <c r="J832"/>
  <c r="I832"/>
  <c r="H832"/>
  <c r="K189" i="3"/>
  <c r="J189"/>
  <c r="I189"/>
  <c r="H189"/>
  <c r="G189"/>
  <c r="F189"/>
  <c r="N189"/>
  <c r="O189" s="1"/>
  <c r="N251" i="1"/>
  <c r="L251"/>
  <c r="K251"/>
  <c r="J251"/>
  <c r="I251"/>
  <c r="H251"/>
  <c r="P523" i="3"/>
  <c r="K523"/>
  <c r="J523"/>
  <c r="I523"/>
  <c r="H523"/>
  <c r="G523"/>
  <c r="F523"/>
  <c r="N523"/>
  <c r="O523" s="1"/>
  <c r="N638" i="1"/>
  <c r="L638"/>
  <c r="K638"/>
  <c r="J638"/>
  <c r="I638"/>
  <c r="H638"/>
  <c r="P522" i="3"/>
  <c r="K522"/>
  <c r="J522"/>
  <c r="I522"/>
  <c r="H522"/>
  <c r="G522"/>
  <c r="F522"/>
  <c r="N522"/>
  <c r="O522" s="1"/>
  <c r="N637" i="1"/>
  <c r="L637"/>
  <c r="K637"/>
  <c r="J637"/>
  <c r="I637"/>
  <c r="H637"/>
  <c r="N404" i="3"/>
  <c r="O404" s="1"/>
  <c r="K404"/>
  <c r="J404"/>
  <c r="I404"/>
  <c r="H404"/>
  <c r="G404"/>
  <c r="F404"/>
  <c r="M489" i="1"/>
  <c r="L489"/>
  <c r="K489"/>
  <c r="J489"/>
  <c r="I489"/>
  <c r="H489"/>
  <c r="P83" i="3"/>
  <c r="N83"/>
  <c r="O83" s="1"/>
  <c r="K83"/>
  <c r="J83"/>
  <c r="I83"/>
  <c r="H83"/>
  <c r="G83"/>
  <c r="F83"/>
  <c r="L88" i="1"/>
  <c r="K88"/>
  <c r="J88"/>
  <c r="I88"/>
  <c r="H88"/>
  <c r="M909"/>
  <c r="L909"/>
  <c r="K909"/>
  <c r="J909"/>
  <c r="I909"/>
  <c r="H909"/>
  <c r="P734" i="3"/>
  <c r="N734"/>
  <c r="O734" s="1"/>
  <c r="P765"/>
  <c r="N765"/>
  <c r="O765" s="1"/>
  <c r="K734"/>
  <c r="J734"/>
  <c r="I734"/>
  <c r="H734"/>
  <c r="G734"/>
  <c r="F734"/>
  <c r="M908" i="1"/>
  <c r="L908"/>
  <c r="K908"/>
  <c r="J908"/>
  <c r="I908"/>
  <c r="H908"/>
  <c r="M907"/>
  <c r="L907"/>
  <c r="K907"/>
  <c r="J907"/>
  <c r="I907"/>
  <c r="H907"/>
  <c r="P764" i="3"/>
  <c r="N764"/>
  <c r="O764" s="1"/>
  <c r="K765"/>
  <c r="J765"/>
  <c r="I765"/>
  <c r="H765"/>
  <c r="G765"/>
  <c r="F765"/>
  <c r="N951" i="1"/>
  <c r="M951"/>
  <c r="L951"/>
  <c r="K951"/>
  <c r="J951"/>
  <c r="I951"/>
  <c r="H951"/>
  <c r="P307" i="3"/>
  <c r="K307"/>
  <c r="J307"/>
  <c r="I307"/>
  <c r="H307"/>
  <c r="G307"/>
  <c r="F307"/>
  <c r="N307"/>
  <c r="O307" s="1"/>
  <c r="N404" i="1"/>
  <c r="M404"/>
  <c r="L404"/>
  <c r="K404"/>
  <c r="J404"/>
  <c r="I404"/>
  <c r="H404"/>
  <c r="N403"/>
  <c r="M403"/>
  <c r="L403"/>
  <c r="K403"/>
  <c r="J403"/>
  <c r="I403"/>
  <c r="H403"/>
  <c r="H402"/>
  <c r="I402"/>
  <c r="J402"/>
  <c r="K402"/>
  <c r="L402"/>
  <c r="M402"/>
  <c r="N402"/>
  <c r="P779" i="3"/>
  <c r="N779"/>
  <c r="O779" s="1"/>
  <c r="K779"/>
  <c r="J779"/>
  <c r="I779"/>
  <c r="H779"/>
  <c r="G779"/>
  <c r="F779"/>
  <c r="N984" i="1"/>
  <c r="M984"/>
  <c r="L984"/>
  <c r="K984"/>
  <c r="J984"/>
  <c r="I984"/>
  <c r="H984"/>
  <c r="P545" i="3"/>
  <c r="N545"/>
  <c r="O545" s="1"/>
  <c r="K545"/>
  <c r="J545"/>
  <c r="I545"/>
  <c r="H545"/>
  <c r="G545"/>
  <c r="F545"/>
  <c r="N658" i="1"/>
  <c r="L658"/>
  <c r="K658"/>
  <c r="J658"/>
  <c r="I658"/>
  <c r="H658"/>
  <c r="P99" i="3"/>
  <c r="P396"/>
  <c r="K99"/>
  <c r="J99"/>
  <c r="I99"/>
  <c r="H99"/>
  <c r="G99"/>
  <c r="F99"/>
  <c r="N99"/>
  <c r="O99" s="1"/>
  <c r="N111" i="1"/>
  <c r="M111"/>
  <c r="L111"/>
  <c r="K111"/>
  <c r="J111"/>
  <c r="I111"/>
  <c r="H111"/>
  <c r="N396" i="3"/>
  <c r="O396" s="1"/>
  <c r="K396"/>
  <c r="J396"/>
  <c r="I396"/>
  <c r="H396"/>
  <c r="G396"/>
  <c r="F396"/>
  <c r="P66"/>
  <c r="P65"/>
  <c r="N66"/>
  <c r="O66" s="1"/>
  <c r="K66"/>
  <c r="J66"/>
  <c r="I66"/>
  <c r="H66"/>
  <c r="G66"/>
  <c r="F66"/>
  <c r="L69" i="1"/>
  <c r="K69"/>
  <c r="J69"/>
  <c r="I69"/>
  <c r="H69"/>
  <c r="K65" i="3"/>
  <c r="J65"/>
  <c r="I65"/>
  <c r="H65"/>
  <c r="G65"/>
  <c r="F65"/>
  <c r="N65"/>
  <c r="O65" s="1"/>
  <c r="N68" i="1"/>
  <c r="L68"/>
  <c r="K68"/>
  <c r="J68"/>
  <c r="I68"/>
  <c r="H68"/>
  <c r="P188" i="3" l="1"/>
  <c r="N188"/>
  <c r="O188" s="1"/>
  <c r="K188"/>
  <c r="J188"/>
  <c r="I188"/>
  <c r="H188"/>
  <c r="G188"/>
  <c r="F188"/>
  <c r="N250" i="1"/>
  <c r="L250"/>
  <c r="K250"/>
  <c r="J250"/>
  <c r="I250"/>
  <c r="H250"/>
  <c r="K308" i="3"/>
  <c r="J308"/>
  <c r="I308"/>
  <c r="H308"/>
  <c r="G308"/>
  <c r="F308"/>
  <c r="K290"/>
  <c r="J290"/>
  <c r="I290"/>
  <c r="H290"/>
  <c r="G290"/>
  <c r="F290"/>
  <c r="K291"/>
  <c r="J291"/>
  <c r="I291"/>
  <c r="H291"/>
  <c r="G291"/>
  <c r="F291"/>
  <c r="K245"/>
  <c r="J245"/>
  <c r="I245"/>
  <c r="H245"/>
  <c r="G245"/>
  <c r="F245"/>
  <c r="K244"/>
  <c r="J244"/>
  <c r="I244"/>
  <c r="H244"/>
  <c r="G244"/>
  <c r="F244"/>
  <c r="K128"/>
  <c r="J128"/>
  <c r="I128"/>
  <c r="H128"/>
  <c r="G128"/>
  <c r="F128"/>
  <c r="K228"/>
  <c r="J228"/>
  <c r="I228"/>
  <c r="H228"/>
  <c r="G228"/>
  <c r="F228"/>
  <c r="K292"/>
  <c r="J292"/>
  <c r="I292"/>
  <c r="H292"/>
  <c r="G292"/>
  <c r="F292"/>
  <c r="K381"/>
  <c r="J381"/>
  <c r="I381"/>
  <c r="H381"/>
  <c r="G381"/>
  <c r="F381"/>
  <c r="P393"/>
  <c r="N393"/>
  <c r="O393" s="1"/>
  <c r="K393"/>
  <c r="J393"/>
  <c r="I393"/>
  <c r="H393"/>
  <c r="G393"/>
  <c r="F393"/>
  <c r="M476" i="1"/>
  <c r="L476"/>
  <c r="K476"/>
  <c r="J476"/>
  <c r="I476"/>
  <c r="H476"/>
  <c r="P392" i="3"/>
  <c r="N392"/>
  <c r="O392" s="1"/>
  <c r="K392"/>
  <c r="J392"/>
  <c r="I392"/>
  <c r="H392"/>
  <c r="G392"/>
  <c r="F392"/>
  <c r="M475" i="1"/>
  <c r="L475"/>
  <c r="K475"/>
  <c r="J475"/>
  <c r="I475"/>
  <c r="H475"/>
  <c r="P373" i="3"/>
  <c r="N373"/>
  <c r="O373" s="1"/>
  <c r="K373"/>
  <c r="J373"/>
  <c r="I373"/>
  <c r="H373"/>
  <c r="G373"/>
  <c r="F373"/>
  <c r="N451" i="1"/>
  <c r="L451"/>
  <c r="K451"/>
  <c r="J451"/>
  <c r="I451"/>
  <c r="H451"/>
  <c r="P134" i="3"/>
  <c r="N134"/>
  <c r="O134" s="1"/>
  <c r="P782"/>
  <c r="N782"/>
  <c r="O782" s="1"/>
  <c r="P781"/>
  <c r="N781"/>
  <c r="O781" s="1"/>
  <c r="P780"/>
  <c r="N780"/>
  <c r="O780" s="1"/>
  <c r="P778"/>
  <c r="N778"/>
  <c r="O778" s="1"/>
  <c r="K134"/>
  <c r="J134"/>
  <c r="I134"/>
  <c r="H134"/>
  <c r="G134"/>
  <c r="F134"/>
  <c r="L154" i="1"/>
  <c r="K154"/>
  <c r="J154"/>
  <c r="I154"/>
  <c r="H154"/>
  <c r="P187" i="3"/>
  <c r="N187"/>
  <c r="O187" s="1"/>
  <c r="K187"/>
  <c r="J187"/>
  <c r="I187"/>
  <c r="H187"/>
  <c r="G187"/>
  <c r="F187"/>
  <c r="N249" i="1"/>
  <c r="L249"/>
  <c r="K249"/>
  <c r="J249"/>
  <c r="I249"/>
  <c r="H249"/>
  <c r="P440" i="3"/>
  <c r="N440"/>
  <c r="O440" s="1"/>
  <c r="K440"/>
  <c r="J440"/>
  <c r="I440"/>
  <c r="H440"/>
  <c r="G440"/>
  <c r="F440"/>
  <c r="N532" i="1"/>
  <c r="L532"/>
  <c r="K532"/>
  <c r="J532"/>
  <c r="I532"/>
  <c r="H532"/>
  <c r="P566" i="3"/>
  <c r="N566"/>
  <c r="O566" s="1"/>
  <c r="K566"/>
  <c r="J566"/>
  <c r="I566"/>
  <c r="H566"/>
  <c r="G566"/>
  <c r="F566"/>
  <c r="N692" i="1"/>
  <c r="L692"/>
  <c r="K692"/>
  <c r="J692"/>
  <c r="I692"/>
  <c r="H692"/>
  <c r="P298" i="3"/>
  <c r="N298"/>
  <c r="O298" s="1"/>
  <c r="P64"/>
  <c r="N64"/>
  <c r="O64" s="1"/>
  <c r="K298"/>
  <c r="J298"/>
  <c r="I298"/>
  <c r="H298"/>
  <c r="G298"/>
  <c r="F298"/>
  <c r="N391" i="1"/>
  <c r="M391"/>
  <c r="L391"/>
  <c r="K391"/>
  <c r="J391"/>
  <c r="I391"/>
  <c r="H391"/>
  <c r="K64" i="3"/>
  <c r="J64"/>
  <c r="I64"/>
  <c r="H64"/>
  <c r="G64"/>
  <c r="F64"/>
  <c r="N67" i="1"/>
  <c r="L67"/>
  <c r="K67"/>
  <c r="J67"/>
  <c r="I67"/>
  <c r="H67"/>
  <c r="P725" i="3"/>
  <c r="N725"/>
  <c r="O725" s="1"/>
  <c r="K725"/>
  <c r="J725"/>
  <c r="I725"/>
  <c r="H725"/>
  <c r="G725"/>
  <c r="F725"/>
  <c r="N895" i="1"/>
  <c r="M895"/>
  <c r="L895"/>
  <c r="K895"/>
  <c r="J895"/>
  <c r="I895"/>
  <c r="H895"/>
  <c r="N337" i="3"/>
  <c r="O337" s="1"/>
  <c r="K337"/>
  <c r="J337"/>
  <c r="I337"/>
  <c r="H337"/>
  <c r="G337"/>
  <c r="F337"/>
  <c r="N389" i="1"/>
  <c r="N388"/>
  <c r="N387"/>
  <c r="N386"/>
  <c r="N385"/>
  <c r="N384"/>
  <c r="N383"/>
  <c r="N382"/>
  <c r="N381"/>
  <c r="N380"/>
  <c r="N379"/>
  <c r="N378"/>
  <c r="N377"/>
  <c r="N376"/>
  <c r="N375"/>
  <c r="N374"/>
  <c r="N373"/>
  <c r="M384"/>
  <c r="L384"/>
  <c r="K384"/>
  <c r="J384"/>
  <c r="I384"/>
  <c r="H384"/>
  <c r="P263" i="3"/>
  <c r="N263"/>
  <c r="O263" s="1"/>
  <c r="K263"/>
  <c r="J263"/>
  <c r="I263"/>
  <c r="H263"/>
  <c r="G263"/>
  <c r="F263"/>
  <c r="N315" i="1"/>
  <c r="M315"/>
  <c r="L315"/>
  <c r="K315"/>
  <c r="J315"/>
  <c r="I315"/>
  <c r="H315"/>
  <c r="P455" i="3"/>
  <c r="N455"/>
  <c r="O455" s="1"/>
  <c r="P395"/>
  <c r="N395"/>
  <c r="O395" s="1"/>
  <c r="K455"/>
  <c r="J455"/>
  <c r="I455"/>
  <c r="H455"/>
  <c r="G455"/>
  <c r="F455"/>
  <c r="N552" i="1"/>
  <c r="L552"/>
  <c r="K552"/>
  <c r="J552"/>
  <c r="I552"/>
  <c r="H552"/>
  <c r="N364" i="3"/>
  <c r="O364" s="1"/>
  <c r="P364"/>
  <c r="N365"/>
  <c r="O365" s="1"/>
  <c r="P365"/>
  <c r="K395"/>
  <c r="J395"/>
  <c r="I395"/>
  <c r="H395"/>
  <c r="G395"/>
  <c r="F395"/>
  <c r="M478" i="1"/>
  <c r="L478"/>
  <c r="K478"/>
  <c r="J478"/>
  <c r="I478"/>
  <c r="H478"/>
  <c r="K365" i="3"/>
  <c r="J365"/>
  <c r="I365"/>
  <c r="H365"/>
  <c r="G365"/>
  <c r="F365"/>
  <c r="K364"/>
  <c r="J364"/>
  <c r="I364"/>
  <c r="H364"/>
  <c r="G364"/>
  <c r="F364"/>
  <c r="N439" i="1"/>
  <c r="L439"/>
  <c r="K439"/>
  <c r="J439"/>
  <c r="I439"/>
  <c r="H439"/>
  <c r="N438"/>
  <c r="L438"/>
  <c r="K438"/>
  <c r="J438"/>
  <c r="I438"/>
  <c r="H438"/>
  <c r="P653" i="3"/>
  <c r="N653"/>
  <c r="O653" s="1"/>
  <c r="K653"/>
  <c r="J653"/>
  <c r="I653"/>
  <c r="H653"/>
  <c r="G653"/>
  <c r="F653"/>
  <c r="J802" i="1"/>
  <c r="I802"/>
  <c r="H802"/>
  <c r="P69" i="3"/>
  <c r="N69"/>
  <c r="O69" s="1"/>
  <c r="K778"/>
  <c r="J778"/>
  <c r="I778"/>
  <c r="H778"/>
  <c r="G778"/>
  <c r="F778"/>
  <c r="N983" i="1"/>
  <c r="M983"/>
  <c r="L983"/>
  <c r="K983"/>
  <c r="J983"/>
  <c r="I983"/>
  <c r="H983"/>
  <c r="G251" i="6"/>
  <c r="F251"/>
  <c r="E251"/>
  <c r="D251"/>
  <c r="C251"/>
  <c r="P777" i="3"/>
  <c r="N777"/>
  <c r="O777" s="1"/>
  <c r="K777"/>
  <c r="J777"/>
  <c r="I777"/>
  <c r="H777"/>
  <c r="G777"/>
  <c r="F777"/>
  <c r="N982" i="1"/>
  <c r="M982"/>
  <c r="L982"/>
  <c r="K982"/>
  <c r="J982"/>
  <c r="I982"/>
  <c r="H982"/>
  <c r="P714" i="3"/>
  <c r="N714"/>
  <c r="O714" s="1"/>
  <c r="K714"/>
  <c r="J714"/>
  <c r="I714"/>
  <c r="H714"/>
  <c r="G714"/>
  <c r="F714"/>
  <c r="N879" i="1"/>
  <c r="L879"/>
  <c r="K879"/>
  <c r="J879"/>
  <c r="I879"/>
  <c r="H879"/>
  <c r="G142" i="6" l="1"/>
  <c r="F142"/>
  <c r="E142"/>
  <c r="D142"/>
  <c r="C142"/>
  <c r="G141"/>
  <c r="F141"/>
  <c r="E141"/>
  <c r="D141"/>
  <c r="C141"/>
  <c r="P701" i="3"/>
  <c r="N701"/>
  <c r="O701" s="1"/>
  <c r="K701"/>
  <c r="J701"/>
  <c r="I701"/>
  <c r="H701"/>
  <c r="G701"/>
  <c r="F701"/>
  <c r="N872" i="1"/>
  <c r="L872"/>
  <c r="K872"/>
  <c r="J872"/>
  <c r="I872"/>
  <c r="H872"/>
  <c r="N566"/>
  <c r="M566"/>
  <c r="L566"/>
  <c r="K566"/>
  <c r="J566"/>
  <c r="I566"/>
  <c r="H566"/>
  <c r="N66"/>
  <c r="L66"/>
  <c r="K66"/>
  <c r="J66"/>
  <c r="I66"/>
  <c r="H66"/>
  <c r="N65"/>
  <c r="L65"/>
  <c r="K65"/>
  <c r="J65"/>
  <c r="I65"/>
  <c r="H65"/>
  <c r="N64"/>
  <c r="L64"/>
  <c r="K64"/>
  <c r="J64"/>
  <c r="I64"/>
  <c r="H64"/>
  <c r="N248"/>
  <c r="L248"/>
  <c r="K248"/>
  <c r="J248"/>
  <c r="I248"/>
  <c r="H248"/>
  <c r="P186" i="3"/>
  <c r="N186"/>
  <c r="O186" s="1"/>
  <c r="P458"/>
  <c r="N458"/>
  <c r="O458" s="1"/>
  <c r="P63"/>
  <c r="N63"/>
  <c r="O63" s="1"/>
  <c r="P62"/>
  <c r="N62"/>
  <c r="O62" s="1"/>
  <c r="P61"/>
  <c r="N61"/>
  <c r="O61" s="1"/>
  <c r="K186"/>
  <c r="J186"/>
  <c r="I186"/>
  <c r="H186"/>
  <c r="G186"/>
  <c r="F186"/>
  <c r="K458"/>
  <c r="J458"/>
  <c r="I458"/>
  <c r="H458"/>
  <c r="G458"/>
  <c r="F458"/>
  <c r="K63"/>
  <c r="J63"/>
  <c r="I63"/>
  <c r="H63"/>
  <c r="G63"/>
  <c r="F63"/>
  <c r="K62"/>
  <c r="J62"/>
  <c r="I62"/>
  <c r="H62"/>
  <c r="G62"/>
  <c r="F62"/>
  <c r="K61"/>
  <c r="J61"/>
  <c r="I61"/>
  <c r="H61"/>
  <c r="G61"/>
  <c r="F61"/>
  <c r="G268" i="6"/>
  <c r="F268"/>
  <c r="E268"/>
  <c r="D268"/>
  <c r="C268"/>
  <c r="G267"/>
  <c r="F267"/>
  <c r="E267"/>
  <c r="D267"/>
  <c r="C267"/>
  <c r="G266"/>
  <c r="F266"/>
  <c r="E266"/>
  <c r="D266"/>
  <c r="C266"/>
  <c r="G265"/>
  <c r="F265"/>
  <c r="E265"/>
  <c r="D265"/>
  <c r="C265"/>
  <c r="G264"/>
  <c r="F264"/>
  <c r="E264"/>
  <c r="D264"/>
  <c r="C264"/>
  <c r="P754" i="3"/>
  <c r="N754"/>
  <c r="O754" s="1"/>
  <c r="K754"/>
  <c r="J754"/>
  <c r="I754"/>
  <c r="H754"/>
  <c r="G754"/>
  <c r="F754"/>
  <c r="P753"/>
  <c r="N753"/>
  <c r="O753" s="1"/>
  <c r="K753"/>
  <c r="J753"/>
  <c r="I753"/>
  <c r="H753"/>
  <c r="G753"/>
  <c r="F753"/>
  <c r="P752"/>
  <c r="N752"/>
  <c r="O752" s="1"/>
  <c r="K752"/>
  <c r="J752"/>
  <c r="I752"/>
  <c r="H752"/>
  <c r="G752"/>
  <c r="F752"/>
  <c r="P751"/>
  <c r="N751"/>
  <c r="O751" s="1"/>
  <c r="K751"/>
  <c r="J751"/>
  <c r="I751"/>
  <c r="H751"/>
  <c r="G751"/>
  <c r="F751"/>
  <c r="N943" i="1"/>
  <c r="M943"/>
  <c r="N942"/>
  <c r="M942"/>
  <c r="N941"/>
  <c r="M941"/>
  <c r="N940"/>
  <c r="M940"/>
  <c r="N939"/>
  <c r="M939"/>
  <c r="N938"/>
  <c r="M938"/>
  <c r="N937"/>
  <c r="M937"/>
  <c r="N936"/>
  <c r="M936"/>
  <c r="N935"/>
  <c r="M935"/>
  <c r="N934"/>
  <c r="M934"/>
  <c r="N933"/>
  <c r="M933"/>
  <c r="N932"/>
  <c r="M932"/>
  <c r="N931"/>
  <c r="M931"/>
  <c r="L936"/>
  <c r="K936"/>
  <c r="J936"/>
  <c r="I936"/>
  <c r="H936"/>
  <c r="L935"/>
  <c r="K935"/>
  <c r="J935"/>
  <c r="I935"/>
  <c r="H935"/>
  <c r="L934"/>
  <c r="K934"/>
  <c r="J934"/>
  <c r="I934"/>
  <c r="H934"/>
  <c r="L933"/>
  <c r="K933"/>
  <c r="J933"/>
  <c r="I933"/>
  <c r="H933"/>
  <c r="P760" i="3"/>
  <c r="N760"/>
  <c r="O760" s="1"/>
  <c r="P759"/>
  <c r="N759"/>
  <c r="O759" s="1"/>
  <c r="P758"/>
  <c r="N758"/>
  <c r="O758" s="1"/>
  <c r="P757"/>
  <c r="N757"/>
  <c r="O757" s="1"/>
  <c r="P756"/>
  <c r="N756"/>
  <c r="O756" s="1"/>
  <c r="P755"/>
  <c r="N755"/>
  <c r="O755" s="1"/>
  <c r="K760"/>
  <c r="J760"/>
  <c r="I760"/>
  <c r="H760"/>
  <c r="G760"/>
  <c r="F760"/>
  <c r="K759"/>
  <c r="J759"/>
  <c r="I759"/>
  <c r="H759"/>
  <c r="G759"/>
  <c r="F759"/>
  <c r="K758"/>
  <c r="J758"/>
  <c r="I758"/>
  <c r="H758"/>
  <c r="G758"/>
  <c r="F758"/>
  <c r="K757"/>
  <c r="J757"/>
  <c r="I757"/>
  <c r="H757"/>
  <c r="G757"/>
  <c r="F757"/>
  <c r="K756"/>
  <c r="J756"/>
  <c r="I756"/>
  <c r="H756"/>
  <c r="G756"/>
  <c r="F756"/>
  <c r="K755"/>
  <c r="J755"/>
  <c r="I755"/>
  <c r="H755"/>
  <c r="G755"/>
  <c r="F755"/>
  <c r="L943" i="1"/>
  <c r="K943"/>
  <c r="J943"/>
  <c r="I943"/>
  <c r="H943"/>
  <c r="L942"/>
  <c r="K942"/>
  <c r="J942"/>
  <c r="I942"/>
  <c r="H942"/>
  <c r="L941"/>
  <c r="K941"/>
  <c r="J941"/>
  <c r="I941"/>
  <c r="H941"/>
  <c r="L940"/>
  <c r="K940"/>
  <c r="J940"/>
  <c r="I940"/>
  <c r="H940"/>
  <c r="L939"/>
  <c r="K939"/>
  <c r="J939"/>
  <c r="I939"/>
  <c r="H939"/>
  <c r="L938"/>
  <c r="K938"/>
  <c r="J938"/>
  <c r="I938"/>
  <c r="H938"/>
  <c r="G538" i="3"/>
  <c r="K764"/>
  <c r="J764"/>
  <c r="I764"/>
  <c r="H764"/>
  <c r="G764"/>
  <c r="F764"/>
  <c r="N950" i="1"/>
  <c r="M950"/>
  <c r="L950"/>
  <c r="K950"/>
  <c r="J950"/>
  <c r="I950"/>
  <c r="H950"/>
  <c r="P271" i="3"/>
  <c r="N271"/>
  <c r="O271" s="1"/>
  <c r="K271"/>
  <c r="J271"/>
  <c r="I271"/>
  <c r="H271"/>
  <c r="G271"/>
  <c r="F271"/>
  <c r="N314" i="1"/>
  <c r="M314"/>
  <c r="L314"/>
  <c r="K314"/>
  <c r="J314"/>
  <c r="I314"/>
  <c r="H314"/>
  <c r="P73" i="3"/>
  <c r="N73"/>
  <c r="O73" s="1"/>
  <c r="P527"/>
  <c r="N527"/>
  <c r="O527" s="1"/>
  <c r="P88"/>
  <c r="N88"/>
  <c r="O88" s="1"/>
  <c r="P492"/>
  <c r="N492"/>
  <c r="O492" s="1"/>
  <c r="K73"/>
  <c r="J73"/>
  <c r="I73"/>
  <c r="H73"/>
  <c r="G73"/>
  <c r="F73"/>
  <c r="N85" i="1"/>
  <c r="L85"/>
  <c r="K85"/>
  <c r="J85"/>
  <c r="I85"/>
  <c r="H85"/>
  <c r="N353" i="3"/>
  <c r="O353" s="1"/>
  <c r="N385"/>
  <c r="O385" s="1"/>
  <c r="N469"/>
  <c r="O469" s="1"/>
  <c r="N345"/>
  <c r="O345" s="1"/>
  <c r="N344"/>
  <c r="O344" s="1"/>
  <c r="N312"/>
  <c r="O312" s="1"/>
  <c r="N311"/>
  <c r="O311" s="1"/>
  <c r="N153"/>
  <c r="O153" s="1"/>
  <c r="N315"/>
  <c r="O315" s="1"/>
  <c r="N205"/>
  <c r="O205" s="1"/>
  <c r="N204"/>
  <c r="O204" s="1"/>
  <c r="N411"/>
  <c r="O411" s="1"/>
  <c r="K385"/>
  <c r="J385"/>
  <c r="I385"/>
  <c r="H385"/>
  <c r="G385"/>
  <c r="F385"/>
  <c r="M466" i="1"/>
  <c r="L466"/>
  <c r="K466"/>
  <c r="J466"/>
  <c r="I466"/>
  <c r="H466"/>
  <c r="P394" i="3"/>
  <c r="N394"/>
  <c r="O394" s="1"/>
  <c r="K394"/>
  <c r="J394"/>
  <c r="I394"/>
  <c r="H394"/>
  <c r="G394"/>
  <c r="F394"/>
  <c r="M477" i="1"/>
  <c r="L477"/>
  <c r="K477"/>
  <c r="J477"/>
  <c r="I477"/>
  <c r="H477"/>
  <c r="N384" i="3"/>
  <c r="O384" s="1"/>
  <c r="K384"/>
  <c r="J384"/>
  <c r="I384"/>
  <c r="H384"/>
  <c r="G384"/>
  <c r="F384"/>
  <c r="M465" i="1"/>
  <c r="L465"/>
  <c r="K465"/>
  <c r="J465"/>
  <c r="I465"/>
  <c r="H465"/>
  <c r="P700" i="3"/>
  <c r="N700"/>
  <c r="O700" s="1"/>
  <c r="K700"/>
  <c r="J700"/>
  <c r="I700"/>
  <c r="H700"/>
  <c r="G700"/>
  <c r="F700"/>
  <c r="N871" i="1"/>
  <c r="L871"/>
  <c r="K871"/>
  <c r="J871"/>
  <c r="I871"/>
  <c r="H871"/>
  <c r="N391" i="3"/>
  <c r="O391" s="1"/>
  <c r="K391"/>
  <c r="J391"/>
  <c r="I391"/>
  <c r="H391"/>
  <c r="G391"/>
  <c r="F391"/>
  <c r="P47"/>
  <c r="N47"/>
  <c r="O47" s="1"/>
  <c r="P713"/>
  <c r="N713"/>
  <c r="O713" s="1"/>
  <c r="K713"/>
  <c r="J713"/>
  <c r="I713"/>
  <c r="H713"/>
  <c r="G713"/>
  <c r="F713"/>
  <c r="N878" i="1"/>
  <c r="L878"/>
  <c r="K878"/>
  <c r="J878"/>
  <c r="I878"/>
  <c r="H878"/>
  <c r="AF71" i="5"/>
  <c r="AD39"/>
  <c r="AD47"/>
  <c r="AD55"/>
  <c r="AD63"/>
  <c r="AD71"/>
  <c r="AD31"/>
  <c r="AD23"/>
  <c r="AD15"/>
  <c r="AD7"/>
  <c r="AE71"/>
  <c r="P356" i="3"/>
  <c r="N356"/>
  <c r="O356" s="1"/>
  <c r="K356"/>
  <c r="J356"/>
  <c r="I356"/>
  <c r="H356"/>
  <c r="G356"/>
  <c r="F356"/>
  <c r="N436" i="1"/>
  <c r="L436"/>
  <c r="K436"/>
  <c r="J436"/>
  <c r="I436"/>
  <c r="H436"/>
  <c r="P347" i="3"/>
  <c r="N347"/>
  <c r="O347" s="1"/>
  <c r="K347"/>
  <c r="J347"/>
  <c r="I347"/>
  <c r="H347"/>
  <c r="G347"/>
  <c r="F347"/>
  <c r="N417" i="1"/>
  <c r="M417"/>
  <c r="L417"/>
  <c r="K417"/>
  <c r="J417"/>
  <c r="I417"/>
  <c r="H417"/>
  <c r="P355" i="3"/>
  <c r="N355"/>
  <c r="O355" s="1"/>
  <c r="K355"/>
  <c r="J355"/>
  <c r="I355"/>
  <c r="H355"/>
  <c r="G355"/>
  <c r="F355"/>
  <c r="N435" i="1"/>
  <c r="L435"/>
  <c r="K435"/>
  <c r="J435"/>
  <c r="I435"/>
  <c r="H435"/>
  <c r="P383" i="3"/>
  <c r="N383"/>
  <c r="O383" s="1"/>
  <c r="K383"/>
  <c r="J383"/>
  <c r="I383"/>
  <c r="H383"/>
  <c r="G383"/>
  <c r="F383"/>
  <c r="M464" i="1"/>
  <c r="L464"/>
  <c r="K464"/>
  <c r="J464"/>
  <c r="I464"/>
  <c r="H464"/>
  <c r="P354" i="3"/>
  <c r="N354"/>
  <c r="O354" s="1"/>
  <c r="P382"/>
  <c r="N382"/>
  <c r="O382" s="1"/>
  <c r="K354"/>
  <c r="J354"/>
  <c r="I354"/>
  <c r="H354"/>
  <c r="G354"/>
  <c r="F354"/>
  <c r="K382"/>
  <c r="J382"/>
  <c r="I382"/>
  <c r="H382"/>
  <c r="G382"/>
  <c r="F382"/>
  <c r="N434" i="1"/>
  <c r="L434"/>
  <c r="K434"/>
  <c r="J434"/>
  <c r="I434"/>
  <c r="H434"/>
  <c r="N463"/>
  <c r="M463"/>
  <c r="L463"/>
  <c r="K463"/>
  <c r="J463"/>
  <c r="I463"/>
  <c r="H463"/>
  <c r="P288" i="3"/>
  <c r="N288"/>
  <c r="O288" s="1"/>
  <c r="K288"/>
  <c r="J288"/>
  <c r="I288"/>
  <c r="H288"/>
  <c r="G288"/>
  <c r="F288"/>
  <c r="N336" i="1"/>
  <c r="M336"/>
  <c r="L336"/>
  <c r="K336"/>
  <c r="J336"/>
  <c r="I336"/>
  <c r="H336"/>
  <c r="P712" i="3"/>
  <c r="N712"/>
  <c r="O712" s="1"/>
  <c r="P711"/>
  <c r="N711"/>
  <c r="O711" s="1"/>
  <c r="K712"/>
  <c r="J712"/>
  <c r="I712"/>
  <c r="H712"/>
  <c r="G712"/>
  <c r="F712"/>
  <c r="K711"/>
  <c r="J711"/>
  <c r="I711"/>
  <c r="H711"/>
  <c r="G711"/>
  <c r="F711"/>
  <c r="N876" i="1"/>
  <c r="L876"/>
  <c r="K876"/>
  <c r="J876"/>
  <c r="I876"/>
  <c r="H876"/>
  <c r="N875"/>
  <c r="L875"/>
  <c r="K875"/>
  <c r="J875"/>
  <c r="I875"/>
  <c r="H875"/>
  <c r="P185" i="3"/>
  <c r="N185"/>
  <c r="O185" s="1"/>
  <c r="K185"/>
  <c r="J185"/>
  <c r="I185"/>
  <c r="H185"/>
  <c r="G185"/>
  <c r="F185"/>
  <c r="N247" i="1"/>
  <c r="L247"/>
  <c r="K247"/>
  <c r="J247"/>
  <c r="I247"/>
  <c r="H247"/>
  <c r="P353" i="3"/>
  <c r="K353"/>
  <c r="J353"/>
  <c r="I353"/>
  <c r="H353"/>
  <c r="G353"/>
  <c r="F353"/>
  <c r="N433" i="1"/>
  <c r="L433"/>
  <c r="K433"/>
  <c r="J433"/>
  <c r="I433"/>
  <c r="H433"/>
  <c r="P521" i="3"/>
  <c r="N521"/>
  <c r="O521" s="1"/>
  <c r="K521"/>
  <c r="J521"/>
  <c r="I521"/>
  <c r="H521"/>
  <c r="G521"/>
  <c r="F521"/>
  <c r="N636" i="1"/>
  <c r="L636"/>
  <c r="K636"/>
  <c r="J636"/>
  <c r="I636"/>
  <c r="H636"/>
  <c r="N520" i="3"/>
  <c r="O520" s="1"/>
  <c r="K520"/>
  <c r="J520"/>
  <c r="I520"/>
  <c r="H520"/>
  <c r="G520"/>
  <c r="F520"/>
  <c r="N635" i="1"/>
  <c r="L635"/>
  <c r="K635"/>
  <c r="J635"/>
  <c r="I635"/>
  <c r="H635"/>
  <c r="N634"/>
  <c r="L634"/>
  <c r="K634"/>
  <c r="J634"/>
  <c r="I634"/>
  <c r="H634"/>
  <c r="P391" i="3"/>
  <c r="P615"/>
  <c r="N615"/>
  <c r="O615" s="1"/>
  <c r="N474" i="1"/>
  <c r="M474"/>
  <c r="L474"/>
  <c r="K474"/>
  <c r="J474"/>
  <c r="I474"/>
  <c r="H474"/>
  <c r="P340" i="3"/>
  <c r="N340"/>
  <c r="O340" s="1"/>
  <c r="K340"/>
  <c r="J340"/>
  <c r="I340"/>
  <c r="H340"/>
  <c r="G340"/>
  <c r="F340"/>
  <c r="N409" i="1"/>
  <c r="M409"/>
  <c r="L409"/>
  <c r="K409"/>
  <c r="J409"/>
  <c r="I409"/>
  <c r="H409"/>
  <c r="P352" i="3"/>
  <c r="N352"/>
  <c r="O352" s="1"/>
  <c r="K352"/>
  <c r="J352"/>
  <c r="I352"/>
  <c r="H352"/>
  <c r="G352"/>
  <c r="F352"/>
  <c r="N432" i="1"/>
  <c r="L432"/>
  <c r="K432"/>
  <c r="J432"/>
  <c r="I432"/>
  <c r="H432"/>
  <c r="P72" i="3"/>
  <c r="N72"/>
  <c r="O72" s="1"/>
  <c r="K72"/>
  <c r="J72"/>
  <c r="I72"/>
  <c r="H72"/>
  <c r="G72"/>
  <c r="F72"/>
  <c r="N84" i="1"/>
  <c r="L84"/>
  <c r="K84"/>
  <c r="J84"/>
  <c r="I84"/>
  <c r="H84"/>
  <c r="N372" i="3"/>
  <c r="O372" s="1"/>
  <c r="K372"/>
  <c r="J372"/>
  <c r="I372"/>
  <c r="H372"/>
  <c r="G372"/>
  <c r="F372"/>
  <c r="N450" i="1"/>
  <c r="L450"/>
  <c r="K450"/>
  <c r="J450"/>
  <c r="I450"/>
  <c r="H450"/>
  <c r="P771" i="3"/>
  <c r="N771"/>
  <c r="O771" s="1"/>
  <c r="K771"/>
  <c r="J771"/>
  <c r="I771"/>
  <c r="H771"/>
  <c r="G771"/>
  <c r="F771"/>
  <c r="N971" i="1"/>
  <c r="M971"/>
  <c r="L971"/>
  <c r="K971"/>
  <c r="J971"/>
  <c r="I971"/>
  <c r="H971"/>
  <c r="K782" i="3"/>
  <c r="J782"/>
  <c r="I782"/>
  <c r="H782"/>
  <c r="G782"/>
  <c r="F782"/>
  <c r="K781"/>
  <c r="J781"/>
  <c r="I781"/>
  <c r="H781"/>
  <c r="G781"/>
  <c r="F781"/>
  <c r="N993" i="1"/>
  <c r="M993"/>
  <c r="L993"/>
  <c r="K993"/>
  <c r="J993"/>
  <c r="I993"/>
  <c r="H993"/>
  <c r="N992"/>
  <c r="M992"/>
  <c r="L992"/>
  <c r="K992"/>
  <c r="J992"/>
  <c r="I992"/>
  <c r="H992"/>
  <c r="N306" i="3"/>
  <c r="O306" s="1"/>
  <c r="K306"/>
  <c r="J306"/>
  <c r="I306"/>
  <c r="H306"/>
  <c r="G306"/>
  <c r="F306"/>
  <c r="N401" i="1"/>
  <c r="M401"/>
  <c r="L401"/>
  <c r="K401"/>
  <c r="J401"/>
  <c r="I401"/>
  <c r="H401"/>
  <c r="P613" i="3"/>
  <c r="N613"/>
  <c r="O613" s="1"/>
  <c r="P621"/>
  <c r="N621"/>
  <c r="O621" s="1"/>
  <c r="P314"/>
  <c r="N314"/>
  <c r="O314" s="1"/>
  <c r="P305"/>
  <c r="N305"/>
  <c r="O305" s="1"/>
  <c r="K613"/>
  <c r="J613"/>
  <c r="I613"/>
  <c r="H613"/>
  <c r="G613"/>
  <c r="F613"/>
  <c r="K621"/>
  <c r="J621"/>
  <c r="I621"/>
  <c r="H621"/>
  <c r="G621"/>
  <c r="F621"/>
  <c r="N741" i="1"/>
  <c r="L741"/>
  <c r="K741"/>
  <c r="J741"/>
  <c r="I741"/>
  <c r="H741"/>
  <c r="N740"/>
  <c r="L740"/>
  <c r="K740"/>
  <c r="J740"/>
  <c r="I740"/>
  <c r="H740"/>
  <c r="K314" i="3"/>
  <c r="J314"/>
  <c r="I314"/>
  <c r="H314"/>
  <c r="G314"/>
  <c r="F314"/>
  <c r="N356" i="1"/>
  <c r="M356"/>
  <c r="L356"/>
  <c r="K356"/>
  <c r="J356"/>
  <c r="I356"/>
  <c r="H356"/>
  <c r="K305" i="3"/>
  <c r="J305"/>
  <c r="I305"/>
  <c r="H305"/>
  <c r="G305"/>
  <c r="F305"/>
  <c r="N400" i="1"/>
  <c r="M400"/>
  <c r="L400"/>
  <c r="K400"/>
  <c r="J400"/>
  <c r="I400"/>
  <c r="H400"/>
  <c r="P60" i="3"/>
  <c r="N60"/>
  <c r="O60" s="1"/>
  <c r="K60"/>
  <c r="J60"/>
  <c r="I60"/>
  <c r="H60"/>
  <c r="G60"/>
  <c r="F60"/>
  <c r="N63" i="1"/>
  <c r="L63"/>
  <c r="K63"/>
  <c r="J63"/>
  <c r="I63"/>
  <c r="H63"/>
  <c r="K226" i="3"/>
  <c r="J226"/>
  <c r="I226"/>
  <c r="H226"/>
  <c r="G226"/>
  <c r="F226"/>
  <c r="P336"/>
  <c r="N336"/>
  <c r="O336" s="1"/>
  <c r="P335"/>
  <c r="N335"/>
  <c r="O335" s="1"/>
  <c r="P407"/>
  <c r="N407"/>
  <c r="O407" s="1"/>
  <c r="K336"/>
  <c r="J336"/>
  <c r="I336"/>
  <c r="H336"/>
  <c r="G336"/>
  <c r="F336"/>
  <c r="K335"/>
  <c r="J335"/>
  <c r="I335"/>
  <c r="H335"/>
  <c r="G335"/>
  <c r="F335"/>
  <c r="K407"/>
  <c r="J407"/>
  <c r="I407"/>
  <c r="H407"/>
  <c r="G407"/>
  <c r="F407"/>
  <c r="M383" i="1"/>
  <c r="L383"/>
  <c r="K383"/>
  <c r="J383"/>
  <c r="I383"/>
  <c r="H383"/>
  <c r="M382"/>
  <c r="L382"/>
  <c r="K382"/>
  <c r="J382"/>
  <c r="I382"/>
  <c r="H382"/>
  <c r="M493"/>
  <c r="L493"/>
  <c r="K493"/>
  <c r="J493"/>
  <c r="I493"/>
  <c r="H493"/>
  <c r="P624" i="3"/>
  <c r="N624"/>
  <c r="O624" s="1"/>
  <c r="P459"/>
  <c r="N459"/>
  <c r="O459" s="1"/>
  <c r="K624"/>
  <c r="J624"/>
  <c r="I624"/>
  <c r="H624"/>
  <c r="G624"/>
  <c r="F624"/>
  <c r="N746" i="1"/>
  <c r="M746"/>
  <c r="L746"/>
  <c r="K746"/>
  <c r="J746"/>
  <c r="I746"/>
  <c r="H746"/>
  <c r="P664" i="3"/>
  <c r="N664"/>
  <c r="O664" s="1"/>
  <c r="P346"/>
  <c r="N346"/>
  <c r="O346" s="1"/>
  <c r="K664"/>
  <c r="J664"/>
  <c r="I664"/>
  <c r="H664"/>
  <c r="G664"/>
  <c r="F664"/>
  <c r="M816" i="1"/>
  <c r="L816"/>
  <c r="K816"/>
  <c r="J816"/>
  <c r="I816"/>
  <c r="H816"/>
  <c r="K346" i="3"/>
  <c r="J346"/>
  <c r="I346"/>
  <c r="H346"/>
  <c r="G346"/>
  <c r="F346"/>
  <c r="N416" i="1"/>
  <c r="M416"/>
  <c r="L416"/>
  <c r="K416"/>
  <c r="J416"/>
  <c r="I416"/>
  <c r="H416"/>
  <c r="P710" i="3"/>
  <c r="N710"/>
  <c r="O710" s="1"/>
  <c r="K710"/>
  <c r="J710"/>
  <c r="I710"/>
  <c r="H710"/>
  <c r="G710"/>
  <c r="F710"/>
  <c r="N874" i="1"/>
  <c r="L874"/>
  <c r="K874"/>
  <c r="J874"/>
  <c r="I874"/>
  <c r="H874"/>
  <c r="P184" i="3"/>
  <c r="N184"/>
  <c r="O184" s="1"/>
  <c r="K184"/>
  <c r="J184"/>
  <c r="I184"/>
  <c r="H184"/>
  <c r="G184"/>
  <c r="F184"/>
  <c r="N246" i="1"/>
  <c r="L246"/>
  <c r="K246"/>
  <c r="J246"/>
  <c r="I246"/>
  <c r="H246"/>
  <c r="P663" i="3"/>
  <c r="N663"/>
  <c r="O663" s="1"/>
  <c r="K663"/>
  <c r="J663"/>
  <c r="I663"/>
  <c r="H663"/>
  <c r="G663"/>
  <c r="F663"/>
  <c r="M815" i="1"/>
  <c r="L815"/>
  <c r="K815"/>
  <c r="J815"/>
  <c r="I815"/>
  <c r="H815"/>
  <c r="N551"/>
  <c r="L551"/>
  <c r="K551"/>
  <c r="J551"/>
  <c r="I551"/>
  <c r="H551"/>
  <c r="P750" i="3" l="1"/>
  <c r="N750"/>
  <c r="O750" s="1"/>
  <c r="K750"/>
  <c r="J750"/>
  <c r="I750"/>
  <c r="H750"/>
  <c r="G750"/>
  <c r="F750"/>
  <c r="L932" i="1"/>
  <c r="K932"/>
  <c r="J932"/>
  <c r="I932"/>
  <c r="H932"/>
  <c r="P183" i="3"/>
  <c r="N183"/>
  <c r="O183" s="1"/>
  <c r="K183"/>
  <c r="J183"/>
  <c r="I183"/>
  <c r="H183"/>
  <c r="G183"/>
  <c r="F183"/>
  <c r="N245" i="1"/>
  <c r="L245"/>
  <c r="K245"/>
  <c r="J245"/>
  <c r="I245"/>
  <c r="H245"/>
  <c r="P454" i="3"/>
  <c r="N454"/>
  <c r="O454" s="1"/>
  <c r="K454"/>
  <c r="J454"/>
  <c r="I454"/>
  <c r="H454"/>
  <c r="G454"/>
  <c r="F454"/>
  <c r="G260" i="6"/>
  <c r="F260"/>
  <c r="E260"/>
  <c r="D260"/>
  <c r="C260"/>
  <c r="P604" i="3"/>
  <c r="N604"/>
  <c r="O604" s="1"/>
  <c r="K604"/>
  <c r="J604"/>
  <c r="I604"/>
  <c r="H604"/>
  <c r="G604"/>
  <c r="F604"/>
  <c r="N722" i="1"/>
  <c r="M722"/>
  <c r="L722"/>
  <c r="K722"/>
  <c r="J722"/>
  <c r="I722"/>
  <c r="H722"/>
  <c r="G163" i="3" l="1"/>
  <c r="P519" l="1"/>
  <c r="N519"/>
  <c r="O519" s="1"/>
  <c r="J519"/>
  <c r="I519"/>
  <c r="H519"/>
  <c r="G519"/>
  <c r="F519"/>
  <c r="P182"/>
  <c r="N182"/>
  <c r="O182" s="1"/>
  <c r="K182"/>
  <c r="J182"/>
  <c r="I182"/>
  <c r="H182"/>
  <c r="G182"/>
  <c r="F182"/>
  <c r="N244" i="1"/>
  <c r="L244"/>
  <c r="K244"/>
  <c r="J244"/>
  <c r="I244"/>
  <c r="H244"/>
  <c r="P181" i="3"/>
  <c r="N181"/>
  <c r="O181" s="1"/>
  <c r="K181"/>
  <c r="J181"/>
  <c r="I181"/>
  <c r="H181"/>
  <c r="G181"/>
  <c r="F181"/>
  <c r="G256" i="6"/>
  <c r="F256"/>
  <c r="E256"/>
  <c r="D256"/>
  <c r="C256"/>
  <c r="N243" i="1"/>
  <c r="L243"/>
  <c r="K243"/>
  <c r="J243"/>
  <c r="I243"/>
  <c r="H243"/>
  <c r="P59" i="3"/>
  <c r="N59"/>
  <c r="O59" s="1"/>
  <c r="K59"/>
  <c r="J59"/>
  <c r="I59"/>
  <c r="H59"/>
  <c r="G59"/>
  <c r="F59"/>
  <c r="G255" i="6"/>
  <c r="F255"/>
  <c r="E255"/>
  <c r="D255"/>
  <c r="C255"/>
  <c r="N62" i="1"/>
  <c r="L62"/>
  <c r="K62"/>
  <c r="J62"/>
  <c r="I62"/>
  <c r="H62"/>
  <c r="P58" i="3"/>
  <c r="N58"/>
  <c r="O58" s="1"/>
  <c r="K58"/>
  <c r="J58"/>
  <c r="I58"/>
  <c r="H58"/>
  <c r="G58"/>
  <c r="F58"/>
  <c r="G113" i="6"/>
  <c r="F113"/>
  <c r="E113"/>
  <c r="D113"/>
  <c r="C113"/>
  <c r="N61" i="1"/>
  <c r="L61"/>
  <c r="K61"/>
  <c r="J61"/>
  <c r="I61"/>
  <c r="H61"/>
  <c r="P304" i="3"/>
  <c r="N304"/>
  <c r="O304" s="1"/>
  <c r="P303"/>
  <c r="N303"/>
  <c r="O303" s="1"/>
  <c r="P302"/>
  <c r="N302"/>
  <c r="O302" s="1"/>
  <c r="P301"/>
  <c r="N301"/>
  <c r="O301" s="1"/>
  <c r="P300"/>
  <c r="N300"/>
  <c r="O300" s="1"/>
  <c r="K304"/>
  <c r="J304"/>
  <c r="I304"/>
  <c r="H304"/>
  <c r="G304"/>
  <c r="F304"/>
  <c r="K303"/>
  <c r="J303"/>
  <c r="I303"/>
  <c r="H303"/>
  <c r="G303"/>
  <c r="F303"/>
  <c r="K302"/>
  <c r="J302"/>
  <c r="I302"/>
  <c r="H302"/>
  <c r="G302"/>
  <c r="F302"/>
  <c r="K301"/>
  <c r="J301"/>
  <c r="I301"/>
  <c r="H301"/>
  <c r="G301"/>
  <c r="F301"/>
  <c r="K300"/>
  <c r="J300"/>
  <c r="I300"/>
  <c r="H300"/>
  <c r="G300"/>
  <c r="F300"/>
  <c r="N399" i="1"/>
  <c r="M399"/>
  <c r="L399"/>
  <c r="K399"/>
  <c r="J399"/>
  <c r="I399"/>
  <c r="H399"/>
  <c r="N398"/>
  <c r="M398"/>
  <c r="L398"/>
  <c r="K398"/>
  <c r="J398"/>
  <c r="I398"/>
  <c r="H398"/>
  <c r="N397"/>
  <c r="M397"/>
  <c r="L397"/>
  <c r="K397"/>
  <c r="J397"/>
  <c r="I397"/>
  <c r="H397"/>
  <c r="N396"/>
  <c r="M396"/>
  <c r="L396"/>
  <c r="K396"/>
  <c r="J396"/>
  <c r="I396"/>
  <c r="H396"/>
  <c r="N395"/>
  <c r="M395"/>
  <c r="L395"/>
  <c r="K395"/>
  <c r="J395"/>
  <c r="I395"/>
  <c r="H395"/>
  <c r="G250" i="6"/>
  <c r="F250"/>
  <c r="E250"/>
  <c r="D250"/>
  <c r="C250"/>
  <c r="P776" i="3"/>
  <c r="N776"/>
  <c r="O776" s="1"/>
  <c r="P775"/>
  <c r="N775"/>
  <c r="O775" s="1"/>
  <c r="P774"/>
  <c r="N774"/>
  <c r="O774" s="1"/>
  <c r="P773"/>
  <c r="N773"/>
  <c r="O773" s="1"/>
  <c r="K776"/>
  <c r="J776"/>
  <c r="I776"/>
  <c r="H776"/>
  <c r="G776"/>
  <c r="F776"/>
  <c r="N981" i="1"/>
  <c r="M981"/>
  <c r="L981"/>
  <c r="K981"/>
  <c r="J981"/>
  <c r="I981"/>
  <c r="H981"/>
  <c r="G247" i="6"/>
  <c r="F247"/>
  <c r="E247"/>
  <c r="D247"/>
  <c r="C247"/>
  <c r="P259" i="3"/>
  <c r="N259"/>
  <c r="O259" s="1"/>
  <c r="P510"/>
  <c r="N510"/>
  <c r="O510" s="1"/>
  <c r="P361"/>
  <c r="N361"/>
  <c r="O361" s="1"/>
  <c r="P296"/>
  <c r="N296"/>
  <c r="O296" s="1"/>
  <c r="P560"/>
  <c r="N560"/>
  <c r="O560" s="1"/>
  <c r="P339"/>
  <c r="N339"/>
  <c r="O339" s="1"/>
  <c r="P476"/>
  <c r="N476"/>
  <c r="O476" s="1"/>
  <c r="P687"/>
  <c r="N687"/>
  <c r="O687" s="1"/>
  <c r="P630"/>
  <c r="N630"/>
  <c r="O630" s="1"/>
  <c r="P770"/>
  <c r="N770"/>
  <c r="O770" s="1"/>
  <c r="P627"/>
  <c r="N627"/>
  <c r="O627" s="1"/>
  <c r="K774"/>
  <c r="J774"/>
  <c r="I774"/>
  <c r="H774"/>
  <c r="G774"/>
  <c r="F774"/>
  <c r="K773"/>
  <c r="J773"/>
  <c r="I773"/>
  <c r="H773"/>
  <c r="G773"/>
  <c r="F773"/>
  <c r="K770"/>
  <c r="J770"/>
  <c r="I770"/>
  <c r="H770"/>
  <c r="G770"/>
  <c r="F770"/>
  <c r="N998" i="1"/>
  <c r="M998"/>
  <c r="N997"/>
  <c r="M997"/>
  <c r="N996"/>
  <c r="M996"/>
  <c r="N995"/>
  <c r="M995"/>
  <c r="N994"/>
  <c r="M994"/>
  <c r="N991"/>
  <c r="M991"/>
  <c r="N990"/>
  <c r="M990"/>
  <c r="N989"/>
  <c r="M989"/>
  <c r="N988"/>
  <c r="M988"/>
  <c r="N987"/>
  <c r="M987"/>
  <c r="N986"/>
  <c r="M986"/>
  <c r="N985"/>
  <c r="M985"/>
  <c r="N980"/>
  <c r="M980"/>
  <c r="N979"/>
  <c r="M979"/>
  <c r="N978"/>
  <c r="M978"/>
  <c r="N977"/>
  <c r="M977"/>
  <c r="N976"/>
  <c r="M976"/>
  <c r="N975"/>
  <c r="M975"/>
  <c r="N974"/>
  <c r="M974"/>
  <c r="N973"/>
  <c r="M973"/>
  <c r="N970"/>
  <c r="M970"/>
  <c r="N969"/>
  <c r="M969"/>
  <c r="N968"/>
  <c r="M968"/>
  <c r="N967"/>
  <c r="M967"/>
  <c r="N966"/>
  <c r="M966"/>
  <c r="N965"/>
  <c r="M965"/>
  <c r="N964"/>
  <c r="M964"/>
  <c r="N963"/>
  <c r="M963"/>
  <c r="N962"/>
  <c r="M962"/>
  <c r="N961"/>
  <c r="M961"/>
  <c r="N960"/>
  <c r="M960"/>
  <c r="N959"/>
  <c r="M959"/>
  <c r="N958"/>
  <c r="M958"/>
  <c r="N957"/>
  <c r="M957"/>
  <c r="N956"/>
  <c r="M956"/>
  <c r="N955"/>
  <c r="M955"/>
  <c r="N954"/>
  <c r="M954"/>
  <c r="N953"/>
  <c r="M953"/>
  <c r="N952"/>
  <c r="M952"/>
  <c r="N949"/>
  <c r="M949"/>
  <c r="N948"/>
  <c r="M948"/>
  <c r="N947"/>
  <c r="M947"/>
  <c r="N946"/>
  <c r="M946"/>
  <c r="N945"/>
  <c r="M945"/>
  <c r="N944"/>
  <c r="M944"/>
  <c r="N930"/>
  <c r="M930"/>
  <c r="N929"/>
  <c r="M929"/>
  <c r="N928"/>
  <c r="M928"/>
  <c r="N927"/>
  <c r="M927"/>
  <c r="N926"/>
  <c r="M926"/>
  <c r="N925"/>
  <c r="M925"/>
  <c r="N924"/>
  <c r="M924"/>
  <c r="N923"/>
  <c r="M923"/>
  <c r="N922"/>
  <c r="M922"/>
  <c r="N921"/>
  <c r="M921"/>
  <c r="N920"/>
  <c r="M920"/>
  <c r="N919"/>
  <c r="M919"/>
  <c r="N918"/>
  <c r="M918"/>
  <c r="N917"/>
  <c r="M917"/>
  <c r="N916"/>
  <c r="M916"/>
  <c r="N915"/>
  <c r="M915"/>
  <c r="N914"/>
  <c r="M914"/>
  <c r="N913"/>
  <c r="M913"/>
  <c r="N912"/>
  <c r="M912"/>
  <c r="L975"/>
  <c r="K975"/>
  <c r="J975"/>
  <c r="I975"/>
  <c r="H975"/>
  <c r="L974"/>
  <c r="K974"/>
  <c r="J974"/>
  <c r="I974"/>
  <c r="H974"/>
  <c r="L970"/>
  <c r="K970"/>
  <c r="J970"/>
  <c r="I970"/>
  <c r="H970"/>
  <c r="G246" i="6"/>
  <c r="F246"/>
  <c r="E246"/>
  <c r="D246"/>
  <c r="C246"/>
  <c r="G249"/>
  <c r="F249"/>
  <c r="E249"/>
  <c r="D249"/>
  <c r="C249"/>
  <c r="G248"/>
  <c r="F248"/>
  <c r="E248"/>
  <c r="D248"/>
  <c r="C248"/>
  <c r="K630" i="3"/>
  <c r="J630"/>
  <c r="I630"/>
  <c r="H630"/>
  <c r="G630"/>
  <c r="F630"/>
  <c r="N789" i="1"/>
  <c r="L789"/>
  <c r="K789"/>
  <c r="J789"/>
  <c r="I789"/>
  <c r="H789"/>
  <c r="G235" i="6"/>
  <c r="F235"/>
  <c r="E235"/>
  <c r="D235"/>
  <c r="C235"/>
  <c r="G234"/>
  <c r="F234"/>
  <c r="E234"/>
  <c r="D234"/>
  <c r="C234"/>
  <c r="G233"/>
  <c r="F233"/>
  <c r="E233"/>
  <c r="D233"/>
  <c r="C233"/>
  <c r="G232"/>
  <c r="F232"/>
  <c r="E232"/>
  <c r="D232"/>
  <c r="C232"/>
  <c r="P671" i="3"/>
  <c r="P670"/>
  <c r="P669"/>
  <c r="P665"/>
  <c r="P662"/>
  <c r="P656"/>
  <c r="P655"/>
  <c r="P652"/>
  <c r="P651"/>
  <c r="P643"/>
  <c r="P642"/>
  <c r="P635"/>
  <c r="P622"/>
  <c r="P617"/>
  <c r="P614"/>
  <c r="P611"/>
  <c r="P608"/>
  <c r="P603"/>
  <c r="P601"/>
  <c r="P600"/>
  <c r="P598"/>
  <c r="P597"/>
  <c r="P596"/>
  <c r="P595"/>
  <c r="P594"/>
  <c r="P593"/>
  <c r="P592"/>
  <c r="P591"/>
  <c r="P590"/>
  <c r="P588"/>
  <c r="P587"/>
  <c r="P580"/>
  <c r="P575"/>
  <c r="P574"/>
  <c r="P573"/>
  <c r="P565"/>
  <c r="P564"/>
  <c r="P559"/>
  <c r="N598"/>
  <c r="O598" s="1"/>
  <c r="K598"/>
  <c r="J598"/>
  <c r="I598"/>
  <c r="H598"/>
  <c r="G598"/>
  <c r="F598"/>
  <c r="N597"/>
  <c r="O597" s="1"/>
  <c r="K597"/>
  <c r="J597"/>
  <c r="I597"/>
  <c r="H597"/>
  <c r="G597"/>
  <c r="F597"/>
  <c r="N596"/>
  <c r="O596" s="1"/>
  <c r="K596"/>
  <c r="J596"/>
  <c r="I596"/>
  <c r="H596"/>
  <c r="G596"/>
  <c r="F596"/>
  <c r="N595"/>
  <c r="O595" s="1"/>
  <c r="K595"/>
  <c r="J595"/>
  <c r="I595"/>
  <c r="H595"/>
  <c r="G595"/>
  <c r="F595"/>
  <c r="N766" i="1"/>
  <c r="L766"/>
  <c r="K766"/>
  <c r="J766"/>
  <c r="I766"/>
  <c r="H766"/>
  <c r="N765"/>
  <c r="L765"/>
  <c r="K765"/>
  <c r="J765"/>
  <c r="I765"/>
  <c r="H765"/>
  <c r="N764"/>
  <c r="L764"/>
  <c r="K764"/>
  <c r="J764"/>
  <c r="I764"/>
  <c r="H764"/>
  <c r="N763"/>
  <c r="L763"/>
  <c r="K763"/>
  <c r="J763"/>
  <c r="I763"/>
  <c r="H763"/>
  <c r="G231" i="6"/>
  <c r="F231"/>
  <c r="E231"/>
  <c r="D231"/>
  <c r="C231"/>
  <c r="G236"/>
  <c r="F236"/>
  <c r="E236"/>
  <c r="D236"/>
  <c r="C236"/>
  <c r="G237"/>
  <c r="F237"/>
  <c r="E237"/>
  <c r="D237"/>
  <c r="C237"/>
  <c r="G238"/>
  <c r="F238"/>
  <c r="E238"/>
  <c r="D238"/>
  <c r="C238"/>
  <c r="G242"/>
  <c r="F242"/>
  <c r="E242"/>
  <c r="D242"/>
  <c r="C242"/>
  <c r="P699" i="3"/>
  <c r="N699"/>
  <c r="O699" s="1"/>
  <c r="K699"/>
  <c r="J699"/>
  <c r="I699"/>
  <c r="H699"/>
  <c r="G699"/>
  <c r="F699"/>
  <c r="G144" i="6"/>
  <c r="F144"/>
  <c r="E144"/>
  <c r="D144"/>
  <c r="C144"/>
  <c r="N870" i="1"/>
  <c r="L870"/>
  <c r="K870"/>
  <c r="J870"/>
  <c r="I870"/>
  <c r="H870"/>
  <c r="G150" i="6"/>
  <c r="F150"/>
  <c r="E150"/>
  <c r="D150"/>
  <c r="C150"/>
  <c r="N644" i="1"/>
  <c r="L644"/>
  <c r="K644"/>
  <c r="J644"/>
  <c r="I644"/>
  <c r="H644"/>
  <c r="P533" i="3"/>
  <c r="N533"/>
  <c r="O533" s="1"/>
  <c r="K533"/>
  <c r="J533"/>
  <c r="I533"/>
  <c r="H533"/>
  <c r="G533"/>
  <c r="F533"/>
  <c r="P763"/>
  <c r="N763"/>
  <c r="O763" s="1"/>
  <c r="K763"/>
  <c r="J763"/>
  <c r="I763"/>
  <c r="H763"/>
  <c r="G763"/>
  <c r="F763"/>
  <c r="L949" i="1"/>
  <c r="K949"/>
  <c r="J949"/>
  <c r="I949"/>
  <c r="H949"/>
  <c r="P299" i="3"/>
  <c r="K780"/>
  <c r="J780"/>
  <c r="I780"/>
  <c r="H780"/>
  <c r="G780"/>
  <c r="F780"/>
  <c r="L987" i="1"/>
  <c r="K987"/>
  <c r="J987"/>
  <c r="I987"/>
  <c r="H987"/>
  <c r="K299" i="3"/>
  <c r="J299"/>
  <c r="I299"/>
  <c r="H299"/>
  <c r="G299"/>
  <c r="F299"/>
  <c r="N299"/>
  <c r="O299" s="1"/>
  <c r="N393" i="1"/>
  <c r="M393"/>
  <c r="L393"/>
  <c r="K393"/>
  <c r="J393"/>
  <c r="I393"/>
  <c r="H393"/>
  <c r="K406" i="3"/>
  <c r="J406"/>
  <c r="I406"/>
  <c r="H406"/>
  <c r="G406"/>
  <c r="F406"/>
  <c r="N406"/>
  <c r="O406" s="1"/>
  <c r="M492" i="1"/>
  <c r="L492"/>
  <c r="K492"/>
  <c r="J492"/>
  <c r="I492"/>
  <c r="H492"/>
  <c r="P57" i="3"/>
  <c r="N57"/>
  <c r="O57" s="1"/>
  <c r="K57"/>
  <c r="J57"/>
  <c r="I57"/>
  <c r="H57"/>
  <c r="G57"/>
  <c r="F57"/>
  <c r="N60" i="1"/>
  <c r="L60"/>
  <c r="K60"/>
  <c r="J60"/>
  <c r="I60"/>
  <c r="H60"/>
  <c r="N59"/>
  <c r="L59"/>
  <c r="K59"/>
  <c r="J59"/>
  <c r="I59"/>
  <c r="H59"/>
  <c r="P56" i="3"/>
  <c r="N56"/>
  <c r="O56" s="1"/>
  <c r="K56"/>
  <c r="J56"/>
  <c r="I56"/>
  <c r="H56"/>
  <c r="G56"/>
  <c r="F56"/>
  <c r="P55"/>
  <c r="K55"/>
  <c r="J55"/>
  <c r="I55"/>
  <c r="H55"/>
  <c r="G55"/>
  <c r="F55"/>
  <c r="N55"/>
  <c r="O55" s="1"/>
  <c r="N58" i="1"/>
  <c r="L58"/>
  <c r="K58"/>
  <c r="J58"/>
  <c r="I58"/>
  <c r="H58"/>
  <c r="L980"/>
  <c r="K980"/>
  <c r="J980"/>
  <c r="I980"/>
  <c r="H980"/>
  <c r="L979"/>
  <c r="K979"/>
  <c r="J979"/>
  <c r="I979"/>
  <c r="H979"/>
  <c r="L978"/>
  <c r="K978"/>
  <c r="J978"/>
  <c r="I978"/>
  <c r="H978"/>
  <c r="L977"/>
  <c r="K977"/>
  <c r="J977"/>
  <c r="I977"/>
  <c r="H977"/>
  <c r="L976"/>
  <c r="K976"/>
  <c r="J976"/>
  <c r="I976"/>
  <c r="H976"/>
  <c r="K768" i="3"/>
  <c r="J768"/>
  <c r="K775"/>
  <c r="J775"/>
  <c r="I775"/>
  <c r="H775"/>
  <c r="G775"/>
  <c r="F775"/>
  <c r="P768" l="1"/>
  <c r="N768"/>
  <c r="O768" s="1"/>
  <c r="P769"/>
  <c r="N769"/>
  <c r="O769" s="1"/>
  <c r="I768"/>
  <c r="H768"/>
  <c r="G768"/>
  <c r="F768"/>
  <c r="K769"/>
  <c r="J769"/>
  <c r="I769"/>
  <c r="H769"/>
  <c r="G769"/>
  <c r="F769"/>
  <c r="L966" i="1"/>
  <c r="K966"/>
  <c r="J966"/>
  <c r="I966"/>
  <c r="H966"/>
  <c r="L965"/>
  <c r="K965"/>
  <c r="J965"/>
  <c r="I965"/>
  <c r="H965"/>
  <c r="L964"/>
  <c r="K964"/>
  <c r="J964"/>
  <c r="I964"/>
  <c r="H964"/>
  <c r="L963"/>
  <c r="K963"/>
  <c r="J963"/>
  <c r="I963"/>
  <c r="H963"/>
  <c r="L962"/>
  <c r="K962"/>
  <c r="J962"/>
  <c r="I962"/>
  <c r="H962"/>
  <c r="L961"/>
  <c r="K961"/>
  <c r="J961"/>
  <c r="I961"/>
  <c r="H961"/>
  <c r="L960"/>
  <c r="K960"/>
  <c r="J960"/>
  <c r="I960"/>
  <c r="H960"/>
  <c r="L959"/>
  <c r="K959"/>
  <c r="J959"/>
  <c r="I959"/>
  <c r="H959"/>
  <c r="L969"/>
  <c r="K969"/>
  <c r="J969"/>
  <c r="I969"/>
  <c r="H969"/>
  <c r="L968"/>
  <c r="K968"/>
  <c r="J968"/>
  <c r="I968"/>
  <c r="H968"/>
  <c r="L967"/>
  <c r="K967"/>
  <c r="J967"/>
  <c r="I967"/>
  <c r="H967"/>
  <c r="L958"/>
  <c r="K958"/>
  <c r="J958"/>
  <c r="I958"/>
  <c r="H958"/>
  <c r="L957"/>
  <c r="K957"/>
  <c r="J957"/>
  <c r="I957"/>
  <c r="H957"/>
  <c r="L956"/>
  <c r="K956"/>
  <c r="J956"/>
  <c r="I956"/>
  <c r="H956"/>
  <c r="L955"/>
  <c r="K955"/>
  <c r="J955"/>
  <c r="I955"/>
  <c r="H955"/>
  <c r="L954"/>
  <c r="K954"/>
  <c r="J954"/>
  <c r="I954"/>
  <c r="H954"/>
  <c r="L953"/>
  <c r="K953"/>
  <c r="J953"/>
  <c r="I953"/>
  <c r="H953"/>
  <c r="L952"/>
  <c r="K952"/>
  <c r="J952"/>
  <c r="I952"/>
  <c r="H952"/>
  <c r="P54" i="3"/>
  <c r="N54"/>
  <c r="O54" s="1"/>
  <c r="P480"/>
  <c r="N480"/>
  <c r="O480" s="1"/>
  <c r="K54"/>
  <c r="J54"/>
  <c r="I54"/>
  <c r="H54"/>
  <c r="G54"/>
  <c r="F54"/>
  <c r="N57" i="1"/>
  <c r="L57"/>
  <c r="K57"/>
  <c r="J57"/>
  <c r="I57"/>
  <c r="H57"/>
  <c r="K480" i="3"/>
  <c r="J480"/>
  <c r="I480"/>
  <c r="H480"/>
  <c r="G480"/>
  <c r="F480"/>
  <c r="N585" i="1"/>
  <c r="M585"/>
  <c r="L585"/>
  <c r="K585"/>
  <c r="J585"/>
  <c r="I585"/>
  <c r="H585"/>
  <c r="P403" i="3" l="1"/>
  <c r="N403"/>
  <c r="O403" s="1"/>
  <c r="K403"/>
  <c r="J403"/>
  <c r="I403"/>
  <c r="H403"/>
  <c r="G403"/>
  <c r="F403"/>
  <c r="M488" i="1"/>
  <c r="L488"/>
  <c r="K488"/>
  <c r="J488"/>
  <c r="I488"/>
  <c r="H488"/>
  <c r="P629" i="3"/>
  <c r="N629"/>
  <c r="O629" s="1"/>
  <c r="K629"/>
  <c r="J629"/>
  <c r="I629"/>
  <c r="H629"/>
  <c r="G629"/>
  <c r="F629"/>
  <c r="N788" i="1"/>
  <c r="L788"/>
  <c r="K788"/>
  <c r="J788"/>
  <c r="I788"/>
  <c r="H788"/>
  <c r="P536" i="3"/>
  <c r="N536"/>
  <c r="O536" s="1"/>
  <c r="K536"/>
  <c r="J536"/>
  <c r="I536"/>
  <c r="H536"/>
  <c r="G536"/>
  <c r="F536"/>
  <c r="N647" i="1"/>
  <c r="L647"/>
  <c r="K647"/>
  <c r="J647"/>
  <c r="I647"/>
  <c r="H647"/>
  <c r="P743" i="3"/>
  <c r="N743"/>
  <c r="O743" s="1"/>
  <c r="P453"/>
  <c r="N453"/>
  <c r="O453" s="1"/>
  <c r="K743"/>
  <c r="J743"/>
  <c r="I743"/>
  <c r="H743"/>
  <c r="G743"/>
  <c r="F743"/>
  <c r="L921" i="1"/>
  <c r="K921"/>
  <c r="J921"/>
  <c r="I921"/>
  <c r="H921"/>
  <c r="K453" i="3"/>
  <c r="J453"/>
  <c r="I453"/>
  <c r="H453"/>
  <c r="G453"/>
  <c r="F453"/>
  <c r="N550" i="1"/>
  <c r="L550"/>
  <c r="K550"/>
  <c r="J550"/>
  <c r="I550"/>
  <c r="H550"/>
  <c r="P518" i="3"/>
  <c r="N518"/>
  <c r="O518" s="1"/>
  <c r="K518"/>
  <c r="J518"/>
  <c r="I518"/>
  <c r="H518"/>
  <c r="G518"/>
  <c r="F518"/>
  <c r="N633" i="1"/>
  <c r="L633"/>
  <c r="K633"/>
  <c r="J633"/>
  <c r="I633"/>
  <c r="H633"/>
  <c r="P517" i="3" l="1"/>
  <c r="N517"/>
  <c r="O517" s="1"/>
  <c r="K517"/>
  <c r="J517"/>
  <c r="I517"/>
  <c r="H517"/>
  <c r="G517"/>
  <c r="F517"/>
  <c r="N632" i="1"/>
  <c r="L632"/>
  <c r="K632"/>
  <c r="J632"/>
  <c r="I632"/>
  <c r="H632"/>
  <c r="P516" i="3"/>
  <c r="N516"/>
  <c r="O516" s="1"/>
  <c r="P767"/>
  <c r="N767"/>
  <c r="O767" s="1"/>
  <c r="P766"/>
  <c r="N766"/>
  <c r="O766" s="1"/>
  <c r="P762"/>
  <c r="N762"/>
  <c r="O762" s="1"/>
  <c r="P761"/>
  <c r="N761"/>
  <c r="O761" s="1"/>
  <c r="K516"/>
  <c r="J516"/>
  <c r="I516"/>
  <c r="H516"/>
  <c r="G516"/>
  <c r="F516"/>
  <c r="N631" i="1"/>
  <c r="L631"/>
  <c r="K631"/>
  <c r="J631"/>
  <c r="I631"/>
  <c r="H631"/>
  <c r="P363" i="3"/>
  <c r="N363"/>
  <c r="O363" s="1"/>
  <c r="K363"/>
  <c r="J363"/>
  <c r="I363"/>
  <c r="H363"/>
  <c r="G363"/>
  <c r="F363"/>
  <c r="N431" i="1"/>
  <c r="L431"/>
  <c r="K431"/>
  <c r="J431"/>
  <c r="I431"/>
  <c r="H431"/>
  <c r="K767" i="3"/>
  <c r="J767"/>
  <c r="I767"/>
  <c r="H767"/>
  <c r="G767"/>
  <c r="F767"/>
  <c r="K766"/>
  <c r="J766"/>
  <c r="I766"/>
  <c r="H766"/>
  <c r="G766"/>
  <c r="F766"/>
  <c r="P53"/>
  <c r="N53"/>
  <c r="O53" s="1"/>
  <c r="P515"/>
  <c r="N515"/>
  <c r="O515" s="1"/>
  <c r="P535"/>
  <c r="N535"/>
  <c r="O535" s="1"/>
  <c r="K53"/>
  <c r="J53"/>
  <c r="I53"/>
  <c r="H53"/>
  <c r="G53"/>
  <c r="F53"/>
  <c r="N56" i="1"/>
  <c r="L56"/>
  <c r="K56"/>
  <c r="J56"/>
  <c r="I56"/>
  <c r="H56"/>
  <c r="K515" i="3"/>
  <c r="J515"/>
  <c r="I515"/>
  <c r="H515"/>
  <c r="G515"/>
  <c r="F515"/>
  <c r="N630" i="1"/>
  <c r="L630"/>
  <c r="K630"/>
  <c r="J630"/>
  <c r="I630"/>
  <c r="H630"/>
  <c r="K535" i="3"/>
  <c r="J535"/>
  <c r="I535"/>
  <c r="H535"/>
  <c r="G535"/>
  <c r="F535"/>
  <c r="N646" i="1"/>
  <c r="L646"/>
  <c r="K646"/>
  <c r="J646"/>
  <c r="I646"/>
  <c r="H646"/>
  <c r="P52" i="3"/>
  <c r="N52"/>
  <c r="O52" s="1"/>
  <c r="K52"/>
  <c r="J52"/>
  <c r="I52"/>
  <c r="H52"/>
  <c r="G52"/>
  <c r="F52"/>
  <c r="N55" i="1"/>
  <c r="L55"/>
  <c r="K55"/>
  <c r="J55"/>
  <c r="I55"/>
  <c r="H55"/>
  <c r="P513" i="3"/>
  <c r="N513"/>
  <c r="O513" s="1"/>
  <c r="K513"/>
  <c r="J513"/>
  <c r="I513"/>
  <c r="H513"/>
  <c r="G513"/>
  <c r="F513"/>
  <c r="N629" i="1"/>
  <c r="L629"/>
  <c r="K629"/>
  <c r="J629"/>
  <c r="I629"/>
  <c r="H629"/>
  <c r="P318" i="3"/>
  <c r="N318"/>
  <c r="O318" s="1"/>
  <c r="P317"/>
  <c r="N317"/>
  <c r="O317" s="1"/>
  <c r="P316"/>
  <c r="N316"/>
  <c r="O316" s="1"/>
  <c r="K318"/>
  <c r="J318"/>
  <c r="I318"/>
  <c r="H318"/>
  <c r="G318"/>
  <c r="F318"/>
  <c r="K317"/>
  <c r="J317"/>
  <c r="I317"/>
  <c r="H317"/>
  <c r="G317"/>
  <c r="F317"/>
  <c r="K316"/>
  <c r="J316"/>
  <c r="I316"/>
  <c r="H316"/>
  <c r="G316"/>
  <c r="F316"/>
  <c r="M361" i="1"/>
  <c r="L361"/>
  <c r="K361"/>
  <c r="J361"/>
  <c r="I361"/>
  <c r="H361"/>
  <c r="M360"/>
  <c r="L360"/>
  <c r="K360"/>
  <c r="J360"/>
  <c r="I360"/>
  <c r="H360"/>
  <c r="M359"/>
  <c r="L359"/>
  <c r="K359"/>
  <c r="J359"/>
  <c r="I359"/>
  <c r="H359"/>
  <c r="P362" i="3"/>
  <c r="N362"/>
  <c r="O362" s="1"/>
  <c r="K362"/>
  <c r="J362"/>
  <c r="I362"/>
  <c r="H362"/>
  <c r="G362"/>
  <c r="F362"/>
  <c r="N430" i="1"/>
  <c r="L430"/>
  <c r="K430"/>
  <c r="J430"/>
  <c r="I430"/>
  <c r="H430"/>
  <c r="P552" i="3"/>
  <c r="N552"/>
  <c r="O552" s="1"/>
  <c r="K552"/>
  <c r="J552"/>
  <c r="I552"/>
  <c r="H552"/>
  <c r="G552"/>
  <c r="F552"/>
  <c r="N672" i="1"/>
  <c r="L672"/>
  <c r="K672"/>
  <c r="J672"/>
  <c r="I672"/>
  <c r="H672"/>
  <c r="P512" i="3"/>
  <c r="N512"/>
  <c r="O512" s="1"/>
  <c r="K512"/>
  <c r="J512"/>
  <c r="I512"/>
  <c r="H512"/>
  <c r="G512"/>
  <c r="F512"/>
  <c r="N628" i="1"/>
  <c r="L628"/>
  <c r="K628"/>
  <c r="J628"/>
  <c r="I628"/>
  <c r="H628"/>
  <c r="P628" i="3"/>
  <c r="N628"/>
  <c r="O628" s="1"/>
  <c r="K628"/>
  <c r="J628"/>
  <c r="I628"/>
  <c r="H628"/>
  <c r="G628"/>
  <c r="F628"/>
  <c r="K627"/>
  <c r="J627"/>
  <c r="I627"/>
  <c r="H627"/>
  <c r="G627"/>
  <c r="F627"/>
  <c r="N787" i="1"/>
  <c r="L787"/>
  <c r="K787"/>
  <c r="J787"/>
  <c r="I787"/>
  <c r="H787"/>
  <c r="N786"/>
  <c r="L786"/>
  <c r="K786"/>
  <c r="J786"/>
  <c r="I786"/>
  <c r="H786"/>
  <c r="P106" i="3" l="1"/>
  <c r="N106"/>
  <c r="O106" s="1"/>
  <c r="P325"/>
  <c r="N325"/>
  <c r="O325" s="1"/>
  <c r="K106"/>
  <c r="J106"/>
  <c r="I106"/>
  <c r="H106"/>
  <c r="G106"/>
  <c r="F106"/>
  <c r="N119" i="1"/>
  <c r="L119"/>
  <c r="K119"/>
  <c r="J119"/>
  <c r="I119"/>
  <c r="H119"/>
  <c r="K325" i="3"/>
  <c r="J325"/>
  <c r="I325"/>
  <c r="H325"/>
  <c r="G325"/>
  <c r="F325"/>
  <c r="N370" i="1"/>
  <c r="M370"/>
  <c r="L370"/>
  <c r="K370"/>
  <c r="J370"/>
  <c r="I370"/>
  <c r="H370"/>
  <c r="P180" i="3"/>
  <c r="N180"/>
  <c r="O180" s="1"/>
  <c r="P144"/>
  <c r="N144"/>
  <c r="O144" s="1"/>
  <c r="N559"/>
  <c r="O559" s="1"/>
  <c r="P484"/>
  <c r="N484"/>
  <c r="O484" s="1"/>
  <c r="P127"/>
  <c r="N127"/>
  <c r="O127" s="1"/>
  <c r="P153"/>
  <c r="N611"/>
  <c r="O611" s="1"/>
  <c r="K180"/>
  <c r="J180"/>
  <c r="I180"/>
  <c r="H180"/>
  <c r="G180"/>
  <c r="F180"/>
  <c r="N242" i="1"/>
  <c r="L242"/>
  <c r="K242"/>
  <c r="J242"/>
  <c r="I242"/>
  <c r="H242"/>
  <c r="K144" i="3"/>
  <c r="J144"/>
  <c r="I144"/>
  <c r="H144"/>
  <c r="G144"/>
  <c r="F144"/>
  <c r="L174" i="1"/>
  <c r="K174"/>
  <c r="J174"/>
  <c r="I174"/>
  <c r="H174"/>
  <c r="K762" i="3"/>
  <c r="J762"/>
  <c r="I762"/>
  <c r="H762"/>
  <c r="G762"/>
  <c r="F762"/>
  <c r="L948" i="1"/>
  <c r="K948"/>
  <c r="J948"/>
  <c r="I948"/>
  <c r="H948"/>
  <c r="K761" i="3"/>
  <c r="J761"/>
  <c r="I761"/>
  <c r="H761"/>
  <c r="G761"/>
  <c r="F761"/>
  <c r="L947" i="1"/>
  <c r="K947"/>
  <c r="J947"/>
  <c r="I947"/>
  <c r="H947"/>
  <c r="P389" i="3"/>
  <c r="K389"/>
  <c r="J389"/>
  <c r="I389"/>
  <c r="H389"/>
  <c r="G389"/>
  <c r="F389"/>
  <c r="N389"/>
  <c r="O389" s="1"/>
  <c r="M471" i="1"/>
  <c r="L471"/>
  <c r="K471"/>
  <c r="J471"/>
  <c r="I471"/>
  <c r="H471"/>
  <c r="G151" i="6"/>
  <c r="F151"/>
  <c r="E151"/>
  <c r="D151"/>
  <c r="C151"/>
  <c r="P534" i="3"/>
  <c r="N534"/>
  <c r="O534" s="1"/>
  <c r="P532"/>
  <c r="N532"/>
  <c r="O532" s="1"/>
  <c r="P531"/>
  <c r="N531"/>
  <c r="O531" s="1"/>
  <c r="K534"/>
  <c r="J534"/>
  <c r="I534"/>
  <c r="H534"/>
  <c r="G534"/>
  <c r="F534"/>
  <c r="N645" i="1"/>
  <c r="L645"/>
  <c r="K645"/>
  <c r="J645"/>
  <c r="I645"/>
  <c r="H645"/>
  <c r="P626" i="3"/>
  <c r="N626"/>
  <c r="O626" s="1"/>
  <c r="K626"/>
  <c r="J626"/>
  <c r="I626"/>
  <c r="H626"/>
  <c r="G626"/>
  <c r="F626"/>
  <c r="N785" i="1"/>
  <c r="L785"/>
  <c r="K785"/>
  <c r="J785"/>
  <c r="I785"/>
  <c r="H785"/>
  <c r="G187" i="6"/>
  <c r="F187"/>
  <c r="E187"/>
  <c r="D187"/>
  <c r="C187"/>
  <c r="P511" i="3" l="1"/>
  <c r="N511"/>
  <c r="O511" s="1"/>
  <c r="K511"/>
  <c r="J511"/>
  <c r="I511"/>
  <c r="H511"/>
  <c r="G511"/>
  <c r="F511"/>
  <c r="N627" i="1"/>
  <c r="L627"/>
  <c r="K627"/>
  <c r="J627"/>
  <c r="I627"/>
  <c r="H627"/>
  <c r="P270" i="3"/>
  <c r="N270"/>
  <c r="O270" s="1"/>
  <c r="K270"/>
  <c r="J270"/>
  <c r="I270"/>
  <c r="H270"/>
  <c r="G270"/>
  <c r="F270"/>
  <c r="N313" i="1"/>
  <c r="M313"/>
  <c r="L313"/>
  <c r="K313"/>
  <c r="J313"/>
  <c r="I313"/>
  <c r="H313"/>
  <c r="G168" i="6"/>
  <c r="F168"/>
  <c r="E168"/>
  <c r="D168"/>
  <c r="C168"/>
  <c r="G167"/>
  <c r="F167"/>
  <c r="E167"/>
  <c r="D167"/>
  <c r="C167"/>
  <c r="G166"/>
  <c r="F166"/>
  <c r="E166"/>
  <c r="D166"/>
  <c r="C166"/>
  <c r="G165"/>
  <c r="F165"/>
  <c r="E165"/>
  <c r="D165"/>
  <c r="C165"/>
  <c r="G164"/>
  <c r="F164"/>
  <c r="E164"/>
  <c r="D164"/>
  <c r="C164"/>
  <c r="G163"/>
  <c r="F163"/>
  <c r="E163"/>
  <c r="D163"/>
  <c r="C163"/>
  <c r="P279" i="3"/>
  <c r="N279"/>
  <c r="O279" s="1"/>
  <c r="P278"/>
  <c r="N278"/>
  <c r="O278" s="1"/>
  <c r="P277"/>
  <c r="N277"/>
  <c r="O277" s="1"/>
  <c r="P287"/>
  <c r="N287"/>
  <c r="O287" s="1"/>
  <c r="P286"/>
  <c r="N286"/>
  <c r="O286" s="1"/>
  <c r="P676"/>
  <c r="N676"/>
  <c r="O676" s="1"/>
  <c r="K279"/>
  <c r="J279"/>
  <c r="I279"/>
  <c r="H279"/>
  <c r="G279"/>
  <c r="F279"/>
  <c r="K278"/>
  <c r="J278"/>
  <c r="I278"/>
  <c r="H278"/>
  <c r="G278"/>
  <c r="F278"/>
  <c r="K277"/>
  <c r="J277"/>
  <c r="I277"/>
  <c r="H277"/>
  <c r="G277"/>
  <c r="F277"/>
  <c r="K287"/>
  <c r="J287"/>
  <c r="I287"/>
  <c r="H287"/>
  <c r="G287"/>
  <c r="F287"/>
  <c r="K286"/>
  <c r="J286"/>
  <c r="I286"/>
  <c r="H286"/>
  <c r="G286"/>
  <c r="F286"/>
  <c r="N334" i="1"/>
  <c r="M334"/>
  <c r="L334"/>
  <c r="K334"/>
  <c r="J334"/>
  <c r="I334"/>
  <c r="H334"/>
  <c r="N333"/>
  <c r="M333"/>
  <c r="L333"/>
  <c r="K333"/>
  <c r="J333"/>
  <c r="I333"/>
  <c r="H333"/>
  <c r="N332"/>
  <c r="M332"/>
  <c r="L332"/>
  <c r="K332"/>
  <c r="J332"/>
  <c r="I332"/>
  <c r="H332"/>
  <c r="N331"/>
  <c r="M331"/>
  <c r="L331"/>
  <c r="K331"/>
  <c r="J331"/>
  <c r="I331"/>
  <c r="H331"/>
  <c r="N330"/>
  <c r="M330"/>
  <c r="L330"/>
  <c r="K330"/>
  <c r="J330"/>
  <c r="I330"/>
  <c r="H330"/>
  <c r="N662" i="3"/>
  <c r="O662" s="1"/>
  <c r="P661"/>
  <c r="N661"/>
  <c r="O661" s="1"/>
  <c r="K662"/>
  <c r="J662"/>
  <c r="I662"/>
  <c r="H662"/>
  <c r="G662"/>
  <c r="F662"/>
  <c r="N814" i="1"/>
  <c r="M814"/>
  <c r="L814"/>
  <c r="K814"/>
  <c r="J814"/>
  <c r="I814"/>
  <c r="H814"/>
  <c r="G227" i="6"/>
  <c r="F227"/>
  <c r="E227"/>
  <c r="D227"/>
  <c r="C227"/>
  <c r="G226"/>
  <c r="F226"/>
  <c r="E226"/>
  <c r="D226"/>
  <c r="C226"/>
  <c r="G225"/>
  <c r="F225"/>
  <c r="E225"/>
  <c r="D225"/>
  <c r="C225"/>
  <c r="G224"/>
  <c r="F224"/>
  <c r="E224"/>
  <c r="D224"/>
  <c r="C224"/>
  <c r="G223"/>
  <c r="F223"/>
  <c r="E223"/>
  <c r="D223"/>
  <c r="C223"/>
  <c r="G222"/>
  <c r="F222"/>
  <c r="E222"/>
  <c r="D222"/>
  <c r="C222"/>
  <c r="P749" i="3"/>
  <c r="N749"/>
  <c r="O749" s="1"/>
  <c r="P748"/>
  <c r="N748"/>
  <c r="O748" s="1"/>
  <c r="P747"/>
  <c r="N747"/>
  <c r="O747" s="1"/>
  <c r="P746"/>
  <c r="N746"/>
  <c r="O746" s="1"/>
  <c r="P745"/>
  <c r="N745"/>
  <c r="O745" s="1"/>
  <c r="P744"/>
  <c r="N744"/>
  <c r="O744" s="1"/>
  <c r="K749"/>
  <c r="J749"/>
  <c r="I749"/>
  <c r="H749"/>
  <c r="G749"/>
  <c r="F749"/>
  <c r="L929" i="1"/>
  <c r="K929"/>
  <c r="J929"/>
  <c r="I929"/>
  <c r="H929"/>
  <c r="H914"/>
  <c r="K748" i="3"/>
  <c r="J748"/>
  <c r="I748"/>
  <c r="H748"/>
  <c r="G748"/>
  <c r="F748"/>
  <c r="K747"/>
  <c r="J747"/>
  <c r="I747"/>
  <c r="H747"/>
  <c r="G747"/>
  <c r="F747"/>
  <c r="K746"/>
  <c r="J746"/>
  <c r="I746"/>
  <c r="H746"/>
  <c r="G746"/>
  <c r="F746"/>
  <c r="K745"/>
  <c r="J745"/>
  <c r="I745"/>
  <c r="H745"/>
  <c r="G745"/>
  <c r="F745"/>
  <c r="K744"/>
  <c r="J744"/>
  <c r="I744"/>
  <c r="H744"/>
  <c r="G744"/>
  <c r="F744"/>
  <c r="L930" i="1"/>
  <c r="K930"/>
  <c r="J930"/>
  <c r="I930"/>
  <c r="H930"/>
  <c r="L928"/>
  <c r="K928"/>
  <c r="J928"/>
  <c r="I928"/>
  <c r="H928"/>
  <c r="L927"/>
  <c r="K927"/>
  <c r="J927"/>
  <c r="I927"/>
  <c r="H927"/>
  <c r="L926"/>
  <c r="K926"/>
  <c r="J926"/>
  <c r="I926"/>
  <c r="H926"/>
  <c r="L925"/>
  <c r="K925"/>
  <c r="J925"/>
  <c r="I925"/>
  <c r="H925"/>
  <c r="G218" i="6"/>
  <c r="F218"/>
  <c r="E218"/>
  <c r="D218"/>
  <c r="C218"/>
  <c r="G217"/>
  <c r="F217"/>
  <c r="E217"/>
  <c r="D217"/>
  <c r="C217"/>
  <c r="G216"/>
  <c r="F216"/>
  <c r="E216"/>
  <c r="D216"/>
  <c r="C216"/>
  <c r="G215"/>
  <c r="F215"/>
  <c r="E215"/>
  <c r="D215"/>
  <c r="C215"/>
  <c r="G214"/>
  <c r="F214"/>
  <c r="E214"/>
  <c r="D214"/>
  <c r="C214"/>
  <c r="G213"/>
  <c r="F213"/>
  <c r="E213"/>
  <c r="D213"/>
  <c r="C213"/>
  <c r="G65"/>
  <c r="F65"/>
  <c r="E65"/>
  <c r="D65"/>
  <c r="C65"/>
  <c r="G64"/>
  <c r="F64"/>
  <c r="E64"/>
  <c r="D64"/>
  <c r="C64"/>
  <c r="G63"/>
  <c r="F63"/>
  <c r="E63"/>
  <c r="D63"/>
  <c r="C63"/>
  <c r="G62"/>
  <c r="F62"/>
  <c r="E62"/>
  <c r="D62"/>
  <c r="C62"/>
  <c r="G190"/>
  <c r="F190"/>
  <c r="E190"/>
  <c r="D190"/>
  <c r="C190"/>
  <c r="G189"/>
  <c r="F189"/>
  <c r="E189"/>
  <c r="D189"/>
  <c r="C189"/>
  <c r="G188"/>
  <c r="F188"/>
  <c r="E188"/>
  <c r="D188"/>
  <c r="C188"/>
  <c r="N241" i="1"/>
  <c r="L241"/>
  <c r="K241"/>
  <c r="J241"/>
  <c r="I241"/>
  <c r="H241"/>
  <c r="G185" i="6"/>
  <c r="F185"/>
  <c r="E185"/>
  <c r="D185"/>
  <c r="C185"/>
  <c r="P179" i="3"/>
  <c r="N179"/>
  <c r="O179" s="1"/>
  <c r="K179"/>
  <c r="J179"/>
  <c r="I179"/>
  <c r="H179"/>
  <c r="G179"/>
  <c r="F179"/>
  <c r="N673" i="1"/>
  <c r="N670"/>
  <c r="N669"/>
  <c r="N668"/>
  <c r="N667"/>
  <c r="N666"/>
  <c r="N665"/>
  <c r="N664"/>
  <c r="N663"/>
  <c r="N662"/>
  <c r="N661"/>
  <c r="N660"/>
  <c r="N659"/>
  <c r="N657"/>
  <c r="N656"/>
  <c r="N655"/>
  <c r="N654"/>
  <c r="N653"/>
  <c r="N652"/>
  <c r="N651"/>
  <c r="N650"/>
  <c r="N649"/>
  <c r="N643"/>
  <c r="N642"/>
  <c r="N641"/>
  <c r="N640"/>
  <c r="N626"/>
  <c r="N625"/>
  <c r="N624"/>
  <c r="N623"/>
  <c r="N622"/>
  <c r="N621"/>
  <c r="N620"/>
  <c r="N619"/>
  <c r="N618"/>
  <c r="N617"/>
  <c r="N616"/>
  <c r="N615"/>
  <c r="N614"/>
  <c r="N613"/>
  <c r="N612"/>
  <c r="N611"/>
  <c r="N610"/>
  <c r="N609"/>
  <c r="N608"/>
  <c r="N607"/>
  <c r="N606"/>
  <c r="N605"/>
  <c r="N604"/>
  <c r="N603"/>
  <c r="N602"/>
  <c r="N601"/>
  <c r="N600"/>
  <c r="N599"/>
  <c r="N598"/>
  <c r="N597"/>
  <c r="N596"/>
  <c r="N595"/>
  <c r="N594"/>
  <c r="N593"/>
  <c r="N592"/>
  <c r="N591"/>
  <c r="N590"/>
  <c r="N589"/>
  <c r="N588"/>
  <c r="N587"/>
  <c r="N586"/>
  <c r="N583"/>
  <c r="N582"/>
  <c r="N581"/>
  <c r="N580"/>
  <c r="N579"/>
  <c r="N578"/>
  <c r="N577"/>
  <c r="N576"/>
  <c r="N575"/>
  <c r="N574"/>
  <c r="N573"/>
  <c r="N572"/>
  <c r="N571"/>
  <c r="N570"/>
  <c r="N569"/>
  <c r="N568"/>
  <c r="N567"/>
  <c r="N565"/>
  <c r="N564"/>
  <c r="N563"/>
  <c r="N562"/>
  <c r="N561"/>
  <c r="N560"/>
  <c r="N559"/>
  <c r="N558"/>
  <c r="N557"/>
  <c r="N556"/>
  <c r="N555"/>
  <c r="N554"/>
  <c r="N553"/>
  <c r="N548"/>
  <c r="N547"/>
  <c r="N546"/>
  <c r="N545"/>
  <c r="N544"/>
  <c r="N543"/>
  <c r="N542"/>
  <c r="N541"/>
  <c r="N540"/>
  <c r="N539"/>
  <c r="N538"/>
  <c r="N537"/>
  <c r="N536"/>
  <c r="N535"/>
  <c r="N534"/>
  <c r="N533"/>
  <c r="N531"/>
  <c r="N530"/>
  <c r="N529"/>
  <c r="N528"/>
  <c r="N527"/>
  <c r="N526"/>
  <c r="N525"/>
  <c r="N524"/>
  <c r="N523"/>
  <c r="N522"/>
  <c r="N521"/>
  <c r="N520"/>
  <c r="N519"/>
  <c r="N518"/>
  <c r="N517"/>
  <c r="N516"/>
  <c r="N515"/>
  <c r="N514"/>
  <c r="N513"/>
  <c r="N512"/>
  <c r="N511"/>
  <c r="N510"/>
  <c r="N509"/>
  <c r="N508"/>
  <c r="N507"/>
  <c r="N506"/>
  <c r="N505"/>
  <c r="N504"/>
  <c r="N503"/>
  <c r="N502"/>
  <c r="N501"/>
  <c r="N500"/>
  <c r="N499"/>
  <c r="N498"/>
  <c r="N497"/>
  <c r="N496"/>
  <c r="N495"/>
  <c r="N486"/>
  <c r="N485"/>
  <c r="N484"/>
  <c r="N483"/>
  <c r="N482"/>
  <c r="N481"/>
  <c r="N473"/>
  <c r="N472"/>
  <c r="N470"/>
  <c r="N469"/>
  <c r="N468"/>
  <c r="N467"/>
  <c r="N462"/>
  <c r="N461"/>
  <c r="N460"/>
  <c r="N459"/>
  <c r="N457"/>
  <c r="N456"/>
  <c r="N455"/>
  <c r="N454"/>
  <c r="N453"/>
  <c r="N452"/>
  <c r="N449"/>
  <c r="N448"/>
  <c r="N447"/>
  <c r="N446"/>
  <c r="N445"/>
  <c r="N444"/>
  <c r="N443"/>
  <c r="N442"/>
  <c r="N441"/>
  <c r="N429"/>
  <c r="N428"/>
  <c r="N427"/>
  <c r="N426"/>
  <c r="N425"/>
  <c r="N424"/>
  <c r="N423"/>
  <c r="N422"/>
  <c r="N421"/>
  <c r="N420"/>
  <c r="N419"/>
  <c r="N418"/>
  <c r="N415"/>
  <c r="N414"/>
  <c r="N413"/>
  <c r="N412"/>
  <c r="N411"/>
  <c r="N408"/>
  <c r="N407"/>
  <c r="N406"/>
  <c r="N405"/>
  <c r="N390"/>
  <c r="N372"/>
  <c r="N371"/>
  <c r="N369"/>
  <c r="N368"/>
  <c r="N367"/>
  <c r="N366"/>
  <c r="N365"/>
  <c r="N364"/>
  <c r="N363"/>
  <c r="N362"/>
  <c r="N358"/>
  <c r="N357"/>
  <c r="N355"/>
  <c r="N354"/>
  <c r="N353"/>
  <c r="N352"/>
  <c r="N351"/>
  <c r="N350"/>
  <c r="N349"/>
  <c r="N348"/>
  <c r="N347"/>
  <c r="N346"/>
  <c r="N345"/>
  <c r="N344"/>
  <c r="N343"/>
  <c r="N342"/>
  <c r="N341"/>
  <c r="N340"/>
  <c r="N329"/>
  <c r="N328"/>
  <c r="N327"/>
  <c r="N326"/>
  <c r="N325"/>
  <c r="N324"/>
  <c r="N323"/>
  <c r="N322"/>
  <c r="N321"/>
  <c r="N320"/>
  <c r="N319"/>
  <c r="N318"/>
  <c r="N317"/>
  <c r="N316"/>
  <c r="N312"/>
  <c r="N311"/>
  <c r="N310"/>
  <c r="N309"/>
  <c r="N308"/>
  <c r="N307"/>
  <c r="N306"/>
  <c r="N305"/>
  <c r="N304"/>
  <c r="N303"/>
  <c r="N302"/>
  <c r="N301"/>
  <c r="N300"/>
  <c r="N299"/>
  <c r="N298"/>
  <c r="N297"/>
  <c r="N296"/>
  <c r="N295"/>
  <c r="N294"/>
  <c r="N293"/>
  <c r="N292"/>
  <c r="N291"/>
  <c r="N290"/>
  <c r="N289"/>
  <c r="N288"/>
  <c r="N287"/>
  <c r="N286"/>
  <c r="N285"/>
  <c r="N284"/>
  <c r="N283"/>
  <c r="N282"/>
  <c r="N281"/>
  <c r="N280"/>
  <c r="N279"/>
  <c r="N278"/>
  <c r="N277"/>
  <c r="N276"/>
  <c r="N275"/>
  <c r="N274"/>
  <c r="N273"/>
  <c r="N272"/>
  <c r="N271"/>
  <c r="N270"/>
  <c r="N269"/>
  <c r="N268"/>
  <c r="N267"/>
  <c r="N266"/>
  <c r="N265"/>
  <c r="N264"/>
  <c r="N263"/>
  <c r="N262"/>
  <c r="N261"/>
  <c r="N260"/>
  <c r="N259"/>
  <c r="N258"/>
  <c r="N257"/>
  <c r="N256"/>
  <c r="N255"/>
  <c r="N254"/>
  <c r="N253"/>
  <c r="N252"/>
  <c r="N240"/>
  <c r="N239"/>
  <c r="N238"/>
  <c r="N237"/>
  <c r="N236"/>
  <c r="N235"/>
  <c r="N234"/>
  <c r="N233"/>
  <c r="N232"/>
  <c r="N231"/>
  <c r="N230"/>
  <c r="N229"/>
  <c r="N228"/>
  <c r="N227"/>
  <c r="N226"/>
  <c r="N225"/>
  <c r="N224"/>
  <c r="N223"/>
  <c r="N222"/>
  <c r="N221"/>
  <c r="N220"/>
  <c r="N219"/>
  <c r="N218"/>
  <c r="N217"/>
  <c r="N216"/>
  <c r="N215"/>
  <c r="N214"/>
  <c r="N213"/>
  <c r="N212"/>
  <c r="N211"/>
  <c r="N210"/>
  <c r="N209"/>
  <c r="N208"/>
  <c r="N207"/>
  <c r="N206"/>
  <c r="N205"/>
  <c r="N204"/>
  <c r="N203"/>
  <c r="N202"/>
  <c r="N201"/>
  <c r="N200"/>
  <c r="N199"/>
  <c r="N198"/>
  <c r="N197"/>
  <c r="N196"/>
  <c r="N195"/>
  <c r="N194"/>
  <c r="N193"/>
  <c r="N192"/>
  <c r="N191"/>
  <c r="N190"/>
  <c r="N189"/>
  <c r="N188"/>
  <c r="N187"/>
  <c r="N186"/>
  <c r="N185"/>
  <c r="N184"/>
  <c r="N183"/>
  <c r="N182"/>
  <c r="N181"/>
  <c r="N180"/>
  <c r="N179"/>
  <c r="N178"/>
  <c r="N177"/>
  <c r="N176"/>
  <c r="N175"/>
  <c r="N173"/>
  <c r="N172"/>
  <c r="N171"/>
  <c r="N170"/>
  <c r="N169"/>
  <c r="N168"/>
  <c r="N167"/>
  <c r="N166"/>
  <c r="N165"/>
  <c r="N164"/>
  <c r="N163"/>
  <c r="N162"/>
  <c r="N161"/>
  <c r="N160"/>
  <c r="N159"/>
  <c r="N158"/>
  <c r="N157"/>
  <c r="N156"/>
  <c r="N153"/>
  <c r="N152"/>
  <c r="N151"/>
  <c r="N150"/>
  <c r="N149"/>
  <c r="N148"/>
  <c r="N147"/>
  <c r="N146"/>
  <c r="N145"/>
  <c r="N144"/>
  <c r="N143"/>
  <c r="N142"/>
  <c r="N141"/>
  <c r="N140"/>
  <c r="N139"/>
  <c r="N138"/>
  <c r="N137"/>
  <c r="N136"/>
  <c r="N135"/>
  <c r="N134"/>
  <c r="N133"/>
  <c r="N132"/>
  <c r="N131"/>
  <c r="N130"/>
  <c r="N129"/>
  <c r="N128"/>
  <c r="N127"/>
  <c r="N126"/>
  <c r="N125"/>
  <c r="N124"/>
  <c r="N123"/>
  <c r="N122"/>
  <c r="N121"/>
  <c r="N120"/>
  <c r="N118"/>
  <c r="N117"/>
  <c r="N116"/>
  <c r="N115"/>
  <c r="N114"/>
  <c r="N113"/>
  <c r="N112"/>
  <c r="N110"/>
  <c r="N109"/>
  <c r="N108"/>
  <c r="N107"/>
  <c r="N106"/>
  <c r="N105"/>
  <c r="N104"/>
  <c r="N103"/>
  <c r="N102"/>
  <c r="N101"/>
  <c r="N100"/>
  <c r="N99"/>
  <c r="N98"/>
  <c r="N97"/>
  <c r="N96"/>
  <c r="N95"/>
  <c r="N94"/>
  <c r="N93"/>
  <c r="N92"/>
  <c r="N88"/>
  <c r="N86"/>
  <c r="N83"/>
  <c r="N82"/>
  <c r="N81"/>
  <c r="N80"/>
  <c r="N79"/>
  <c r="N78"/>
  <c r="N77"/>
  <c r="N76"/>
  <c r="N75"/>
  <c r="N74"/>
  <c r="N73"/>
  <c r="N72"/>
  <c r="N71"/>
  <c r="N70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J474" i="3"/>
  <c r="N479"/>
  <c r="O479" s="1"/>
  <c r="N478"/>
  <c r="O478" s="1"/>
  <c r="N477"/>
  <c r="O477" s="1"/>
  <c r="N475"/>
  <c r="O475" s="1"/>
  <c r="K479"/>
  <c r="J479"/>
  <c r="I479"/>
  <c r="H479"/>
  <c r="G479"/>
  <c r="F479"/>
  <c r="K478"/>
  <c r="J478"/>
  <c r="I478"/>
  <c r="H478"/>
  <c r="G478"/>
  <c r="F478"/>
  <c r="K477"/>
  <c r="J477"/>
  <c r="I477"/>
  <c r="H477"/>
  <c r="G477"/>
  <c r="F477"/>
  <c r="K476"/>
  <c r="J476"/>
  <c r="I476"/>
  <c r="H476"/>
  <c r="G476"/>
  <c r="F476"/>
  <c r="K475"/>
  <c r="J475"/>
  <c r="I475"/>
  <c r="H475"/>
  <c r="G475"/>
  <c r="F475"/>
  <c r="M586" i="1"/>
  <c r="M583"/>
  <c r="M582"/>
  <c r="M581"/>
  <c r="M580"/>
  <c r="M579"/>
  <c r="M578"/>
  <c r="M577"/>
  <c r="M576"/>
  <c r="M575"/>
  <c r="M574"/>
  <c r="M573"/>
  <c r="M572"/>
  <c r="M571"/>
  <c r="M570"/>
  <c r="M569"/>
  <c r="M568"/>
  <c r="M567"/>
  <c r="M565"/>
  <c r="M564"/>
  <c r="M563"/>
  <c r="M562"/>
  <c r="M561"/>
  <c r="M560"/>
  <c r="M559"/>
  <c r="M558"/>
  <c r="M557"/>
  <c r="M556"/>
  <c r="L583"/>
  <c r="K583"/>
  <c r="J583"/>
  <c r="I583"/>
  <c r="H583"/>
  <c r="L582"/>
  <c r="K582"/>
  <c r="J582"/>
  <c r="I582"/>
  <c r="H582"/>
  <c r="L581"/>
  <c r="K581"/>
  <c r="J581"/>
  <c r="I581"/>
  <c r="H581"/>
  <c r="L580"/>
  <c r="K580"/>
  <c r="J580"/>
  <c r="I580"/>
  <c r="H580"/>
  <c r="L579"/>
  <c r="K579"/>
  <c r="J579"/>
  <c r="I579"/>
  <c r="H579"/>
  <c r="L578"/>
  <c r="K578"/>
  <c r="J578"/>
  <c r="I578"/>
  <c r="H578"/>
  <c r="P178" i="3"/>
  <c r="N178"/>
  <c r="O178" s="1"/>
  <c r="K178"/>
  <c r="J178"/>
  <c r="I178"/>
  <c r="H178"/>
  <c r="G178"/>
  <c r="F178"/>
  <c r="G184" i="6"/>
  <c r="F184"/>
  <c r="E184"/>
  <c r="D184"/>
  <c r="C184"/>
  <c r="L240" i="1"/>
  <c r="K240"/>
  <c r="J240"/>
  <c r="I240"/>
  <c r="H240"/>
  <c r="K223" i="3" l="1"/>
  <c r="J223"/>
  <c r="I223"/>
  <c r="H223"/>
  <c r="G223"/>
  <c r="F223"/>
  <c r="P338"/>
  <c r="N338"/>
  <c r="O338" s="1"/>
  <c r="P334"/>
  <c r="N334"/>
  <c r="O334" s="1"/>
  <c r="P333"/>
  <c r="N333"/>
  <c r="O333" s="1"/>
  <c r="P320"/>
  <c r="N320"/>
  <c r="O320" s="1"/>
  <c r="K339"/>
  <c r="J339"/>
  <c r="I339"/>
  <c r="H339"/>
  <c r="G339"/>
  <c r="F339"/>
  <c r="M412" i="1"/>
  <c r="L412"/>
  <c r="K412"/>
  <c r="J412"/>
  <c r="I412"/>
  <c r="H412"/>
  <c r="M411"/>
  <c r="L411"/>
  <c r="K411"/>
  <c r="J411"/>
  <c r="I411"/>
  <c r="H411"/>
  <c r="M408"/>
  <c r="L408"/>
  <c r="K408"/>
  <c r="J408"/>
  <c r="I408"/>
  <c r="H408"/>
  <c r="M407"/>
  <c r="L407"/>
  <c r="K407"/>
  <c r="J407"/>
  <c r="I407"/>
  <c r="H407"/>
  <c r="M406"/>
  <c r="L406"/>
  <c r="K406"/>
  <c r="J406"/>
  <c r="I406"/>
  <c r="H406"/>
  <c r="M405"/>
  <c r="L405"/>
  <c r="K405"/>
  <c r="J405"/>
  <c r="I405"/>
  <c r="H405"/>
  <c r="M390"/>
  <c r="L390"/>
  <c r="K390"/>
  <c r="J390"/>
  <c r="I390"/>
  <c r="H390"/>
  <c r="M389"/>
  <c r="L389"/>
  <c r="K389"/>
  <c r="J389"/>
  <c r="I389"/>
  <c r="H389"/>
  <c r="M388"/>
  <c r="L388"/>
  <c r="K388"/>
  <c r="J388"/>
  <c r="I388"/>
  <c r="H388"/>
  <c r="M387"/>
  <c r="L387"/>
  <c r="K387"/>
  <c r="J387"/>
  <c r="I387"/>
  <c r="H387"/>
  <c r="M386"/>
  <c r="L386"/>
  <c r="K386"/>
  <c r="J386"/>
  <c r="I386"/>
  <c r="H386"/>
  <c r="M385"/>
  <c r="L385"/>
  <c r="K385"/>
  <c r="J385"/>
  <c r="I385"/>
  <c r="H385"/>
  <c r="M381"/>
  <c r="L381"/>
  <c r="K381"/>
  <c r="J381"/>
  <c r="I381"/>
  <c r="H381"/>
  <c r="M380"/>
  <c r="L380"/>
  <c r="K380"/>
  <c r="J380"/>
  <c r="I380"/>
  <c r="H380"/>
  <c r="M379"/>
  <c r="L379"/>
  <c r="K379"/>
  <c r="J379"/>
  <c r="I379"/>
  <c r="H379"/>
  <c r="M378"/>
  <c r="L378"/>
  <c r="K378"/>
  <c r="J378"/>
  <c r="I378"/>
  <c r="H378"/>
  <c r="M377"/>
  <c r="L377"/>
  <c r="K377"/>
  <c r="J377"/>
  <c r="I377"/>
  <c r="H377"/>
  <c r="M376"/>
  <c r="L376"/>
  <c r="K376"/>
  <c r="J376"/>
  <c r="I376"/>
  <c r="H376"/>
  <c r="M375"/>
  <c r="L375"/>
  <c r="K375"/>
  <c r="J375"/>
  <c r="I375"/>
  <c r="H375"/>
  <c r="M374"/>
  <c r="L374"/>
  <c r="K374"/>
  <c r="J374"/>
  <c r="I374"/>
  <c r="H374"/>
  <c r="M373"/>
  <c r="L373"/>
  <c r="K373"/>
  <c r="J373"/>
  <c r="I373"/>
  <c r="H373"/>
  <c r="M372"/>
  <c r="L372"/>
  <c r="K372"/>
  <c r="J372"/>
  <c r="I372"/>
  <c r="H372"/>
  <c r="M371"/>
  <c r="L371"/>
  <c r="K371"/>
  <c r="J371"/>
  <c r="I371"/>
  <c r="H371"/>
  <c r="M369"/>
  <c r="L369"/>
  <c r="K369"/>
  <c r="J369"/>
  <c r="I369"/>
  <c r="H369"/>
  <c r="M368"/>
  <c r="L368"/>
  <c r="K368"/>
  <c r="J368"/>
  <c r="I368"/>
  <c r="H368"/>
  <c r="M367"/>
  <c r="L367"/>
  <c r="K367"/>
  <c r="J367"/>
  <c r="I367"/>
  <c r="H367"/>
  <c r="M366"/>
  <c r="L366"/>
  <c r="K366"/>
  <c r="J366"/>
  <c r="I366"/>
  <c r="H366"/>
  <c r="M365"/>
  <c r="L365"/>
  <c r="K365"/>
  <c r="J365"/>
  <c r="I365"/>
  <c r="H365"/>
  <c r="M364"/>
  <c r="L364"/>
  <c r="K364"/>
  <c r="J364"/>
  <c r="I364"/>
  <c r="H364"/>
  <c r="M363"/>
  <c r="L363"/>
  <c r="K363"/>
  <c r="J363"/>
  <c r="I363"/>
  <c r="H363"/>
  <c r="M362"/>
  <c r="L362"/>
  <c r="K362"/>
  <c r="J362"/>
  <c r="I362"/>
  <c r="H362"/>
  <c r="M358"/>
  <c r="L358"/>
  <c r="K358"/>
  <c r="J358"/>
  <c r="I358"/>
  <c r="H358"/>
  <c r="M357"/>
  <c r="L357"/>
  <c r="K357"/>
  <c r="J357"/>
  <c r="I357"/>
  <c r="H357"/>
  <c r="M355"/>
  <c r="L355"/>
  <c r="K355"/>
  <c r="J355"/>
  <c r="I355"/>
  <c r="H355"/>
  <c r="M354"/>
  <c r="L354"/>
  <c r="K354"/>
  <c r="J354"/>
  <c r="I354"/>
  <c r="H354"/>
  <c r="M353"/>
  <c r="L353"/>
  <c r="K353"/>
  <c r="J353"/>
  <c r="I353"/>
  <c r="H353"/>
  <c r="M352"/>
  <c r="L352"/>
  <c r="K352"/>
  <c r="J352"/>
  <c r="I352"/>
  <c r="H352"/>
  <c r="M351"/>
  <c r="L351"/>
  <c r="K351"/>
  <c r="J351"/>
  <c r="I351"/>
  <c r="H351"/>
  <c r="M350"/>
  <c r="L350"/>
  <c r="K350"/>
  <c r="J350"/>
  <c r="I350"/>
  <c r="H350"/>
  <c r="M349"/>
  <c r="L349"/>
  <c r="K349"/>
  <c r="J349"/>
  <c r="I349"/>
  <c r="H349"/>
  <c r="M348"/>
  <c r="L348"/>
  <c r="K348"/>
  <c r="J348"/>
  <c r="I348"/>
  <c r="H348"/>
  <c r="M347"/>
  <c r="L347"/>
  <c r="K347"/>
  <c r="J347"/>
  <c r="I347"/>
  <c r="H347"/>
  <c r="M346"/>
  <c r="L346"/>
  <c r="K346"/>
  <c r="J346"/>
  <c r="I346"/>
  <c r="H346"/>
  <c r="M345"/>
  <c r="L345"/>
  <c r="K345"/>
  <c r="J345"/>
  <c r="I345"/>
  <c r="H345"/>
  <c r="M344"/>
  <c r="L344"/>
  <c r="K344"/>
  <c r="J344"/>
  <c r="I344"/>
  <c r="H344"/>
  <c r="M343"/>
  <c r="L343"/>
  <c r="K343"/>
  <c r="J343"/>
  <c r="I343"/>
  <c r="H343"/>
  <c r="M342"/>
  <c r="L342"/>
  <c r="K342"/>
  <c r="J342"/>
  <c r="I342"/>
  <c r="H342"/>
  <c r="M341"/>
  <c r="L341"/>
  <c r="K341"/>
  <c r="J341"/>
  <c r="I341"/>
  <c r="H341"/>
  <c r="M340"/>
  <c r="L340"/>
  <c r="K340"/>
  <c r="J340"/>
  <c r="I340"/>
  <c r="H340"/>
  <c r="K345" i="3"/>
  <c r="J345"/>
  <c r="I345"/>
  <c r="H345"/>
  <c r="G345"/>
  <c r="F345"/>
  <c r="K344"/>
  <c r="J344"/>
  <c r="I344"/>
  <c r="H344"/>
  <c r="G344"/>
  <c r="F344"/>
  <c r="M415" i="1"/>
  <c r="L415"/>
  <c r="K415"/>
  <c r="J415"/>
  <c r="I415"/>
  <c r="H415"/>
  <c r="M414"/>
  <c r="L414"/>
  <c r="K414"/>
  <c r="J414"/>
  <c r="I414"/>
  <c r="H414"/>
  <c r="M413"/>
  <c r="L413"/>
  <c r="K413"/>
  <c r="J413"/>
  <c r="I413"/>
  <c r="H413"/>
  <c r="P329" i="3"/>
  <c r="N329"/>
  <c r="O329" s="1"/>
  <c r="P328"/>
  <c r="N328"/>
  <c r="O328" s="1"/>
  <c r="P327"/>
  <c r="N327"/>
  <c r="O327" s="1"/>
  <c r="P543"/>
  <c r="N543"/>
  <c r="P541"/>
  <c r="N541"/>
  <c r="P446"/>
  <c r="N446"/>
  <c r="O446" s="1"/>
  <c r="P445"/>
  <c r="N445"/>
  <c r="O445" s="1"/>
  <c r="P444"/>
  <c r="N444"/>
  <c r="O444" s="1"/>
  <c r="P443"/>
  <c r="N443"/>
  <c r="O443" s="1"/>
  <c r="P442"/>
  <c r="N442"/>
  <c r="O442" s="1"/>
  <c r="P539"/>
  <c r="N539"/>
  <c r="K446"/>
  <c r="J446"/>
  <c r="I446"/>
  <c r="H446"/>
  <c r="G446"/>
  <c r="F446"/>
  <c r="K445"/>
  <c r="J445"/>
  <c r="I445"/>
  <c r="H445"/>
  <c r="G445"/>
  <c r="F445"/>
  <c r="K444"/>
  <c r="J444"/>
  <c r="I444"/>
  <c r="H444"/>
  <c r="G444"/>
  <c r="F444"/>
  <c r="K442"/>
  <c r="J442"/>
  <c r="I442"/>
  <c r="H442"/>
  <c r="G442"/>
  <c r="F442"/>
  <c r="G58" i="6"/>
  <c r="F58"/>
  <c r="E58"/>
  <c r="D58"/>
  <c r="C58"/>
  <c r="G57"/>
  <c r="F57"/>
  <c r="E57"/>
  <c r="D57"/>
  <c r="C57"/>
  <c r="G56"/>
  <c r="F56"/>
  <c r="E56"/>
  <c r="D56"/>
  <c r="C56"/>
  <c r="G54"/>
  <c r="F54"/>
  <c r="E54"/>
  <c r="D54"/>
  <c r="C54"/>
  <c r="M539" i="1"/>
  <c r="L539"/>
  <c r="K539"/>
  <c r="J539"/>
  <c r="I539"/>
  <c r="H539"/>
  <c r="M538"/>
  <c r="L538"/>
  <c r="K538"/>
  <c r="J538"/>
  <c r="I538"/>
  <c r="H538"/>
  <c r="M537"/>
  <c r="L537"/>
  <c r="K537"/>
  <c r="J537"/>
  <c r="I537"/>
  <c r="H537"/>
  <c r="M536"/>
  <c r="L536"/>
  <c r="K536"/>
  <c r="J536"/>
  <c r="I536"/>
  <c r="H536"/>
  <c r="M535"/>
  <c r="L535"/>
  <c r="K535"/>
  <c r="J535"/>
  <c r="I535"/>
  <c r="H535"/>
  <c r="N537" i="3" l="1"/>
  <c r="O537" s="1"/>
  <c r="P537"/>
  <c r="N538"/>
  <c r="P538"/>
  <c r="N540"/>
  <c r="P540"/>
  <c r="N542"/>
  <c r="P542"/>
  <c r="N544"/>
  <c r="P544"/>
  <c r="K544"/>
  <c r="J544"/>
  <c r="I544"/>
  <c r="H544"/>
  <c r="G544"/>
  <c r="F544"/>
  <c r="K543"/>
  <c r="J543"/>
  <c r="I543"/>
  <c r="H543"/>
  <c r="G543"/>
  <c r="F543"/>
  <c r="K542"/>
  <c r="J542"/>
  <c r="I542"/>
  <c r="H542"/>
  <c r="G542"/>
  <c r="F542"/>
  <c r="K541"/>
  <c r="J541"/>
  <c r="I541"/>
  <c r="H541"/>
  <c r="G541"/>
  <c r="F541"/>
  <c r="K540"/>
  <c r="J540"/>
  <c r="I540"/>
  <c r="H540"/>
  <c r="G540"/>
  <c r="F540"/>
  <c r="K539"/>
  <c r="J539"/>
  <c r="I539"/>
  <c r="H539"/>
  <c r="G539"/>
  <c r="F539"/>
  <c r="K538"/>
  <c r="J538"/>
  <c r="I538"/>
  <c r="H538"/>
  <c r="F538"/>
  <c r="K537"/>
  <c r="J537"/>
  <c r="I537"/>
  <c r="H537"/>
  <c r="G537"/>
  <c r="F537"/>
  <c r="O539"/>
  <c r="G204" i="6"/>
  <c r="F204"/>
  <c r="D204"/>
  <c r="C204"/>
  <c r="G203"/>
  <c r="F203"/>
  <c r="D203"/>
  <c r="C203"/>
  <c r="G202"/>
  <c r="F202"/>
  <c r="D202"/>
  <c r="C202"/>
  <c r="G201"/>
  <c r="F201"/>
  <c r="D201"/>
  <c r="C201"/>
  <c r="G200"/>
  <c r="F200"/>
  <c r="D200"/>
  <c r="C200"/>
  <c r="G199"/>
  <c r="F199"/>
  <c r="D199"/>
  <c r="C199"/>
  <c r="G198"/>
  <c r="F198"/>
  <c r="D198"/>
  <c r="C198"/>
  <c r="G197"/>
  <c r="F197"/>
  <c r="E197"/>
  <c r="D197"/>
  <c r="C197"/>
  <c r="K657" i="1"/>
  <c r="J657"/>
  <c r="I657"/>
  <c r="H657"/>
  <c r="K656"/>
  <c r="J656"/>
  <c r="I656"/>
  <c r="H656"/>
  <c r="K655"/>
  <c r="J655"/>
  <c r="I655"/>
  <c r="H655"/>
  <c r="K654"/>
  <c r="J654"/>
  <c r="I654"/>
  <c r="H654"/>
  <c r="K653"/>
  <c r="J653"/>
  <c r="I653"/>
  <c r="H653"/>
  <c r="K652"/>
  <c r="J652"/>
  <c r="I652"/>
  <c r="H652"/>
  <c r="K651"/>
  <c r="J651"/>
  <c r="I651"/>
  <c r="H651"/>
  <c r="L650"/>
  <c r="K650"/>
  <c r="J650"/>
  <c r="I650"/>
  <c r="H650"/>
  <c r="P177" i="3"/>
  <c r="N177"/>
  <c r="K177"/>
  <c r="J177"/>
  <c r="I177"/>
  <c r="H177"/>
  <c r="G177"/>
  <c r="F177"/>
  <c r="K661"/>
  <c r="J661"/>
  <c r="I661"/>
  <c r="H661"/>
  <c r="G661"/>
  <c r="F661"/>
  <c r="N813" i="1"/>
  <c r="M813"/>
  <c r="L813"/>
  <c r="K813"/>
  <c r="J813"/>
  <c r="I813"/>
  <c r="H813"/>
  <c r="AE63" i="5"/>
  <c r="L626" i="1"/>
  <c r="K626"/>
  <c r="J626"/>
  <c r="I626"/>
  <c r="H626"/>
  <c r="K510" i="3"/>
  <c r="J510"/>
  <c r="I510"/>
  <c r="H510"/>
  <c r="G510"/>
  <c r="F510"/>
  <c r="N439"/>
  <c r="O439" s="1"/>
  <c r="N236"/>
  <c r="O236" s="1"/>
  <c r="K236"/>
  <c r="J236"/>
  <c r="I236"/>
  <c r="H236"/>
  <c r="G236"/>
  <c r="F236"/>
  <c r="M269" i="1"/>
  <c r="L269"/>
  <c r="K269"/>
  <c r="J269"/>
  <c r="I269"/>
  <c r="H269"/>
  <c r="N594" i="3"/>
  <c r="O594" s="1"/>
  <c r="K594"/>
  <c r="J594"/>
  <c r="I594"/>
  <c r="H594"/>
  <c r="G594"/>
  <c r="F594"/>
  <c r="N762" i="1"/>
  <c r="L762"/>
  <c r="K762"/>
  <c r="J762"/>
  <c r="I762"/>
  <c r="H762"/>
  <c r="K611" i="3"/>
  <c r="J611"/>
  <c r="I611"/>
  <c r="H611"/>
  <c r="G611"/>
  <c r="F611"/>
  <c r="K610"/>
  <c r="J610"/>
  <c r="I610"/>
  <c r="H610"/>
  <c r="G610"/>
  <c r="F610"/>
  <c r="P143"/>
  <c r="N143"/>
  <c r="O143" s="1"/>
  <c r="K143"/>
  <c r="J143"/>
  <c r="I143"/>
  <c r="H143"/>
  <c r="G143"/>
  <c r="F143"/>
  <c r="L173" i="1"/>
  <c r="K173"/>
  <c r="J173"/>
  <c r="I173"/>
  <c r="H173"/>
  <c r="K239"/>
  <c r="J239"/>
  <c r="I239"/>
  <c r="H239"/>
  <c r="K509" i="3"/>
  <c r="J509"/>
  <c r="I509"/>
  <c r="H509"/>
  <c r="G509"/>
  <c r="F509"/>
  <c r="N509"/>
  <c r="O509" s="1"/>
  <c r="L625" i="1"/>
  <c r="K625"/>
  <c r="J625"/>
  <c r="I625"/>
  <c r="H625"/>
  <c r="K71" i="3"/>
  <c r="J71"/>
  <c r="I71"/>
  <c r="H71"/>
  <c r="G71"/>
  <c r="F71"/>
  <c r="N71"/>
  <c r="O71" s="1"/>
  <c r="L83" i="1"/>
  <c r="K83"/>
  <c r="J83"/>
  <c r="I83"/>
  <c r="H83"/>
  <c r="P474" i="3"/>
  <c r="N474"/>
  <c r="O474" s="1"/>
  <c r="K474"/>
  <c r="I474"/>
  <c r="H474"/>
  <c r="G474"/>
  <c r="F474"/>
  <c r="P269"/>
  <c r="K269"/>
  <c r="J269"/>
  <c r="I269"/>
  <c r="H269"/>
  <c r="G269"/>
  <c r="F269"/>
  <c r="N269"/>
  <c r="O269" s="1"/>
  <c r="M312" i="1"/>
  <c r="L312"/>
  <c r="K312"/>
  <c r="J312"/>
  <c r="I312"/>
  <c r="H312"/>
  <c r="P275" i="3"/>
  <c r="N275"/>
  <c r="O275" s="1"/>
  <c r="K275"/>
  <c r="J275"/>
  <c r="I275"/>
  <c r="H275"/>
  <c r="G275"/>
  <c r="F275"/>
  <c r="M321" i="1"/>
  <c r="L321"/>
  <c r="K321"/>
  <c r="J321"/>
  <c r="I321"/>
  <c r="H321"/>
  <c r="AE55" i="5"/>
  <c r="N652" i="3"/>
  <c r="O652" s="1"/>
  <c r="K652"/>
  <c r="J652"/>
  <c r="I652"/>
  <c r="H652"/>
  <c r="G652"/>
  <c r="F652"/>
  <c r="M801" i="1"/>
  <c r="L801"/>
  <c r="K801"/>
  <c r="J801"/>
  <c r="I801"/>
  <c r="H801"/>
  <c r="G124" i="6"/>
  <c r="F124"/>
  <c r="E124"/>
  <c r="D124"/>
  <c r="C124"/>
  <c r="G123"/>
  <c r="F123"/>
  <c r="E123"/>
  <c r="D123"/>
  <c r="C123"/>
  <c r="G122"/>
  <c r="F122"/>
  <c r="E122"/>
  <c r="D122"/>
  <c r="C122"/>
  <c r="G121"/>
  <c r="F121"/>
  <c r="E121"/>
  <c r="D121"/>
  <c r="C121"/>
  <c r="P331" i="3"/>
  <c r="N331"/>
  <c r="O331" s="1"/>
  <c r="K331"/>
  <c r="J331"/>
  <c r="I331"/>
  <c r="H331"/>
  <c r="G331"/>
  <c r="F331"/>
  <c r="P330"/>
  <c r="N330"/>
  <c r="O330" s="1"/>
  <c r="K330"/>
  <c r="J330"/>
  <c r="I330"/>
  <c r="H330"/>
  <c r="G330"/>
  <c r="F330"/>
  <c r="K329"/>
  <c r="J329"/>
  <c r="I329"/>
  <c r="H329"/>
  <c r="G329"/>
  <c r="F329"/>
  <c r="K328"/>
  <c r="J328"/>
  <c r="I328"/>
  <c r="H328"/>
  <c r="G328"/>
  <c r="F328"/>
  <c r="P508"/>
  <c r="N508"/>
  <c r="O508" s="1"/>
  <c r="K508"/>
  <c r="J508"/>
  <c r="I508"/>
  <c r="H508"/>
  <c r="G508"/>
  <c r="F508"/>
  <c r="L624" i="1"/>
  <c r="K624"/>
  <c r="J624"/>
  <c r="I624"/>
  <c r="H624"/>
  <c r="M325"/>
  <c r="L325"/>
  <c r="K325"/>
  <c r="J325"/>
  <c r="I325"/>
  <c r="H325"/>
  <c r="P285" i="3"/>
  <c r="N285"/>
  <c r="O285" s="1"/>
  <c r="P284"/>
  <c r="N284"/>
  <c r="O284" s="1"/>
  <c r="P283"/>
  <c r="N283"/>
  <c r="O283" s="1"/>
  <c r="K285"/>
  <c r="J285"/>
  <c r="I285"/>
  <c r="H285"/>
  <c r="G285"/>
  <c r="F285"/>
  <c r="K284"/>
  <c r="J284"/>
  <c r="I284"/>
  <c r="H284"/>
  <c r="G284"/>
  <c r="F284"/>
  <c r="K283"/>
  <c r="J283"/>
  <c r="I283"/>
  <c r="H283"/>
  <c r="G283"/>
  <c r="F283"/>
  <c r="G160" i="6"/>
  <c r="F160"/>
  <c r="E160"/>
  <c r="D160"/>
  <c r="C160"/>
  <c r="G159"/>
  <c r="F159"/>
  <c r="E159"/>
  <c r="D159"/>
  <c r="C159"/>
  <c r="M329" i="1"/>
  <c r="L329"/>
  <c r="K329"/>
  <c r="J329"/>
  <c r="I329"/>
  <c r="H329"/>
  <c r="M328"/>
  <c r="L328"/>
  <c r="K328"/>
  <c r="J328"/>
  <c r="I328"/>
  <c r="H328"/>
  <c r="G155" i="6"/>
  <c r="F155"/>
  <c r="E155"/>
  <c r="D155"/>
  <c r="C155"/>
  <c r="P427" i="3"/>
  <c r="N427"/>
  <c r="O427" s="1"/>
  <c r="P176"/>
  <c r="N176"/>
  <c r="P175"/>
  <c r="N175"/>
  <c r="P174"/>
  <c r="N174"/>
  <c r="K176"/>
  <c r="J176"/>
  <c r="I176"/>
  <c r="H176"/>
  <c r="G176"/>
  <c r="F176"/>
  <c r="K175"/>
  <c r="J175"/>
  <c r="I175"/>
  <c r="H175"/>
  <c r="G175"/>
  <c r="F175"/>
  <c r="K174"/>
  <c r="J174"/>
  <c r="I174"/>
  <c r="H174"/>
  <c r="G174"/>
  <c r="F174"/>
  <c r="K238" i="1"/>
  <c r="J238"/>
  <c r="I238"/>
  <c r="H238"/>
  <c r="K237"/>
  <c r="J237"/>
  <c r="I237"/>
  <c r="H237"/>
  <c r="K236"/>
  <c r="J236"/>
  <c r="I236"/>
  <c r="H236"/>
  <c r="G193" i="6"/>
  <c r="F193"/>
  <c r="D193"/>
  <c r="C193"/>
  <c r="G192"/>
  <c r="F192"/>
  <c r="D192"/>
  <c r="C192"/>
  <c r="G191"/>
  <c r="F191"/>
  <c r="D191"/>
  <c r="C191"/>
  <c r="G183"/>
  <c r="F183"/>
  <c r="D183"/>
  <c r="C183"/>
  <c r="G182"/>
  <c r="F182"/>
  <c r="D182"/>
  <c r="C182"/>
  <c r="G181"/>
  <c r="F181"/>
  <c r="D181"/>
  <c r="C181"/>
  <c r="P173" i="3"/>
  <c r="N173"/>
  <c r="P172"/>
  <c r="N172"/>
  <c r="P171"/>
  <c r="N171"/>
  <c r="P434"/>
  <c r="N434"/>
  <c r="O434" s="1"/>
  <c r="K173"/>
  <c r="J173"/>
  <c r="I173"/>
  <c r="H173"/>
  <c r="G173"/>
  <c r="F173"/>
  <c r="K172"/>
  <c r="J172"/>
  <c r="I172"/>
  <c r="H172"/>
  <c r="G172"/>
  <c r="F172"/>
  <c r="K171"/>
  <c r="J171"/>
  <c r="I171"/>
  <c r="H171"/>
  <c r="G171"/>
  <c r="F171"/>
  <c r="K235" i="1"/>
  <c r="J235"/>
  <c r="I235"/>
  <c r="H235"/>
  <c r="K234"/>
  <c r="J234"/>
  <c r="I234"/>
  <c r="H234"/>
  <c r="K233"/>
  <c r="J233"/>
  <c r="I233"/>
  <c r="H233"/>
  <c r="P660" i="3"/>
  <c r="N660"/>
  <c r="O660" s="1"/>
  <c r="K660"/>
  <c r="J660"/>
  <c r="I660"/>
  <c r="H660"/>
  <c r="G660"/>
  <c r="F660"/>
  <c r="M812" i="1"/>
  <c r="L812"/>
  <c r="K812"/>
  <c r="J812"/>
  <c r="I812"/>
  <c r="H812"/>
  <c r="K334" i="3"/>
  <c r="J334"/>
  <c r="I334"/>
  <c r="H334"/>
  <c r="G334"/>
  <c r="F334"/>
  <c r="K361"/>
  <c r="J361"/>
  <c r="I361"/>
  <c r="H361"/>
  <c r="G361"/>
  <c r="F361"/>
  <c r="L429" i="1"/>
  <c r="K429"/>
  <c r="J429"/>
  <c r="I429"/>
  <c r="H429"/>
  <c r="P170" i="3"/>
  <c r="N170"/>
  <c r="N588"/>
  <c r="O588" s="1"/>
  <c r="N587"/>
  <c r="O587" s="1"/>
  <c r="P343"/>
  <c r="N343"/>
  <c r="O343" s="1"/>
  <c r="P295"/>
  <c r="N295"/>
  <c r="O295" s="1"/>
  <c r="P733"/>
  <c r="N733"/>
  <c r="O733" s="1"/>
  <c r="P142"/>
  <c r="N142"/>
  <c r="O142" s="1"/>
  <c r="P141"/>
  <c r="N141"/>
  <c r="O141" s="1"/>
  <c r="K733"/>
  <c r="J733"/>
  <c r="I733"/>
  <c r="H733"/>
  <c r="G733"/>
  <c r="F733"/>
  <c r="K142"/>
  <c r="J142"/>
  <c r="I142"/>
  <c r="H142"/>
  <c r="G142"/>
  <c r="F142"/>
  <c r="M906" i="1"/>
  <c r="L906"/>
  <c r="K906"/>
  <c r="J906"/>
  <c r="I906"/>
  <c r="H906"/>
  <c r="L172"/>
  <c r="K172"/>
  <c r="J172"/>
  <c r="I172"/>
  <c r="H172"/>
  <c r="K170" i="3"/>
  <c r="J170"/>
  <c r="I170"/>
  <c r="H170"/>
  <c r="G170"/>
  <c r="F170"/>
  <c r="K232" i="1"/>
  <c r="J232"/>
  <c r="I232"/>
  <c r="H232"/>
  <c r="G55" i="6"/>
  <c r="F55"/>
  <c r="E55"/>
  <c r="D55"/>
  <c r="C55"/>
  <c r="G53"/>
  <c r="F53"/>
  <c r="E53"/>
  <c r="D53"/>
  <c r="C53"/>
  <c r="N313" i="3"/>
  <c r="O313" s="1"/>
  <c r="K313"/>
  <c r="J313"/>
  <c r="I313"/>
  <c r="H313"/>
  <c r="G313"/>
  <c r="F313"/>
  <c r="N911" i="1"/>
  <c r="N910"/>
  <c r="N905"/>
  <c r="N904"/>
  <c r="N903"/>
  <c r="N902"/>
  <c r="N901"/>
  <c r="N900"/>
  <c r="N899"/>
  <c r="N898"/>
  <c r="N897"/>
  <c r="N893"/>
  <c r="N892"/>
  <c r="N891"/>
  <c r="N890"/>
  <c r="N889"/>
  <c r="N888"/>
  <c r="N887"/>
  <c r="N886"/>
  <c r="N885"/>
  <c r="N884"/>
  <c r="N883"/>
  <c r="N882"/>
  <c r="N869"/>
  <c r="N868"/>
  <c r="N867"/>
  <c r="N866"/>
  <c r="N865"/>
  <c r="N864"/>
  <c r="N863"/>
  <c r="N862"/>
  <c r="N861"/>
  <c r="N860"/>
  <c r="N859"/>
  <c r="N858"/>
  <c r="N857"/>
  <c r="N856"/>
  <c r="N855"/>
  <c r="N854"/>
  <c r="N853"/>
  <c r="N852"/>
  <c r="N851"/>
  <c r="N850"/>
  <c r="N849"/>
  <c r="N848"/>
  <c r="N847"/>
  <c r="N846"/>
  <c r="N845"/>
  <c r="N844"/>
  <c r="N843"/>
  <c r="N842"/>
  <c r="N841"/>
  <c r="N840"/>
  <c r="N839"/>
  <c r="N838"/>
  <c r="N837"/>
  <c r="N836"/>
  <c r="N835"/>
  <c r="N834"/>
  <c r="N830"/>
  <c r="N829"/>
  <c r="N828"/>
  <c r="N827"/>
  <c r="N826"/>
  <c r="N825"/>
  <c r="N824"/>
  <c r="N823"/>
  <c r="N822"/>
  <c r="N821"/>
  <c r="N820"/>
  <c r="N818"/>
  <c r="N817"/>
  <c r="N811"/>
  <c r="N810"/>
  <c r="N809"/>
  <c r="N808"/>
  <c r="N807"/>
  <c r="N806"/>
  <c r="N805"/>
  <c r="N804"/>
  <c r="N803"/>
  <c r="N800"/>
  <c r="N799"/>
  <c r="N798"/>
  <c r="N797"/>
  <c r="N796"/>
  <c r="N795"/>
  <c r="N794"/>
  <c r="N793"/>
  <c r="N792"/>
  <c r="N791"/>
  <c r="N790"/>
  <c r="N783"/>
  <c r="N782"/>
  <c r="N781"/>
  <c r="N780"/>
  <c r="N779"/>
  <c r="N778"/>
  <c r="N777"/>
  <c r="N776"/>
  <c r="N775"/>
  <c r="N774"/>
  <c r="N773"/>
  <c r="N772"/>
  <c r="N771"/>
  <c r="N770"/>
  <c r="N769"/>
  <c r="N768"/>
  <c r="N767"/>
  <c r="N760"/>
  <c r="N759"/>
  <c r="N758"/>
  <c r="N757"/>
  <c r="N756"/>
  <c r="N755"/>
  <c r="N754"/>
  <c r="N753"/>
  <c r="N752"/>
  <c r="N751"/>
  <c r="N750"/>
  <c r="N749"/>
  <c r="N748"/>
  <c r="N747"/>
  <c r="N745"/>
  <c r="N744"/>
  <c r="N743"/>
  <c r="N742"/>
  <c r="N739"/>
  <c r="N738"/>
  <c r="N737"/>
  <c r="N736"/>
  <c r="N735"/>
  <c r="N734"/>
  <c r="N733"/>
  <c r="N732"/>
  <c r="N731"/>
  <c r="N730"/>
  <c r="N729"/>
  <c r="N728"/>
  <c r="N727"/>
  <c r="N726"/>
  <c r="N725"/>
  <c r="N724"/>
  <c r="N723"/>
  <c r="N721"/>
  <c r="N720"/>
  <c r="N718"/>
  <c r="N717"/>
  <c r="N716"/>
  <c r="N715"/>
  <c r="N714"/>
  <c r="N713"/>
  <c r="N712"/>
  <c r="N711"/>
  <c r="N710"/>
  <c r="N709"/>
  <c r="N708"/>
  <c r="N707"/>
  <c r="N706"/>
  <c r="N705"/>
  <c r="N704"/>
  <c r="N703"/>
  <c r="N702"/>
  <c r="N701"/>
  <c r="N700"/>
  <c r="N699"/>
  <c r="N698"/>
  <c r="N697"/>
  <c r="N696"/>
  <c r="N695"/>
  <c r="N694"/>
  <c r="N693"/>
  <c r="N691"/>
  <c r="N690"/>
  <c r="N689"/>
  <c r="N688"/>
  <c r="N687"/>
  <c r="N686"/>
  <c r="N685"/>
  <c r="N684"/>
  <c r="N683"/>
  <c r="N682"/>
  <c r="N681"/>
  <c r="N680"/>
  <c r="N679"/>
  <c r="N678"/>
  <c r="N677"/>
  <c r="N676"/>
  <c r="N675"/>
  <c r="N674"/>
  <c r="N2"/>
  <c r="G158" i="6"/>
  <c r="F158"/>
  <c r="E158"/>
  <c r="D158"/>
  <c r="C158"/>
  <c r="G157"/>
  <c r="F157"/>
  <c r="E157"/>
  <c r="D157"/>
  <c r="C157"/>
  <c r="G156"/>
  <c r="F156"/>
  <c r="E156"/>
  <c r="D156"/>
  <c r="C156"/>
  <c r="G154"/>
  <c r="F154"/>
  <c r="E154"/>
  <c r="D154"/>
  <c r="C154"/>
  <c r="G149"/>
  <c r="F149"/>
  <c r="E149"/>
  <c r="D149"/>
  <c r="C149"/>
  <c r="P49" i="3"/>
  <c r="P694"/>
  <c r="P681"/>
  <c r="P499"/>
  <c r="P297"/>
  <c r="K297"/>
  <c r="J297"/>
  <c r="I297"/>
  <c r="H297"/>
  <c r="G297"/>
  <c r="F297"/>
  <c r="N297"/>
  <c r="O297" s="1"/>
  <c r="K532"/>
  <c r="J532"/>
  <c r="I532"/>
  <c r="H532"/>
  <c r="G532"/>
  <c r="F532"/>
  <c r="L643" i="1"/>
  <c r="K643"/>
  <c r="J643"/>
  <c r="I643"/>
  <c r="H643"/>
  <c r="G74" i="6"/>
  <c r="F74"/>
  <c r="E74"/>
  <c r="D74"/>
  <c r="C74"/>
  <c r="G73"/>
  <c r="F73"/>
  <c r="E73"/>
  <c r="D73"/>
  <c r="C73"/>
  <c r="G72"/>
  <c r="F72"/>
  <c r="E72"/>
  <c r="D72"/>
  <c r="C72"/>
  <c r="G71"/>
  <c r="F71"/>
  <c r="E71"/>
  <c r="D71"/>
  <c r="C71"/>
  <c r="G70"/>
  <c r="F70"/>
  <c r="E70"/>
  <c r="D70"/>
  <c r="C70"/>
  <c r="N593" i="3"/>
  <c r="O593" s="1"/>
  <c r="N592"/>
  <c r="O592" s="1"/>
  <c r="N591"/>
  <c r="O591" s="1"/>
  <c r="N590"/>
  <c r="O590" s="1"/>
  <c r="N589"/>
  <c r="O589" s="1"/>
  <c r="K593"/>
  <c r="J593"/>
  <c r="I593"/>
  <c r="H593"/>
  <c r="G593"/>
  <c r="F593"/>
  <c r="K592"/>
  <c r="J592"/>
  <c r="I592"/>
  <c r="H592"/>
  <c r="G592"/>
  <c r="F592"/>
  <c r="K591"/>
  <c r="J591"/>
  <c r="I591"/>
  <c r="H591"/>
  <c r="G591"/>
  <c r="F591"/>
  <c r="K590"/>
  <c r="J590"/>
  <c r="I590"/>
  <c r="H590"/>
  <c r="G590"/>
  <c r="F590"/>
  <c r="K589"/>
  <c r="J589"/>
  <c r="I589"/>
  <c r="H589"/>
  <c r="G589"/>
  <c r="F589"/>
  <c r="L760" i="1"/>
  <c r="K760"/>
  <c r="J760"/>
  <c r="I760"/>
  <c r="H760"/>
  <c r="L759"/>
  <c r="K759"/>
  <c r="J759"/>
  <c r="I759"/>
  <c r="H759"/>
  <c r="L758"/>
  <c r="K758"/>
  <c r="J758"/>
  <c r="I758"/>
  <c r="H758"/>
  <c r="L757"/>
  <c r="K757"/>
  <c r="J757"/>
  <c r="I757"/>
  <c r="H757"/>
  <c r="L756"/>
  <c r="K756"/>
  <c r="J756"/>
  <c r="I756"/>
  <c r="H756"/>
  <c r="P168" i="3"/>
  <c r="K168"/>
  <c r="J168"/>
  <c r="I168"/>
  <c r="H168"/>
  <c r="G168"/>
  <c r="F168"/>
  <c r="N168"/>
  <c r="O168" s="1"/>
  <c r="H252" i="1"/>
  <c r="I252"/>
  <c r="J252"/>
  <c r="K252"/>
  <c r="L252"/>
  <c r="L231"/>
  <c r="K231"/>
  <c r="J231"/>
  <c r="I231"/>
  <c r="H231"/>
  <c r="L230"/>
  <c r="K230"/>
  <c r="J230"/>
  <c r="I230"/>
  <c r="H230"/>
  <c r="G87" i="6"/>
  <c r="F87"/>
  <c r="E87"/>
  <c r="D87"/>
  <c r="C87"/>
  <c r="N681" i="3"/>
  <c r="O681" s="1"/>
  <c r="K681"/>
  <c r="J681"/>
  <c r="I681"/>
  <c r="H681"/>
  <c r="G681"/>
  <c r="F681"/>
  <c r="M841" i="1"/>
  <c r="L841"/>
  <c r="K841"/>
  <c r="J841"/>
  <c r="I841"/>
  <c r="H841"/>
  <c r="N294" i="3"/>
  <c r="O294" s="1"/>
  <c r="K296"/>
  <c r="J296"/>
  <c r="I296"/>
  <c r="H296"/>
  <c r="G296"/>
  <c r="F296"/>
  <c r="K295"/>
  <c r="J295"/>
  <c r="I295"/>
  <c r="H295"/>
  <c r="G295"/>
  <c r="F295"/>
  <c r="K294"/>
  <c r="J294"/>
  <c r="I294"/>
  <c r="H294"/>
  <c r="G294"/>
  <c r="F294"/>
  <c r="K343"/>
  <c r="J343"/>
  <c r="I343"/>
  <c r="H343"/>
  <c r="G343"/>
  <c r="F343"/>
  <c r="G145" i="6"/>
  <c r="F145"/>
  <c r="E145"/>
  <c r="D145"/>
  <c r="C145"/>
  <c r="G143"/>
  <c r="F143"/>
  <c r="E143"/>
  <c r="D143"/>
  <c r="C143"/>
  <c r="G140"/>
  <c r="F140"/>
  <c r="E140"/>
  <c r="D140"/>
  <c r="C140"/>
  <c r="G139"/>
  <c r="F139"/>
  <c r="E139"/>
  <c r="D139"/>
  <c r="C139"/>
  <c r="G138"/>
  <c r="F138"/>
  <c r="E138"/>
  <c r="D138"/>
  <c r="C138"/>
  <c r="G137"/>
  <c r="F137"/>
  <c r="E137"/>
  <c r="D137"/>
  <c r="C137"/>
  <c r="G136"/>
  <c r="F136"/>
  <c r="E136"/>
  <c r="D136"/>
  <c r="C136"/>
  <c r="G135"/>
  <c r="F135"/>
  <c r="E135"/>
  <c r="D135"/>
  <c r="C135"/>
  <c r="G134"/>
  <c r="F134"/>
  <c r="E134"/>
  <c r="D134"/>
  <c r="C134"/>
  <c r="G133"/>
  <c r="F133"/>
  <c r="E133"/>
  <c r="D133"/>
  <c r="C133"/>
  <c r="G132"/>
  <c r="F132"/>
  <c r="E132"/>
  <c r="D132"/>
  <c r="C132"/>
  <c r="G131"/>
  <c r="F131"/>
  <c r="E131"/>
  <c r="D131"/>
  <c r="C131"/>
  <c r="G130"/>
  <c r="F130"/>
  <c r="E130"/>
  <c r="D130"/>
  <c r="C130"/>
  <c r="G129"/>
  <c r="F129"/>
  <c r="E129"/>
  <c r="D129"/>
  <c r="C129"/>
  <c r="G128"/>
  <c r="F128"/>
  <c r="E128"/>
  <c r="D128"/>
  <c r="C128"/>
  <c r="G127"/>
  <c r="F127"/>
  <c r="E127"/>
  <c r="D127"/>
  <c r="C127"/>
  <c r="P709" i="3"/>
  <c r="N709"/>
  <c r="O709" s="1"/>
  <c r="K709"/>
  <c r="J709"/>
  <c r="I709"/>
  <c r="H709"/>
  <c r="G709"/>
  <c r="F709"/>
  <c r="P708"/>
  <c r="N708"/>
  <c r="O708" s="1"/>
  <c r="K708"/>
  <c r="J708"/>
  <c r="I708"/>
  <c r="H708"/>
  <c r="G708"/>
  <c r="F708"/>
  <c r="P707"/>
  <c r="N707"/>
  <c r="O707" s="1"/>
  <c r="K707"/>
  <c r="J707"/>
  <c r="I707"/>
  <c r="H707"/>
  <c r="G707"/>
  <c r="F707"/>
  <c r="P706"/>
  <c r="N706"/>
  <c r="O706" s="1"/>
  <c r="K706"/>
  <c r="J706"/>
  <c r="I706"/>
  <c r="H706"/>
  <c r="G706"/>
  <c r="F706"/>
  <c r="P705"/>
  <c r="N705"/>
  <c r="O705" s="1"/>
  <c r="K705"/>
  <c r="J705"/>
  <c r="I705"/>
  <c r="H705"/>
  <c r="G705"/>
  <c r="F705"/>
  <c r="P704"/>
  <c r="N704"/>
  <c r="O704" s="1"/>
  <c r="K704"/>
  <c r="J704"/>
  <c r="I704"/>
  <c r="H704"/>
  <c r="G704"/>
  <c r="F704"/>
  <c r="P703"/>
  <c r="N703"/>
  <c r="O703" s="1"/>
  <c r="K703"/>
  <c r="J703"/>
  <c r="I703"/>
  <c r="H703"/>
  <c r="G703"/>
  <c r="F703"/>
  <c r="P702"/>
  <c r="N702"/>
  <c r="O702" s="1"/>
  <c r="K702"/>
  <c r="J702"/>
  <c r="I702"/>
  <c r="H702"/>
  <c r="G702"/>
  <c r="F702"/>
  <c r="P698"/>
  <c r="N698"/>
  <c r="O698" s="1"/>
  <c r="K698"/>
  <c r="J698"/>
  <c r="I698"/>
  <c r="H698"/>
  <c r="G698"/>
  <c r="F698"/>
  <c r="P697"/>
  <c r="N697"/>
  <c r="O697" s="1"/>
  <c r="K697"/>
  <c r="J697"/>
  <c r="I697"/>
  <c r="H697"/>
  <c r="G697"/>
  <c r="F697"/>
  <c r="P696"/>
  <c r="N696"/>
  <c r="O696" s="1"/>
  <c r="K696"/>
  <c r="J696"/>
  <c r="I696"/>
  <c r="H696"/>
  <c r="G696"/>
  <c r="F696"/>
  <c r="P695"/>
  <c r="N695"/>
  <c r="O695" s="1"/>
  <c r="K695"/>
  <c r="J695"/>
  <c r="I695"/>
  <c r="H695"/>
  <c r="G695"/>
  <c r="F695"/>
  <c r="N694"/>
  <c r="O694" s="1"/>
  <c r="K694"/>
  <c r="J694"/>
  <c r="I694"/>
  <c r="H694"/>
  <c r="G694"/>
  <c r="F694"/>
  <c r="P693"/>
  <c r="N693"/>
  <c r="O693" s="1"/>
  <c r="K693"/>
  <c r="J693"/>
  <c r="I693"/>
  <c r="H693"/>
  <c r="G693"/>
  <c r="F693"/>
  <c r="P692"/>
  <c r="N692"/>
  <c r="O692" s="1"/>
  <c r="K692"/>
  <c r="J692"/>
  <c r="I692"/>
  <c r="H692"/>
  <c r="G692"/>
  <c r="F692"/>
  <c r="L885" i="1"/>
  <c r="K885"/>
  <c r="J885"/>
  <c r="I885"/>
  <c r="H885"/>
  <c r="L884"/>
  <c r="K884"/>
  <c r="J884"/>
  <c r="I884"/>
  <c r="H884"/>
  <c r="L883"/>
  <c r="K883"/>
  <c r="J883"/>
  <c r="I883"/>
  <c r="H883"/>
  <c r="L882"/>
  <c r="K882"/>
  <c r="J882"/>
  <c r="I882"/>
  <c r="H882"/>
  <c r="K869"/>
  <c r="J869"/>
  <c r="I869"/>
  <c r="H869"/>
  <c r="K868"/>
  <c r="J868"/>
  <c r="I868"/>
  <c r="H868"/>
  <c r="K867"/>
  <c r="J867"/>
  <c r="I867"/>
  <c r="H867"/>
  <c r="K866"/>
  <c r="J866"/>
  <c r="I866"/>
  <c r="H866"/>
  <c r="K865"/>
  <c r="J865"/>
  <c r="I865"/>
  <c r="H865"/>
  <c r="K864"/>
  <c r="J864"/>
  <c r="I864"/>
  <c r="H864"/>
  <c r="K863"/>
  <c r="J863"/>
  <c r="I863"/>
  <c r="H863"/>
  <c r="K862"/>
  <c r="J862"/>
  <c r="I862"/>
  <c r="H862"/>
  <c r="K861"/>
  <c r="J861"/>
  <c r="I861"/>
  <c r="H861"/>
  <c r="L860"/>
  <c r="K860"/>
  <c r="J860"/>
  <c r="I860"/>
  <c r="H860"/>
  <c r="K859"/>
  <c r="J859"/>
  <c r="I859"/>
  <c r="H859"/>
  <c r="K858"/>
  <c r="J858"/>
  <c r="I858"/>
  <c r="H858"/>
  <c r="K857"/>
  <c r="J857"/>
  <c r="I857"/>
  <c r="H857"/>
  <c r="K856"/>
  <c r="J856"/>
  <c r="I856"/>
  <c r="H856"/>
  <c r="L855"/>
  <c r="K855"/>
  <c r="J855"/>
  <c r="I855"/>
  <c r="H855"/>
  <c r="L854"/>
  <c r="K854"/>
  <c r="J854"/>
  <c r="I854"/>
  <c r="H854"/>
  <c r="L853"/>
  <c r="K853"/>
  <c r="J853"/>
  <c r="I853"/>
  <c r="H853"/>
  <c r="P657" i="3"/>
  <c r="P654"/>
  <c r="P471"/>
  <c r="P371"/>
  <c r="P466"/>
  <c r="P526"/>
  <c r="P495"/>
  <c r="P463"/>
  <c r="P549"/>
  <c r="P426"/>
  <c r="P68"/>
  <c r="P472"/>
  <c r="P457"/>
  <c r="P358"/>
  <c r="P232"/>
  <c r="P231"/>
  <c r="P496"/>
  <c r="P529"/>
  <c r="P473"/>
  <c r="P452"/>
  <c r="P261"/>
  <c r="P260"/>
  <c r="P465"/>
  <c r="P501"/>
  <c r="P502"/>
  <c r="P418"/>
  <c r="P558"/>
  <c r="P557"/>
  <c r="P438"/>
  <c r="P310"/>
  <c r="P274"/>
  <c r="P668"/>
  <c r="P667"/>
  <c r="P488"/>
  <c r="P276"/>
  <c r="P423"/>
  <c r="P415"/>
  <c r="P273"/>
  <c r="P272"/>
  <c r="P254"/>
  <c r="P253"/>
  <c r="P251"/>
  <c r="P149"/>
  <c r="P125"/>
  <c r="P122"/>
  <c r="P378"/>
  <c r="P357"/>
  <c r="P77"/>
  <c r="P133"/>
  <c r="P51"/>
  <c r="P398"/>
  <c r="P525"/>
  <c r="P514"/>
  <c r="P468"/>
  <c r="P467"/>
  <c r="P441"/>
  <c r="P497"/>
  <c r="P390"/>
  <c r="P388"/>
  <c r="P332"/>
  <c r="P282"/>
  <c r="P281"/>
  <c r="P257"/>
  <c r="P212"/>
  <c r="P137"/>
  <c r="P136"/>
  <c r="P130"/>
  <c r="P89"/>
  <c r="P81"/>
  <c r="P33"/>
  <c r="P32"/>
  <c r="P31"/>
  <c r="P7"/>
  <c r="P439"/>
  <c r="P45"/>
  <c r="P50"/>
  <c r="P548"/>
  <c r="P241"/>
  <c r="P551"/>
  <c r="P280"/>
  <c r="P547"/>
  <c r="F120" i="6"/>
  <c r="F119"/>
  <c r="F115"/>
  <c r="F114"/>
  <c r="F112"/>
  <c r="F111"/>
  <c r="F110"/>
  <c r="F109"/>
  <c r="F108"/>
  <c r="F107"/>
  <c r="F106"/>
  <c r="F105"/>
  <c r="F104"/>
  <c r="F50"/>
  <c r="F100"/>
  <c r="F99"/>
  <c r="F98"/>
  <c r="F97"/>
  <c r="F96"/>
  <c r="F95"/>
  <c r="F94"/>
  <c r="F93"/>
  <c r="F92"/>
  <c r="F91"/>
  <c r="F86"/>
  <c r="F85"/>
  <c r="F84"/>
  <c r="F83"/>
  <c r="F82"/>
  <c r="F81"/>
  <c r="F47"/>
  <c r="F46"/>
  <c r="F45"/>
  <c r="F44"/>
  <c r="F43"/>
  <c r="F42"/>
  <c r="F39"/>
  <c r="F38"/>
  <c r="F37"/>
  <c r="F36"/>
  <c r="F35"/>
  <c r="F31"/>
  <c r="F30"/>
  <c r="F29"/>
  <c r="F28"/>
  <c r="F27"/>
  <c r="F26"/>
  <c r="F25"/>
  <c r="F24"/>
  <c r="F21"/>
  <c r="F20"/>
  <c r="F19"/>
  <c r="F18"/>
  <c r="F15"/>
  <c r="F14"/>
  <c r="F13"/>
  <c r="F12"/>
  <c r="F11"/>
  <c r="F10"/>
  <c r="F9"/>
  <c r="F8"/>
  <c r="F7"/>
  <c r="F6"/>
  <c r="F5"/>
  <c r="F4"/>
  <c r="G120"/>
  <c r="E120"/>
  <c r="D120"/>
  <c r="C120"/>
  <c r="G119"/>
  <c r="E119"/>
  <c r="D119"/>
  <c r="C119"/>
  <c r="G115"/>
  <c r="E115"/>
  <c r="D115"/>
  <c r="C115"/>
  <c r="G114"/>
  <c r="E114"/>
  <c r="D114"/>
  <c r="C114"/>
  <c r="G112"/>
  <c r="E112"/>
  <c r="D112"/>
  <c r="C112"/>
  <c r="G111"/>
  <c r="E111"/>
  <c r="D111"/>
  <c r="C111"/>
  <c r="G110"/>
  <c r="E110"/>
  <c r="D110"/>
  <c r="C110"/>
  <c r="G109"/>
  <c r="E109"/>
  <c r="D109"/>
  <c r="C109"/>
  <c r="G108"/>
  <c r="E108"/>
  <c r="D108"/>
  <c r="C108"/>
  <c r="G107"/>
  <c r="E107"/>
  <c r="D107"/>
  <c r="C107"/>
  <c r="G106"/>
  <c r="E106"/>
  <c r="D106"/>
  <c r="C106"/>
  <c r="G105"/>
  <c r="E105"/>
  <c r="D105"/>
  <c r="C105"/>
  <c r="G104"/>
  <c r="E104"/>
  <c r="D104"/>
  <c r="C104"/>
  <c r="P96" i="3"/>
  <c r="P685"/>
  <c r="P690"/>
  <c r="P740"/>
  <c r="P738"/>
  <c r="P97"/>
  <c r="G50" i="6"/>
  <c r="E50"/>
  <c r="D50"/>
  <c r="C50"/>
  <c r="K620" i="3"/>
  <c r="J620"/>
  <c r="I620"/>
  <c r="H620"/>
  <c r="G620"/>
  <c r="F620"/>
  <c r="N620"/>
  <c r="O620" s="1"/>
  <c r="L739" i="1"/>
  <c r="K739"/>
  <c r="J739"/>
  <c r="I739"/>
  <c r="H739"/>
  <c r="G86" i="6"/>
  <c r="E86"/>
  <c r="D86"/>
  <c r="C86"/>
  <c r="G85"/>
  <c r="E85"/>
  <c r="D85"/>
  <c r="C85"/>
  <c r="G84"/>
  <c r="E84"/>
  <c r="D84"/>
  <c r="C84"/>
  <c r="G83"/>
  <c r="E83"/>
  <c r="D83"/>
  <c r="C83"/>
  <c r="G82"/>
  <c r="E82"/>
  <c r="D82"/>
  <c r="C82"/>
  <c r="G81"/>
  <c r="E81"/>
  <c r="D81"/>
  <c r="C81"/>
  <c r="P649" i="3"/>
  <c r="P208"/>
  <c r="P117"/>
  <c r="P11"/>
  <c r="P684"/>
  <c r="P691"/>
  <c r="P689"/>
  <c r="P688"/>
  <c r="P686"/>
  <c r="P683"/>
  <c r="P620"/>
  <c r="P680"/>
  <c r="P503"/>
  <c r="N686"/>
  <c r="O686" s="1"/>
  <c r="N688"/>
  <c r="O688" s="1"/>
  <c r="N689"/>
  <c r="O689" s="1"/>
  <c r="N690"/>
  <c r="O690" s="1"/>
  <c r="N691"/>
  <c r="O691" s="1"/>
  <c r="N683"/>
  <c r="O683" s="1"/>
  <c r="G100" i="6"/>
  <c r="E100"/>
  <c r="D100"/>
  <c r="C100"/>
  <c r="G99"/>
  <c r="D99"/>
  <c r="C99"/>
  <c r="G98"/>
  <c r="D98"/>
  <c r="C98"/>
  <c r="G97"/>
  <c r="D97"/>
  <c r="C97"/>
  <c r="G96"/>
  <c r="D96"/>
  <c r="C96"/>
  <c r="G95"/>
  <c r="D95"/>
  <c r="C95"/>
  <c r="G94"/>
  <c r="D94"/>
  <c r="C94"/>
  <c r="G93"/>
  <c r="D93"/>
  <c r="C93"/>
  <c r="G92"/>
  <c r="E92"/>
  <c r="D92"/>
  <c r="C92"/>
  <c r="G91"/>
  <c r="E91"/>
  <c r="D91"/>
  <c r="C91"/>
  <c r="K683" i="3"/>
  <c r="J683"/>
  <c r="I683"/>
  <c r="H683"/>
  <c r="G683"/>
  <c r="F683"/>
  <c r="K691"/>
  <c r="J691"/>
  <c r="I691"/>
  <c r="H691"/>
  <c r="G691"/>
  <c r="F691"/>
  <c r="K690"/>
  <c r="J690"/>
  <c r="I690"/>
  <c r="H690"/>
  <c r="G690"/>
  <c r="F690"/>
  <c r="K689"/>
  <c r="J689"/>
  <c r="I689"/>
  <c r="H689"/>
  <c r="G689"/>
  <c r="F689"/>
  <c r="K688"/>
  <c r="J688"/>
  <c r="I688"/>
  <c r="H688"/>
  <c r="G688"/>
  <c r="F688"/>
  <c r="K687"/>
  <c r="J687"/>
  <c r="I687"/>
  <c r="H687"/>
  <c r="G687"/>
  <c r="F687"/>
  <c r="K686"/>
  <c r="J686"/>
  <c r="I686"/>
  <c r="H686"/>
  <c r="G686"/>
  <c r="F686"/>
  <c r="L852" i="1"/>
  <c r="K852"/>
  <c r="J852"/>
  <c r="I852"/>
  <c r="H852"/>
  <c r="K851"/>
  <c r="J851"/>
  <c r="I851"/>
  <c r="H851"/>
  <c r="K850"/>
  <c r="J850"/>
  <c r="I850"/>
  <c r="H850"/>
  <c r="K849"/>
  <c r="J849"/>
  <c r="I849"/>
  <c r="H849"/>
  <c r="K848"/>
  <c r="J848"/>
  <c r="I848"/>
  <c r="H848"/>
  <c r="K847"/>
  <c r="J847"/>
  <c r="I847"/>
  <c r="H847"/>
  <c r="K846"/>
  <c r="J846"/>
  <c r="I846"/>
  <c r="H846"/>
  <c r="AE47" i="5"/>
  <c r="AE39"/>
  <c r="P249" i="3"/>
  <c r="P500"/>
  <c r="P94"/>
  <c r="P678"/>
  <c r="P507"/>
  <c r="P359"/>
  <c r="P348"/>
  <c r="P194"/>
  <c r="P227"/>
  <c r="P462"/>
  <c r="P456"/>
  <c r="P410"/>
  <c r="P375"/>
  <c r="P196"/>
  <c r="P422"/>
  <c r="P460"/>
  <c r="P107"/>
  <c r="P409"/>
  <c r="P408"/>
  <c r="P374"/>
  <c r="P109"/>
  <c r="P108"/>
  <c r="P3"/>
  <c r="P319"/>
  <c r="P225"/>
  <c r="P67"/>
  <c r="P4"/>
  <c r="P78"/>
  <c r="P74"/>
  <c r="P5"/>
  <c r="P115"/>
  <c r="P114"/>
  <c r="P198"/>
  <c r="P237"/>
  <c r="P111"/>
  <c r="P648"/>
  <c r="P461"/>
  <c r="P9"/>
  <c r="P489"/>
  <c r="P481"/>
  <c r="P342"/>
  <c r="P193"/>
  <c r="P110"/>
  <c r="P113"/>
  <c r="P112"/>
  <c r="P647"/>
  <c r="P646"/>
  <c r="P645"/>
  <c r="P116"/>
  <c r="P644"/>
  <c r="P367"/>
  <c r="P129"/>
  <c r="P10"/>
  <c r="P379"/>
  <c r="P377"/>
  <c r="P368"/>
  <c r="P366"/>
  <c r="P238"/>
  <c r="P82"/>
  <c r="P14"/>
  <c r="P13"/>
  <c r="P12"/>
  <c r="P119"/>
  <c r="P19"/>
  <c r="P15"/>
  <c r="P428"/>
  <c r="P229"/>
  <c r="P561"/>
  <c r="P429"/>
  <c r="P380"/>
  <c r="P562"/>
  <c r="P563"/>
  <c r="P239"/>
  <c r="P432"/>
  <c r="P483"/>
  <c r="P470"/>
  <c r="P386"/>
  <c r="P435"/>
  <c r="P436"/>
  <c r="P482"/>
  <c r="P387"/>
  <c r="P485"/>
  <c r="P433"/>
  <c r="P264"/>
  <c r="P256"/>
  <c r="P262"/>
  <c r="P369"/>
  <c r="P437"/>
  <c r="P267"/>
  <c r="P255"/>
  <c r="P242"/>
  <c r="P252"/>
  <c r="P8"/>
  <c r="P6"/>
  <c r="P2"/>
  <c r="P90"/>
  <c r="P26"/>
  <c r="P25"/>
  <c r="P16"/>
  <c r="P79"/>
  <c r="P24"/>
  <c r="P610"/>
  <c r="P609"/>
  <c r="P607"/>
  <c r="P606"/>
  <c r="P80"/>
  <c r="P27"/>
  <c r="P29"/>
  <c r="P28"/>
  <c r="P605"/>
  <c r="P86"/>
  <c r="P425"/>
  <c r="P424"/>
  <c r="P421"/>
  <c r="P420"/>
  <c r="P34"/>
  <c r="P370"/>
  <c r="P650"/>
  <c r="P268"/>
  <c r="P36"/>
  <c r="P35"/>
  <c r="P673"/>
  <c r="P666"/>
  <c r="P486"/>
  <c r="P487"/>
  <c r="P400"/>
  <c r="P93"/>
  <c r="P399"/>
  <c r="P92"/>
  <c r="P582"/>
  <c r="P402"/>
  <c r="P672"/>
  <c r="P528"/>
  <c r="P494"/>
  <c r="P401"/>
  <c r="P91"/>
  <c r="P43"/>
  <c r="P40"/>
  <c r="P38"/>
  <c r="P30"/>
  <c r="P41"/>
  <c r="P44"/>
  <c r="P42"/>
  <c r="P498"/>
  <c r="P126"/>
  <c r="P240"/>
  <c r="P491"/>
  <c r="P98"/>
  <c r="P95"/>
  <c r="P87"/>
  <c r="P490"/>
  <c r="P100"/>
  <c r="P350"/>
  <c r="P550"/>
  <c r="P504"/>
  <c r="P308"/>
  <c r="P290"/>
  <c r="P291"/>
  <c r="P223"/>
  <c r="P245"/>
  <c r="P244"/>
  <c r="P128"/>
  <c r="P292"/>
  <c r="P381"/>
  <c r="P553"/>
  <c r="P554"/>
  <c r="P309"/>
  <c r="P556"/>
  <c r="P555"/>
  <c r="P230"/>
  <c r="P247"/>
  <c r="P224"/>
  <c r="P416"/>
  <c r="P266"/>
  <c r="P265"/>
  <c r="P258"/>
  <c r="P625"/>
  <c r="P612"/>
  <c r="P634"/>
  <c r="P633"/>
  <c r="P632"/>
  <c r="P631"/>
  <c r="P618"/>
  <c r="P619"/>
  <c r="P616"/>
  <c r="P586"/>
  <c r="P585"/>
  <c r="P731"/>
  <c r="P148"/>
  <c r="P732"/>
  <c r="P159"/>
  <c r="P151"/>
  <c r="P147"/>
  <c r="P679"/>
  <c r="P289"/>
  <c r="P226"/>
  <c r="P213"/>
  <c r="P199"/>
  <c r="P195"/>
  <c r="P197"/>
  <c r="P349"/>
  <c r="P216"/>
  <c r="P376"/>
  <c r="P321"/>
  <c r="P201"/>
  <c r="P200"/>
  <c r="P567"/>
  <c r="P210"/>
  <c r="P203"/>
  <c r="P202"/>
  <c r="P581"/>
  <c r="P599"/>
  <c r="P546"/>
  <c r="P414"/>
  <c r="P221"/>
  <c r="P220"/>
  <c r="P214"/>
  <c r="P211"/>
  <c r="P602"/>
  <c r="P23"/>
  <c r="P18"/>
  <c r="P20"/>
  <c r="P570"/>
  <c r="P569"/>
  <c r="P568"/>
  <c r="P419"/>
  <c r="P169"/>
  <c r="P464"/>
  <c r="P571"/>
  <c r="P572"/>
  <c r="P191"/>
  <c r="P579"/>
  <c r="P578"/>
  <c r="P577"/>
  <c r="P576"/>
  <c r="P37"/>
  <c r="P22"/>
  <c r="P21"/>
  <c r="P17"/>
  <c r="P675"/>
  <c r="P39"/>
  <c r="P623"/>
  <c r="P677"/>
  <c r="P583"/>
  <c r="P584"/>
  <c r="P682"/>
  <c r="P70"/>
  <c r="P447"/>
  <c r="P469"/>
  <c r="P312"/>
  <c r="P311"/>
  <c r="P315"/>
  <c r="P205"/>
  <c r="P204"/>
  <c r="P411"/>
  <c r="P412"/>
  <c r="P207"/>
  <c r="P206"/>
  <c r="P217"/>
  <c r="P215"/>
  <c r="P209"/>
  <c r="P323"/>
  <c r="P322"/>
  <c r="P218"/>
  <c r="P413"/>
  <c r="P431"/>
  <c r="P324"/>
  <c r="P121"/>
  <c r="P120"/>
  <c r="P118"/>
  <c r="P430"/>
  <c r="P250"/>
  <c r="P246"/>
  <c r="P233"/>
  <c r="P417"/>
  <c r="P124"/>
  <c r="P123"/>
  <c r="P248"/>
  <c r="P138"/>
  <c r="P131"/>
  <c r="P190"/>
  <c r="P145"/>
  <c r="P235"/>
  <c r="P150"/>
  <c r="P448"/>
  <c r="P192"/>
  <c r="P146"/>
  <c r="P132"/>
  <c r="P234"/>
  <c r="P727"/>
  <c r="P451"/>
  <c r="P450"/>
  <c r="P449"/>
  <c r="P730"/>
  <c r="P729"/>
  <c r="P728"/>
  <c r="P152"/>
  <c r="P351"/>
  <c r="P167"/>
  <c r="P166"/>
  <c r="P165"/>
  <c r="P164"/>
  <c r="P163"/>
  <c r="P162"/>
  <c r="P161"/>
  <c r="P160"/>
  <c r="P157"/>
  <c r="P156"/>
  <c r="P155"/>
  <c r="P158"/>
  <c r="P154"/>
  <c r="P139"/>
  <c r="P140"/>
  <c r="P724"/>
  <c r="P505"/>
  <c r="P326"/>
  <c r="P641"/>
  <c r="P640"/>
  <c r="P639"/>
  <c r="P638"/>
  <c r="P530"/>
  <c r="P719"/>
  <c r="P718"/>
  <c r="P717"/>
  <c r="P493"/>
  <c r="P723"/>
  <c r="P721"/>
  <c r="P720"/>
  <c r="P658"/>
  <c r="P722"/>
  <c r="P659"/>
  <c r="P636"/>
  <c r="P637"/>
  <c r="P506"/>
  <c r="P219"/>
  <c r="P76"/>
  <c r="P75"/>
  <c r="P742"/>
  <c r="P741"/>
  <c r="P739"/>
  <c r="P737"/>
  <c r="P360"/>
  <c r="P293"/>
  <c r="P46"/>
  <c r="P48"/>
  <c r="P243"/>
  <c r="P736"/>
  <c r="P105"/>
  <c r="P104"/>
  <c r="P103"/>
  <c r="P102"/>
  <c r="P101"/>
  <c r="P222"/>
  <c r="G47" i="6"/>
  <c r="E47"/>
  <c r="D47"/>
  <c r="C47"/>
  <c r="G46"/>
  <c r="E46"/>
  <c r="D46"/>
  <c r="C46"/>
  <c r="G45"/>
  <c r="E45"/>
  <c r="D45"/>
  <c r="C45"/>
  <c r="G44"/>
  <c r="E44"/>
  <c r="D44"/>
  <c r="C44"/>
  <c r="G43"/>
  <c r="E43"/>
  <c r="D43"/>
  <c r="C43"/>
  <c r="G42"/>
  <c r="E42"/>
  <c r="D42"/>
  <c r="C42"/>
  <c r="N641" i="3"/>
  <c r="O641" s="1"/>
  <c r="N640"/>
  <c r="O640" s="1"/>
  <c r="N639"/>
  <c r="O639" s="1"/>
  <c r="N638"/>
  <c r="O638" s="1"/>
  <c r="N637"/>
  <c r="O637" s="1"/>
  <c r="N636"/>
  <c r="O636" s="1"/>
  <c r="K641"/>
  <c r="J641"/>
  <c r="I641"/>
  <c r="H641"/>
  <c r="G641"/>
  <c r="F641"/>
  <c r="K640"/>
  <c r="J640"/>
  <c r="I640"/>
  <c r="H640"/>
  <c r="G640"/>
  <c r="F640"/>
  <c r="K639"/>
  <c r="J639"/>
  <c r="I639"/>
  <c r="H639"/>
  <c r="G639"/>
  <c r="F639"/>
  <c r="K638"/>
  <c r="J638"/>
  <c r="I638"/>
  <c r="H638"/>
  <c r="G638"/>
  <c r="F638"/>
  <c r="K637"/>
  <c r="J637"/>
  <c r="I637"/>
  <c r="H637"/>
  <c r="G637"/>
  <c r="F637"/>
  <c r="K636"/>
  <c r="J636"/>
  <c r="I636"/>
  <c r="H636"/>
  <c r="G636"/>
  <c r="F636"/>
  <c r="L781" i="1"/>
  <c r="K781"/>
  <c r="J781"/>
  <c r="I781"/>
  <c r="H781"/>
  <c r="L780"/>
  <c r="K780"/>
  <c r="J780"/>
  <c r="I780"/>
  <c r="H780"/>
  <c r="L779"/>
  <c r="K779"/>
  <c r="J779"/>
  <c r="I779"/>
  <c r="H779"/>
  <c r="L778"/>
  <c r="K778"/>
  <c r="J778"/>
  <c r="I778"/>
  <c r="H778"/>
  <c r="L777"/>
  <c r="K777"/>
  <c r="J777"/>
  <c r="I777"/>
  <c r="H777"/>
  <c r="L776"/>
  <c r="K776"/>
  <c r="J776"/>
  <c r="I776"/>
  <c r="H776"/>
  <c r="G39" i="6"/>
  <c r="E39"/>
  <c r="D39"/>
  <c r="C39"/>
  <c r="N507" i="3"/>
  <c r="O507" s="1"/>
  <c r="K507"/>
  <c r="J507"/>
  <c r="I507"/>
  <c r="H507"/>
  <c r="G507"/>
  <c r="F507"/>
  <c r="L623" i="1"/>
  <c r="K623"/>
  <c r="J623"/>
  <c r="I623"/>
  <c r="H623"/>
  <c r="G38" i="6"/>
  <c r="E38"/>
  <c r="D38"/>
  <c r="C38"/>
  <c r="G37"/>
  <c r="E37"/>
  <c r="D37"/>
  <c r="C37"/>
  <c r="G36"/>
  <c r="E36"/>
  <c r="D36"/>
  <c r="C36"/>
  <c r="G35"/>
  <c r="E35"/>
  <c r="D35"/>
  <c r="C35"/>
  <c r="G15"/>
  <c r="E15"/>
  <c r="D15"/>
  <c r="C15"/>
  <c r="G14"/>
  <c r="E14"/>
  <c r="D14"/>
  <c r="C14"/>
  <c r="G13"/>
  <c r="E13"/>
  <c r="D13"/>
  <c r="C13"/>
  <c r="N167" i="3"/>
  <c r="O167" s="1"/>
  <c r="N166"/>
  <c r="O166" s="1"/>
  <c r="N165"/>
  <c r="O165" s="1"/>
  <c r="K167"/>
  <c r="J167"/>
  <c r="I167"/>
  <c r="H167"/>
  <c r="G167"/>
  <c r="F167"/>
  <c r="K166"/>
  <c r="J166"/>
  <c r="I166"/>
  <c r="H166"/>
  <c r="G166"/>
  <c r="F166"/>
  <c r="K165"/>
  <c r="J165"/>
  <c r="I165"/>
  <c r="H165"/>
  <c r="G165"/>
  <c r="F165"/>
  <c r="L228" i="1"/>
  <c r="K228"/>
  <c r="J228"/>
  <c r="I228"/>
  <c r="H228"/>
  <c r="L229"/>
  <c r="K229"/>
  <c r="J229"/>
  <c r="I229"/>
  <c r="H229"/>
  <c r="G12" i="6"/>
  <c r="E12"/>
  <c r="D12"/>
  <c r="C12"/>
  <c r="G11"/>
  <c r="E11"/>
  <c r="D11"/>
  <c r="C11"/>
  <c r="G10"/>
  <c r="E10"/>
  <c r="D10"/>
  <c r="C10"/>
  <c r="G9"/>
  <c r="E9"/>
  <c r="D9"/>
  <c r="C9"/>
  <c r="G8"/>
  <c r="E8"/>
  <c r="D8"/>
  <c r="C8"/>
  <c r="G7"/>
  <c r="E7"/>
  <c r="D7"/>
  <c r="C7"/>
  <c r="G6"/>
  <c r="E6"/>
  <c r="D6"/>
  <c r="C6"/>
  <c r="G5"/>
  <c r="E5"/>
  <c r="D5"/>
  <c r="C5"/>
  <c r="G4"/>
  <c r="E4"/>
  <c r="D4"/>
  <c r="C4"/>
  <c r="E30"/>
  <c r="E29"/>
  <c r="E28"/>
  <c r="E27"/>
  <c r="E26"/>
  <c r="E25"/>
  <c r="E24"/>
  <c r="E20"/>
  <c r="E19"/>
  <c r="E18"/>
  <c r="E21"/>
  <c r="D31"/>
  <c r="D30"/>
  <c r="D29"/>
  <c r="D28"/>
  <c r="D27"/>
  <c r="D26"/>
  <c r="D25"/>
  <c r="D24"/>
  <c r="D21"/>
  <c r="D20"/>
  <c r="D19"/>
  <c r="D18"/>
  <c r="C19"/>
  <c r="G19"/>
  <c r="C20"/>
  <c r="G20"/>
  <c r="C21"/>
  <c r="G21"/>
  <c r="G18"/>
  <c r="C18"/>
  <c r="C31"/>
  <c r="C30"/>
  <c r="C29"/>
  <c r="C28"/>
  <c r="C27"/>
  <c r="C26"/>
  <c r="C25"/>
  <c r="C24"/>
  <c r="G31"/>
  <c r="G30"/>
  <c r="G29"/>
  <c r="G28"/>
  <c r="G27"/>
  <c r="G26"/>
  <c r="G25"/>
  <c r="G24"/>
  <c r="M911" i="1"/>
  <c r="M910"/>
  <c r="M899"/>
  <c r="M898"/>
  <c r="M897"/>
  <c r="M893"/>
  <c r="K919"/>
  <c r="J919"/>
  <c r="I919"/>
  <c r="H919"/>
  <c r="L918"/>
  <c r="K918"/>
  <c r="J918"/>
  <c r="I918"/>
  <c r="H918"/>
  <c r="L917"/>
  <c r="K917"/>
  <c r="J917"/>
  <c r="I917"/>
  <c r="H917"/>
  <c r="L916"/>
  <c r="K916"/>
  <c r="J916"/>
  <c r="I916"/>
  <c r="H916"/>
  <c r="L915"/>
  <c r="K915"/>
  <c r="J915"/>
  <c r="I915"/>
  <c r="H915"/>
  <c r="L914"/>
  <c r="K914"/>
  <c r="J914"/>
  <c r="I914"/>
  <c r="N742" i="3"/>
  <c r="N741"/>
  <c r="O741" s="1"/>
  <c r="N740"/>
  <c r="O740" s="1"/>
  <c r="N739"/>
  <c r="O739" s="1"/>
  <c r="N738"/>
  <c r="O738" s="1"/>
  <c r="N737"/>
  <c r="O737" s="1"/>
  <c r="K742"/>
  <c r="J742"/>
  <c r="I742"/>
  <c r="H742"/>
  <c r="G742"/>
  <c r="F742"/>
  <c r="K741"/>
  <c r="J741"/>
  <c r="I741"/>
  <c r="H741"/>
  <c r="G741"/>
  <c r="F741"/>
  <c r="K740"/>
  <c r="J740"/>
  <c r="I740"/>
  <c r="H740"/>
  <c r="G740"/>
  <c r="F740"/>
  <c r="K739"/>
  <c r="J739"/>
  <c r="I739"/>
  <c r="H739"/>
  <c r="G739"/>
  <c r="F739"/>
  <c r="K738"/>
  <c r="J738"/>
  <c r="I738"/>
  <c r="H738"/>
  <c r="G738"/>
  <c r="F738"/>
  <c r="K737"/>
  <c r="J737"/>
  <c r="I737"/>
  <c r="H737"/>
  <c r="G737"/>
  <c r="F737"/>
  <c r="K360"/>
  <c r="J360"/>
  <c r="I360"/>
  <c r="H360"/>
  <c r="G360"/>
  <c r="F360"/>
  <c r="N360"/>
  <c r="O360" s="1"/>
  <c r="L428" i="1"/>
  <c r="K428"/>
  <c r="J428"/>
  <c r="I428"/>
  <c r="H428"/>
  <c r="N232" i="3"/>
  <c r="O232" s="1"/>
  <c r="N231"/>
  <c r="O231" s="1"/>
  <c r="K232"/>
  <c r="J232"/>
  <c r="I232"/>
  <c r="H232"/>
  <c r="G232"/>
  <c r="F232"/>
  <c r="K231"/>
  <c r="J231"/>
  <c r="I231"/>
  <c r="H231"/>
  <c r="G231"/>
  <c r="F231"/>
  <c r="L264" i="1"/>
  <c r="K264"/>
  <c r="J264"/>
  <c r="I264"/>
  <c r="H264"/>
  <c r="L263"/>
  <c r="K263"/>
  <c r="J263"/>
  <c r="I263"/>
  <c r="H263"/>
  <c r="K371" i="3"/>
  <c r="J371"/>
  <c r="I371"/>
  <c r="H371"/>
  <c r="G371"/>
  <c r="F371"/>
  <c r="N371"/>
  <c r="O371" s="1"/>
  <c r="L449" i="1"/>
  <c r="K449"/>
  <c r="J449"/>
  <c r="I449"/>
  <c r="H449"/>
  <c r="N51" i="3"/>
  <c r="O51" s="1"/>
  <c r="N50"/>
  <c r="O50" s="1"/>
  <c r="K51"/>
  <c r="J51"/>
  <c r="I51"/>
  <c r="H51"/>
  <c r="G51"/>
  <c r="F51"/>
  <c r="K50"/>
  <c r="J50"/>
  <c r="I50"/>
  <c r="H50"/>
  <c r="G50"/>
  <c r="F50"/>
  <c r="L54" i="1"/>
  <c r="K54"/>
  <c r="J54"/>
  <c r="I54"/>
  <c r="H54"/>
  <c r="N551" i="3"/>
  <c r="O551" s="1"/>
  <c r="K551"/>
  <c r="J551"/>
  <c r="I551"/>
  <c r="H551"/>
  <c r="G551"/>
  <c r="F551"/>
  <c r="L670" i="1"/>
  <c r="K670"/>
  <c r="J670"/>
  <c r="I670"/>
  <c r="H670"/>
  <c r="L53"/>
  <c r="K53"/>
  <c r="J53"/>
  <c r="I53"/>
  <c r="H53"/>
  <c r="N550" i="3"/>
  <c r="O550" s="1"/>
  <c r="N48"/>
  <c r="O48" s="1"/>
  <c r="K550"/>
  <c r="J550"/>
  <c r="I550"/>
  <c r="H550"/>
  <c r="G550"/>
  <c r="F550"/>
  <c r="K48"/>
  <c r="J48"/>
  <c r="I48"/>
  <c r="H48"/>
  <c r="G48"/>
  <c r="F48"/>
  <c r="K47"/>
  <c r="J47"/>
  <c r="I47"/>
  <c r="H47"/>
  <c r="G47"/>
  <c r="F47"/>
  <c r="K49"/>
  <c r="J49"/>
  <c r="I49"/>
  <c r="H49"/>
  <c r="G49"/>
  <c r="F49"/>
  <c r="N49"/>
  <c r="O49" s="1"/>
  <c r="L52" i="1"/>
  <c r="K52"/>
  <c r="J52"/>
  <c r="I52"/>
  <c r="H52"/>
  <c r="L51"/>
  <c r="K51"/>
  <c r="J51"/>
  <c r="I51"/>
  <c r="H51"/>
  <c r="L668"/>
  <c r="K668"/>
  <c r="J668"/>
  <c r="I668"/>
  <c r="H668"/>
  <c r="N669" i="3"/>
  <c r="O669" s="1"/>
  <c r="K669"/>
  <c r="J669"/>
  <c r="I669"/>
  <c r="H669"/>
  <c r="G669"/>
  <c r="F669"/>
  <c r="L824" i="1"/>
  <c r="K824"/>
  <c r="J824"/>
  <c r="I824"/>
  <c r="H824"/>
  <c r="L50"/>
  <c r="K50"/>
  <c r="J50"/>
  <c r="I50"/>
  <c r="H50"/>
  <c r="L730"/>
  <c r="K730"/>
  <c r="J730"/>
  <c r="I730"/>
  <c r="H730"/>
  <c r="N506" i="3"/>
  <c r="O506" s="1"/>
  <c r="N505"/>
  <c r="O505" s="1"/>
  <c r="N504"/>
  <c r="O504" s="1"/>
  <c r="K506"/>
  <c r="J506"/>
  <c r="I506"/>
  <c r="H506"/>
  <c r="G506"/>
  <c r="F506"/>
  <c r="K505"/>
  <c r="J505"/>
  <c r="I505"/>
  <c r="H505"/>
  <c r="G505"/>
  <c r="F505"/>
  <c r="K504"/>
  <c r="J504"/>
  <c r="I504"/>
  <c r="H504"/>
  <c r="G504"/>
  <c r="F504"/>
  <c r="K503"/>
  <c r="J503"/>
  <c r="I503"/>
  <c r="H503"/>
  <c r="G503"/>
  <c r="F503"/>
  <c r="N503"/>
  <c r="O503" s="1"/>
  <c r="L622" i="1"/>
  <c r="K622"/>
  <c r="J622"/>
  <c r="I622"/>
  <c r="H622"/>
  <c r="L621"/>
  <c r="K621"/>
  <c r="J621"/>
  <c r="I621"/>
  <c r="H621"/>
  <c r="L620"/>
  <c r="K620"/>
  <c r="J620"/>
  <c r="I620"/>
  <c r="H620"/>
  <c r="L619"/>
  <c r="K619"/>
  <c r="J619"/>
  <c r="I619"/>
  <c r="H619"/>
  <c r="K560" i="3"/>
  <c r="J560"/>
  <c r="I560"/>
  <c r="H560"/>
  <c r="G560"/>
  <c r="F560"/>
  <c r="L683" i="1"/>
  <c r="K683"/>
  <c r="J683"/>
  <c r="I683"/>
  <c r="H683"/>
  <c r="K133" i="3"/>
  <c r="J133"/>
  <c r="I133"/>
  <c r="H133"/>
  <c r="G133"/>
  <c r="F133"/>
  <c r="N133"/>
  <c r="O133" s="1"/>
  <c r="L153" i="1"/>
  <c r="K153"/>
  <c r="J153"/>
  <c r="I153"/>
  <c r="H153"/>
  <c r="N670" i="3"/>
  <c r="O670" s="1"/>
  <c r="K670"/>
  <c r="J670"/>
  <c r="I670"/>
  <c r="H670"/>
  <c r="G670"/>
  <c r="F670"/>
  <c r="L825" i="1"/>
  <c r="K825"/>
  <c r="J825"/>
  <c r="I825"/>
  <c r="H825"/>
  <c r="K141" i="3"/>
  <c r="J141"/>
  <c r="I141"/>
  <c r="H141"/>
  <c r="G141"/>
  <c r="F141"/>
  <c r="L171" i="1"/>
  <c r="K171"/>
  <c r="J171"/>
  <c r="I171"/>
  <c r="H171"/>
  <c r="N46" i="3"/>
  <c r="O46" s="1"/>
  <c r="K46"/>
  <c r="J46"/>
  <c r="I46"/>
  <c r="H46"/>
  <c r="G46"/>
  <c r="F46"/>
  <c r="L49" i="1"/>
  <c r="K49"/>
  <c r="J49"/>
  <c r="I49"/>
  <c r="H49"/>
  <c r="M2"/>
  <c r="N502" i="3"/>
  <c r="O502" s="1"/>
  <c r="K502"/>
  <c r="J502"/>
  <c r="I502"/>
  <c r="H502"/>
  <c r="G502"/>
  <c r="F502"/>
  <c r="L618" i="1"/>
  <c r="K618"/>
  <c r="J618"/>
  <c r="I618"/>
  <c r="H618"/>
  <c r="N452" i="3"/>
  <c r="O452" s="1"/>
  <c r="K452"/>
  <c r="J452"/>
  <c r="I452"/>
  <c r="H452"/>
  <c r="G452"/>
  <c r="F452"/>
  <c r="L548" i="1"/>
  <c r="K548"/>
  <c r="J548"/>
  <c r="I548"/>
  <c r="H548"/>
  <c r="N685" i="3"/>
  <c r="O685" s="1"/>
  <c r="N684"/>
  <c r="O684" s="1"/>
  <c r="N682"/>
  <c r="O682" s="1"/>
  <c r="K685"/>
  <c r="J685"/>
  <c r="I685"/>
  <c r="H685"/>
  <c r="G685"/>
  <c r="F685"/>
  <c r="K684"/>
  <c r="J684"/>
  <c r="I684"/>
  <c r="H684"/>
  <c r="G684"/>
  <c r="F684"/>
  <c r="K682"/>
  <c r="J682"/>
  <c r="I682"/>
  <c r="H682"/>
  <c r="G682"/>
  <c r="F682"/>
  <c r="K845" i="1"/>
  <c r="J845"/>
  <c r="I845"/>
  <c r="H845"/>
  <c r="L844"/>
  <c r="K844"/>
  <c r="J844"/>
  <c r="I844"/>
  <c r="H844"/>
  <c r="L843"/>
  <c r="K843"/>
  <c r="J843"/>
  <c r="I843"/>
  <c r="H843"/>
  <c r="K501" i="3"/>
  <c r="J501"/>
  <c r="I501"/>
  <c r="H501"/>
  <c r="G501"/>
  <c r="F501"/>
  <c r="N501"/>
  <c r="O501" s="1"/>
  <c r="M617" i="1"/>
  <c r="L617"/>
  <c r="K617"/>
  <c r="J617"/>
  <c r="I617"/>
  <c r="H617"/>
  <c r="L651" l="1"/>
  <c r="O538" i="3"/>
  <c r="E198" i="6"/>
  <c r="L652" i="1"/>
  <c r="O540" i="3"/>
  <c r="E199" i="6"/>
  <c r="L237" i="1"/>
  <c r="O170" i="3"/>
  <c r="O174"/>
  <c r="E31" i="6"/>
  <c r="L919" i="1"/>
  <c r="O742" i="3"/>
  <c r="E192" i="6"/>
  <c r="L856" i="1"/>
  <c r="E93" i="6"/>
  <c r="L845" i="1"/>
  <c r="N105" i="3"/>
  <c r="O105" s="1"/>
  <c r="N104"/>
  <c r="O104" s="1"/>
  <c r="N103"/>
  <c r="O103" s="1"/>
  <c r="N102"/>
  <c r="O102" s="1"/>
  <c r="N101"/>
  <c r="O101" s="1"/>
  <c r="N100"/>
  <c r="O100" s="1"/>
  <c r="K105"/>
  <c r="J105"/>
  <c r="I105"/>
  <c r="H105"/>
  <c r="G105"/>
  <c r="F105"/>
  <c r="K104"/>
  <c r="J104"/>
  <c r="I104"/>
  <c r="H104"/>
  <c r="G104"/>
  <c r="F104"/>
  <c r="K103"/>
  <c r="J103"/>
  <c r="I103"/>
  <c r="H103"/>
  <c r="G103"/>
  <c r="F103"/>
  <c r="K102"/>
  <c r="J102"/>
  <c r="I102"/>
  <c r="H102"/>
  <c r="G102"/>
  <c r="F102"/>
  <c r="K101"/>
  <c r="J101"/>
  <c r="I101"/>
  <c r="H101"/>
  <c r="G101"/>
  <c r="F101"/>
  <c r="K100"/>
  <c r="J100"/>
  <c r="I100"/>
  <c r="H100"/>
  <c r="G100"/>
  <c r="F100"/>
  <c r="L118" i="1"/>
  <c r="K118"/>
  <c r="J118"/>
  <c r="I118"/>
  <c r="H118"/>
  <c r="L117"/>
  <c r="K117"/>
  <c r="J117"/>
  <c r="I117"/>
  <c r="H117"/>
  <c r="L116"/>
  <c r="K116"/>
  <c r="J116"/>
  <c r="I116"/>
  <c r="H116"/>
  <c r="L115"/>
  <c r="K115"/>
  <c r="J115"/>
  <c r="I115"/>
  <c r="H115"/>
  <c r="L114"/>
  <c r="K114"/>
  <c r="J114"/>
  <c r="I114"/>
  <c r="H114"/>
  <c r="L113"/>
  <c r="K113"/>
  <c r="J113"/>
  <c r="I113"/>
  <c r="H113"/>
  <c r="E200" i="6" l="1"/>
  <c r="O541" i="3"/>
  <c r="L653" i="1"/>
  <c r="O175" i="3"/>
  <c r="L239" i="1"/>
  <c r="L238"/>
  <c r="E193" i="6"/>
  <c r="E191"/>
  <c r="O177" i="3"/>
  <c r="O176"/>
  <c r="L236" i="1"/>
  <c r="E183" i="6"/>
  <c r="L235" i="1"/>
  <c r="O173" i="3"/>
  <c r="L857" i="1"/>
  <c r="E94" i="6"/>
  <c r="L846" i="1"/>
  <c r="N240" i="3"/>
  <c r="O240" s="1"/>
  <c r="K240"/>
  <c r="J240"/>
  <c r="I240"/>
  <c r="H240"/>
  <c r="G240"/>
  <c r="F240"/>
  <c r="L274" i="1"/>
  <c r="K274"/>
  <c r="J274"/>
  <c r="I274"/>
  <c r="H274"/>
  <c r="L654" l="1"/>
  <c r="O542" i="3"/>
  <c r="E201" i="6"/>
  <c r="E182"/>
  <c r="L234" i="1"/>
  <c r="O172" i="3"/>
  <c r="L858" i="1"/>
  <c r="E95" i="6"/>
  <c r="L847" i="1"/>
  <c r="N45" i="3"/>
  <c r="O45" s="1"/>
  <c r="K45"/>
  <c r="J45"/>
  <c r="I45"/>
  <c r="H45"/>
  <c r="G45"/>
  <c r="F45"/>
  <c r="L48" i="1"/>
  <c r="K48"/>
  <c r="J48"/>
  <c r="I48"/>
  <c r="H48"/>
  <c r="L655" l="1"/>
  <c r="E202" i="6"/>
  <c r="O543" i="3"/>
  <c r="L233" i="1"/>
  <c r="E181" i="6"/>
  <c r="O171" i="3"/>
  <c r="L859" i="1"/>
  <c r="E96" i="6"/>
  <c r="L848" i="1"/>
  <c r="N724" i="3"/>
  <c r="O724" s="1"/>
  <c r="K724"/>
  <c r="J724"/>
  <c r="I724"/>
  <c r="H724"/>
  <c r="G724"/>
  <c r="F724"/>
  <c r="L893" i="1"/>
  <c r="K893"/>
  <c r="J893"/>
  <c r="I893"/>
  <c r="H893"/>
  <c r="N140" i="3"/>
  <c r="O140" s="1"/>
  <c r="K140"/>
  <c r="J140"/>
  <c r="I140"/>
  <c r="H140"/>
  <c r="G140"/>
  <c r="F140"/>
  <c r="L170" i="1"/>
  <c r="K170"/>
  <c r="J170"/>
  <c r="I170"/>
  <c r="H170"/>
  <c r="N659" i="3"/>
  <c r="O659" s="1"/>
  <c r="K659"/>
  <c r="J659"/>
  <c r="I659"/>
  <c r="H659"/>
  <c r="G659"/>
  <c r="F659"/>
  <c r="L811" i="1"/>
  <c r="K811"/>
  <c r="J811"/>
  <c r="I811"/>
  <c r="H811"/>
  <c r="E203" i="6" l="1"/>
  <c r="L656" i="1"/>
  <c r="O544" i="3"/>
  <c r="L232" i="1"/>
  <c r="L861"/>
  <c r="E97" i="6"/>
  <c r="L849" i="1"/>
  <c r="N160" i="3"/>
  <c r="O160" s="1"/>
  <c r="N161"/>
  <c r="O161" s="1"/>
  <c r="N162"/>
  <c r="O162" s="1"/>
  <c r="N163"/>
  <c r="O163" s="1"/>
  <c r="N164"/>
  <c r="O164" s="1"/>
  <c r="K164"/>
  <c r="J164"/>
  <c r="I164"/>
  <c r="H164"/>
  <c r="G164"/>
  <c r="F164"/>
  <c r="K163"/>
  <c r="J163"/>
  <c r="I163"/>
  <c r="H163"/>
  <c r="F163"/>
  <c r="K162"/>
  <c r="J162"/>
  <c r="I162"/>
  <c r="H162"/>
  <c r="G162"/>
  <c r="F162"/>
  <c r="K161"/>
  <c r="J161"/>
  <c r="I161"/>
  <c r="H161"/>
  <c r="G161"/>
  <c r="F161"/>
  <c r="K160"/>
  <c r="J160"/>
  <c r="I160"/>
  <c r="H160"/>
  <c r="G160"/>
  <c r="F160"/>
  <c r="L227" i="1"/>
  <c r="K227"/>
  <c r="J227"/>
  <c r="I227"/>
  <c r="H227"/>
  <c r="L226"/>
  <c r="K226"/>
  <c r="J226"/>
  <c r="I226"/>
  <c r="H226"/>
  <c r="L225"/>
  <c r="K225"/>
  <c r="J225"/>
  <c r="I225"/>
  <c r="H225"/>
  <c r="L224"/>
  <c r="K224"/>
  <c r="J224"/>
  <c r="I224"/>
  <c r="H224"/>
  <c r="L223"/>
  <c r="K223"/>
  <c r="J223"/>
  <c r="I223"/>
  <c r="H223"/>
  <c r="N139" i="3"/>
  <c r="O139" s="1"/>
  <c r="K139"/>
  <c r="J139"/>
  <c r="I139"/>
  <c r="H139"/>
  <c r="G139"/>
  <c r="F139"/>
  <c r="L169" i="1"/>
  <c r="K169"/>
  <c r="J169"/>
  <c r="I169"/>
  <c r="H169"/>
  <c r="E204" i="6" l="1"/>
  <c r="L657" i="1"/>
  <c r="L862"/>
  <c r="E98" i="6"/>
  <c r="L850" i="1"/>
  <c r="K729" i="3"/>
  <c r="J729"/>
  <c r="I729"/>
  <c r="H729"/>
  <c r="G729"/>
  <c r="F729"/>
  <c r="K728"/>
  <c r="J728"/>
  <c r="I728"/>
  <c r="H728"/>
  <c r="G728"/>
  <c r="F728"/>
  <c r="N92"/>
  <c r="O92" s="1"/>
  <c r="J92"/>
  <c r="I92"/>
  <c r="H92"/>
  <c r="G92"/>
  <c r="F92"/>
  <c r="K588"/>
  <c r="J588"/>
  <c r="I588"/>
  <c r="H588"/>
  <c r="G588"/>
  <c r="F588"/>
  <c r="K587"/>
  <c r="J587"/>
  <c r="I587"/>
  <c r="H587"/>
  <c r="G587"/>
  <c r="F587"/>
  <c r="L754" i="1"/>
  <c r="K754"/>
  <c r="J754"/>
  <c r="I754"/>
  <c r="H754"/>
  <c r="L753"/>
  <c r="K753"/>
  <c r="J753"/>
  <c r="I753"/>
  <c r="H753"/>
  <c r="N565" i="3"/>
  <c r="O565" s="1"/>
  <c r="K565"/>
  <c r="J565"/>
  <c r="I565"/>
  <c r="H565"/>
  <c r="G565"/>
  <c r="F565"/>
  <c r="L691" i="1"/>
  <c r="K691"/>
  <c r="J691"/>
  <c r="I691"/>
  <c r="H691"/>
  <c r="K126" i="3"/>
  <c r="J126"/>
  <c r="I126"/>
  <c r="H126"/>
  <c r="G126"/>
  <c r="F126"/>
  <c r="N126"/>
  <c r="O126" s="1"/>
  <c r="L145" i="1"/>
  <c r="K145"/>
  <c r="J145"/>
  <c r="I145"/>
  <c r="H145"/>
  <c r="N70" i="3"/>
  <c r="O70" s="1"/>
  <c r="K70"/>
  <c r="J70"/>
  <c r="I70"/>
  <c r="H70"/>
  <c r="G70"/>
  <c r="F70"/>
  <c r="L82" i="1"/>
  <c r="K82"/>
  <c r="J82"/>
  <c r="I82"/>
  <c r="H82"/>
  <c r="N351" i="3"/>
  <c r="O351" s="1"/>
  <c r="N643"/>
  <c r="O643" s="1"/>
  <c r="J643"/>
  <c r="I643"/>
  <c r="H643"/>
  <c r="G643"/>
  <c r="F643"/>
  <c r="L783" i="1"/>
  <c r="K783"/>
  <c r="J783"/>
  <c r="I783"/>
  <c r="H783"/>
  <c r="N44" i="3"/>
  <c r="O44" s="1"/>
  <c r="K44"/>
  <c r="J44"/>
  <c r="I44"/>
  <c r="H44"/>
  <c r="G44"/>
  <c r="F44"/>
  <c r="M47" i="1"/>
  <c r="L47"/>
  <c r="K47"/>
  <c r="J47"/>
  <c r="I47"/>
  <c r="H47"/>
  <c r="I913"/>
  <c r="H913"/>
  <c r="I912"/>
  <c r="H912"/>
  <c r="I911"/>
  <c r="H911"/>
  <c r="I910"/>
  <c r="H910"/>
  <c r="I905"/>
  <c r="H905"/>
  <c r="I904"/>
  <c r="H904"/>
  <c r="I903"/>
  <c r="H903"/>
  <c r="I902"/>
  <c r="H902"/>
  <c r="I901"/>
  <c r="H901"/>
  <c r="I900"/>
  <c r="H900"/>
  <c r="I899"/>
  <c r="H899"/>
  <c r="I898"/>
  <c r="H898"/>
  <c r="I897"/>
  <c r="H897"/>
  <c r="I892"/>
  <c r="H892"/>
  <c r="I891"/>
  <c r="H891"/>
  <c r="I890"/>
  <c r="H890"/>
  <c r="I889"/>
  <c r="H889"/>
  <c r="I888"/>
  <c r="H888"/>
  <c r="I887"/>
  <c r="H887"/>
  <c r="I886"/>
  <c r="H886"/>
  <c r="I840"/>
  <c r="H840"/>
  <c r="I839"/>
  <c r="H839"/>
  <c r="I838"/>
  <c r="H838"/>
  <c r="I837"/>
  <c r="H837"/>
  <c r="I836"/>
  <c r="H836"/>
  <c r="I835"/>
  <c r="H835"/>
  <c r="I834"/>
  <c r="H834"/>
  <c r="I830"/>
  <c r="H830"/>
  <c r="I829"/>
  <c r="H829"/>
  <c r="I828"/>
  <c r="H828"/>
  <c r="I827"/>
  <c r="H827"/>
  <c r="I826"/>
  <c r="H826"/>
  <c r="I823"/>
  <c r="H823"/>
  <c r="I822"/>
  <c r="H822"/>
  <c r="I821"/>
  <c r="H821"/>
  <c r="I820"/>
  <c r="H820"/>
  <c r="I818"/>
  <c r="H818"/>
  <c r="I817"/>
  <c r="H817"/>
  <c r="I810"/>
  <c r="H810"/>
  <c r="I809"/>
  <c r="H809"/>
  <c r="I808"/>
  <c r="H808"/>
  <c r="I807"/>
  <c r="H807"/>
  <c r="I806"/>
  <c r="H806"/>
  <c r="I805"/>
  <c r="H805"/>
  <c r="I804"/>
  <c r="H804"/>
  <c r="I803"/>
  <c r="H803"/>
  <c r="I800"/>
  <c r="H800"/>
  <c r="I799"/>
  <c r="H799"/>
  <c r="I798"/>
  <c r="H798"/>
  <c r="I797"/>
  <c r="H797"/>
  <c r="I796"/>
  <c r="H796"/>
  <c r="I795"/>
  <c r="H795"/>
  <c r="I794"/>
  <c r="H794"/>
  <c r="I793"/>
  <c r="H793"/>
  <c r="I792"/>
  <c r="H792"/>
  <c r="I791"/>
  <c r="H791"/>
  <c r="I790"/>
  <c r="H790"/>
  <c r="I782"/>
  <c r="H782"/>
  <c r="I775"/>
  <c r="H775"/>
  <c r="I774"/>
  <c r="H774"/>
  <c r="I773"/>
  <c r="H773"/>
  <c r="I772"/>
  <c r="H772"/>
  <c r="I771"/>
  <c r="H771"/>
  <c r="I770"/>
  <c r="H770"/>
  <c r="I769"/>
  <c r="H769"/>
  <c r="I768"/>
  <c r="H768"/>
  <c r="I767"/>
  <c r="H767"/>
  <c r="I752"/>
  <c r="H752"/>
  <c r="I751"/>
  <c r="H751"/>
  <c r="I750"/>
  <c r="H750"/>
  <c r="I749"/>
  <c r="H749"/>
  <c r="I748"/>
  <c r="H748"/>
  <c r="I747"/>
  <c r="H747"/>
  <c r="I745"/>
  <c r="H745"/>
  <c r="I744"/>
  <c r="H744"/>
  <c r="I743"/>
  <c r="H743"/>
  <c r="I742"/>
  <c r="H742"/>
  <c r="I738"/>
  <c r="H738"/>
  <c r="I737"/>
  <c r="H737"/>
  <c r="I736"/>
  <c r="H736"/>
  <c r="I735"/>
  <c r="H735"/>
  <c r="I734"/>
  <c r="H734"/>
  <c r="I733"/>
  <c r="H733"/>
  <c r="I732"/>
  <c r="H732"/>
  <c r="I731"/>
  <c r="H731"/>
  <c r="I729"/>
  <c r="H729"/>
  <c r="I728"/>
  <c r="H728"/>
  <c r="I727"/>
  <c r="H727"/>
  <c r="I726"/>
  <c r="H726"/>
  <c r="I725"/>
  <c r="H725"/>
  <c r="I724"/>
  <c r="H724"/>
  <c r="I723"/>
  <c r="H723"/>
  <c r="I721"/>
  <c r="H721"/>
  <c r="I720"/>
  <c r="H720"/>
  <c r="I718"/>
  <c r="H718"/>
  <c r="I717"/>
  <c r="H717"/>
  <c r="I716"/>
  <c r="H716"/>
  <c r="I715"/>
  <c r="H715"/>
  <c r="I714"/>
  <c r="H714"/>
  <c r="I713"/>
  <c r="H713"/>
  <c r="I712"/>
  <c r="H712"/>
  <c r="I711"/>
  <c r="H711"/>
  <c r="I710"/>
  <c r="H710"/>
  <c r="I709"/>
  <c r="H709"/>
  <c r="I708"/>
  <c r="H708"/>
  <c r="I707"/>
  <c r="H707"/>
  <c r="I706"/>
  <c r="H706"/>
  <c r="I705"/>
  <c r="H705"/>
  <c r="I704"/>
  <c r="H704"/>
  <c r="I703"/>
  <c r="H703"/>
  <c r="I702"/>
  <c r="H702"/>
  <c r="I701"/>
  <c r="H701"/>
  <c r="I700"/>
  <c r="H700"/>
  <c r="I699"/>
  <c r="H699"/>
  <c r="I698"/>
  <c r="H698"/>
  <c r="I697"/>
  <c r="H697"/>
  <c r="I696"/>
  <c r="H696"/>
  <c r="I695"/>
  <c r="H695"/>
  <c r="I694"/>
  <c r="H694"/>
  <c r="I693"/>
  <c r="H693"/>
  <c r="I690"/>
  <c r="H690"/>
  <c r="I689"/>
  <c r="H689"/>
  <c r="I688"/>
  <c r="H688"/>
  <c r="I687"/>
  <c r="H687"/>
  <c r="I686"/>
  <c r="H686"/>
  <c r="I685"/>
  <c r="H685"/>
  <c r="I684"/>
  <c r="H684"/>
  <c r="I682"/>
  <c r="H682"/>
  <c r="I681"/>
  <c r="H681"/>
  <c r="I680"/>
  <c r="H680"/>
  <c r="I679"/>
  <c r="H679"/>
  <c r="I678"/>
  <c r="H678"/>
  <c r="I677"/>
  <c r="H677"/>
  <c r="I676"/>
  <c r="H676"/>
  <c r="I675"/>
  <c r="H675"/>
  <c r="I674"/>
  <c r="H674"/>
  <c r="I673"/>
  <c r="H673"/>
  <c r="I666"/>
  <c r="H666"/>
  <c r="I665"/>
  <c r="H665"/>
  <c r="I664"/>
  <c r="H664"/>
  <c r="I663"/>
  <c r="H663"/>
  <c r="I662"/>
  <c r="H662"/>
  <c r="I661"/>
  <c r="H661"/>
  <c r="I660"/>
  <c r="H660"/>
  <c r="I641"/>
  <c r="H641"/>
  <c r="I640"/>
  <c r="H640"/>
  <c r="I616"/>
  <c r="H616"/>
  <c r="I615"/>
  <c r="H615"/>
  <c r="I614"/>
  <c r="H614"/>
  <c r="I613"/>
  <c r="H613"/>
  <c r="I612"/>
  <c r="H612"/>
  <c r="I611"/>
  <c r="H611"/>
  <c r="I610"/>
  <c r="H610"/>
  <c r="I609"/>
  <c r="H609"/>
  <c r="I608"/>
  <c r="H608"/>
  <c r="I607"/>
  <c r="H607"/>
  <c r="I606"/>
  <c r="H606"/>
  <c r="I605"/>
  <c r="H605"/>
  <c r="I604"/>
  <c r="H604"/>
  <c r="I603"/>
  <c r="H603"/>
  <c r="I602"/>
  <c r="H602"/>
  <c r="I601"/>
  <c r="H601"/>
  <c r="I600"/>
  <c r="H600"/>
  <c r="I599"/>
  <c r="H599"/>
  <c r="I598"/>
  <c r="H598"/>
  <c r="I597"/>
  <c r="H597"/>
  <c r="I596"/>
  <c r="H596"/>
  <c r="I595"/>
  <c r="H595"/>
  <c r="I594"/>
  <c r="H594"/>
  <c r="I593"/>
  <c r="H593"/>
  <c r="I592"/>
  <c r="H592"/>
  <c r="I591"/>
  <c r="H591"/>
  <c r="I590"/>
  <c r="H590"/>
  <c r="I589"/>
  <c r="H589"/>
  <c r="I588"/>
  <c r="H588"/>
  <c r="I587"/>
  <c r="H587"/>
  <c r="I586"/>
  <c r="H586"/>
  <c r="I576"/>
  <c r="H576"/>
  <c r="I575"/>
  <c r="H575"/>
  <c r="I574"/>
  <c r="H574"/>
  <c r="I573"/>
  <c r="H573"/>
  <c r="I572"/>
  <c r="H572"/>
  <c r="I571"/>
  <c r="H571"/>
  <c r="I570"/>
  <c r="H570"/>
  <c r="I569"/>
  <c r="H569"/>
  <c r="I568"/>
  <c r="H568"/>
  <c r="I567"/>
  <c r="H567"/>
  <c r="I565"/>
  <c r="H565"/>
  <c r="I564"/>
  <c r="H564"/>
  <c r="I563"/>
  <c r="H563"/>
  <c r="I562"/>
  <c r="H562"/>
  <c r="I561"/>
  <c r="H561"/>
  <c r="I560"/>
  <c r="H560"/>
  <c r="I559"/>
  <c r="H559"/>
  <c r="I558"/>
  <c r="H558"/>
  <c r="I557"/>
  <c r="H557"/>
  <c r="I556"/>
  <c r="H556"/>
  <c r="I555"/>
  <c r="H555"/>
  <c r="I554"/>
  <c r="H554"/>
  <c r="I553"/>
  <c r="H553"/>
  <c r="I546"/>
  <c r="H546"/>
  <c r="I545"/>
  <c r="H545"/>
  <c r="I544"/>
  <c r="H544"/>
  <c r="I543"/>
  <c r="H543"/>
  <c r="I542"/>
  <c r="H542"/>
  <c r="I541"/>
  <c r="H541"/>
  <c r="I540"/>
  <c r="H540"/>
  <c r="I534"/>
  <c r="H534"/>
  <c r="I533"/>
  <c r="H533"/>
  <c r="I531"/>
  <c r="H531"/>
  <c r="I530"/>
  <c r="H530"/>
  <c r="I529"/>
  <c r="H529"/>
  <c r="I528"/>
  <c r="H528"/>
  <c r="I527"/>
  <c r="H527"/>
  <c r="I526"/>
  <c r="H526"/>
  <c r="I525"/>
  <c r="H525"/>
  <c r="I524"/>
  <c r="H524"/>
  <c r="I523"/>
  <c r="H523"/>
  <c r="I522"/>
  <c r="H522"/>
  <c r="I521"/>
  <c r="H521"/>
  <c r="I520"/>
  <c r="H520"/>
  <c r="I519"/>
  <c r="H519"/>
  <c r="I518"/>
  <c r="H518"/>
  <c r="I517"/>
  <c r="H517"/>
  <c r="I516"/>
  <c r="H516"/>
  <c r="I515"/>
  <c r="H515"/>
  <c r="I514"/>
  <c r="H514"/>
  <c r="I513"/>
  <c r="H513"/>
  <c r="I512"/>
  <c r="H512"/>
  <c r="I511"/>
  <c r="H511"/>
  <c r="I510"/>
  <c r="H510"/>
  <c r="I509"/>
  <c r="H509"/>
  <c r="I508"/>
  <c r="H508"/>
  <c r="I507"/>
  <c r="H507"/>
  <c r="I506"/>
  <c r="H506"/>
  <c r="I505"/>
  <c r="H505"/>
  <c r="I504"/>
  <c r="H504"/>
  <c r="I503"/>
  <c r="H503"/>
  <c r="I502"/>
  <c r="H502"/>
  <c r="I501"/>
  <c r="H501"/>
  <c r="I500"/>
  <c r="H500"/>
  <c r="I499"/>
  <c r="H499"/>
  <c r="I498"/>
  <c r="H498"/>
  <c r="I497"/>
  <c r="H497"/>
  <c r="I496"/>
  <c r="H496"/>
  <c r="I495"/>
  <c r="H495"/>
  <c r="I486"/>
  <c r="H486"/>
  <c r="I485"/>
  <c r="H485"/>
  <c r="I484"/>
  <c r="H484"/>
  <c r="I483"/>
  <c r="H483"/>
  <c r="I482"/>
  <c r="H482"/>
  <c r="I481"/>
  <c r="H481"/>
  <c r="I473"/>
  <c r="H473"/>
  <c r="I472"/>
  <c r="H472"/>
  <c r="I470"/>
  <c r="H470"/>
  <c r="I469"/>
  <c r="H469"/>
  <c r="I468"/>
  <c r="H468"/>
  <c r="I467"/>
  <c r="H467"/>
  <c r="I462"/>
  <c r="H462"/>
  <c r="I461"/>
  <c r="H461"/>
  <c r="I460"/>
  <c r="H460"/>
  <c r="I459"/>
  <c r="H459"/>
  <c r="I457"/>
  <c r="H457"/>
  <c r="I456"/>
  <c r="H456"/>
  <c r="I455"/>
  <c r="H455"/>
  <c r="I454"/>
  <c r="H454"/>
  <c r="I453"/>
  <c r="H453"/>
  <c r="I452"/>
  <c r="H452"/>
  <c r="I448"/>
  <c r="H448"/>
  <c r="I447"/>
  <c r="H447"/>
  <c r="I446"/>
  <c r="H446"/>
  <c r="I445"/>
  <c r="H445"/>
  <c r="I444"/>
  <c r="H444"/>
  <c r="I443"/>
  <c r="H443"/>
  <c r="I442"/>
  <c r="H442"/>
  <c r="I441"/>
  <c r="H441"/>
  <c r="I427"/>
  <c r="H427"/>
  <c r="I426"/>
  <c r="H426"/>
  <c r="I425"/>
  <c r="H425"/>
  <c r="I424"/>
  <c r="H424"/>
  <c r="I423"/>
  <c r="H423"/>
  <c r="I422"/>
  <c r="H422"/>
  <c r="I421"/>
  <c r="H421"/>
  <c r="I420"/>
  <c r="H420"/>
  <c r="I419"/>
  <c r="H419"/>
  <c r="I418"/>
  <c r="H418"/>
  <c r="I327"/>
  <c r="H327"/>
  <c r="I326"/>
  <c r="H326"/>
  <c r="I324"/>
  <c r="H324"/>
  <c r="I323"/>
  <c r="H323"/>
  <c r="I322"/>
  <c r="H322"/>
  <c r="I320"/>
  <c r="H320"/>
  <c r="I319"/>
  <c r="H319"/>
  <c r="I318"/>
  <c r="H318"/>
  <c r="I317"/>
  <c r="H317"/>
  <c r="I316"/>
  <c r="H316"/>
  <c r="I311"/>
  <c r="H311"/>
  <c r="I310"/>
  <c r="H310"/>
  <c r="I309"/>
  <c r="H309"/>
  <c r="I308"/>
  <c r="H308"/>
  <c r="I307"/>
  <c r="H307"/>
  <c r="I306"/>
  <c r="H306"/>
  <c r="I305"/>
  <c r="H305"/>
  <c r="I304"/>
  <c r="H304"/>
  <c r="I303"/>
  <c r="H303"/>
  <c r="I302"/>
  <c r="H302"/>
  <c r="I301"/>
  <c r="H301"/>
  <c r="I300"/>
  <c r="H300"/>
  <c r="I299"/>
  <c r="H299"/>
  <c r="I298"/>
  <c r="H298"/>
  <c r="I297"/>
  <c r="H297"/>
  <c r="I296"/>
  <c r="H296"/>
  <c r="I295"/>
  <c r="H295"/>
  <c r="I294"/>
  <c r="H294"/>
  <c r="I293"/>
  <c r="H293"/>
  <c r="I292"/>
  <c r="H292"/>
  <c r="I291"/>
  <c r="H291"/>
  <c r="I290"/>
  <c r="H290"/>
  <c r="I289"/>
  <c r="H289"/>
  <c r="I288"/>
  <c r="H288"/>
  <c r="I287"/>
  <c r="H287"/>
  <c r="I286"/>
  <c r="H286"/>
  <c r="I285"/>
  <c r="H285"/>
  <c r="I284"/>
  <c r="H284"/>
  <c r="I283"/>
  <c r="H283"/>
  <c r="I282"/>
  <c r="H282"/>
  <c r="I281"/>
  <c r="H281"/>
  <c r="I280"/>
  <c r="H280"/>
  <c r="I279"/>
  <c r="H279"/>
  <c r="I278"/>
  <c r="H278"/>
  <c r="I277"/>
  <c r="H277"/>
  <c r="I276"/>
  <c r="H276"/>
  <c r="I275"/>
  <c r="H275"/>
  <c r="I273"/>
  <c r="H273"/>
  <c r="I272"/>
  <c r="H272"/>
  <c r="I271"/>
  <c r="H271"/>
  <c r="I270"/>
  <c r="H270"/>
  <c r="I268"/>
  <c r="H268"/>
  <c r="I267"/>
  <c r="H267"/>
  <c r="I266"/>
  <c r="H266"/>
  <c r="I265"/>
  <c r="H265"/>
  <c r="I262"/>
  <c r="H262"/>
  <c r="I261"/>
  <c r="H261"/>
  <c r="I260"/>
  <c r="H260"/>
  <c r="I259"/>
  <c r="H259"/>
  <c r="I258"/>
  <c r="H258"/>
  <c r="I257"/>
  <c r="H257"/>
  <c r="I256"/>
  <c r="H256"/>
  <c r="I255"/>
  <c r="H255"/>
  <c r="I254"/>
  <c r="H254"/>
  <c r="I253"/>
  <c r="H253"/>
  <c r="I222"/>
  <c r="H222"/>
  <c r="I221"/>
  <c r="H221"/>
  <c r="I220"/>
  <c r="H220"/>
  <c r="I219"/>
  <c r="H219"/>
  <c r="I218"/>
  <c r="H218"/>
  <c r="I217"/>
  <c r="H217"/>
  <c r="I216"/>
  <c r="H216"/>
  <c r="I215"/>
  <c r="H215"/>
  <c r="I214"/>
  <c r="H214"/>
  <c r="I213"/>
  <c r="H213"/>
  <c r="I212"/>
  <c r="H212"/>
  <c r="I211"/>
  <c r="H211"/>
  <c r="I210"/>
  <c r="H210"/>
  <c r="I209"/>
  <c r="H209"/>
  <c r="I208"/>
  <c r="H208"/>
  <c r="I207"/>
  <c r="H207"/>
  <c r="I206"/>
  <c r="H206"/>
  <c r="I205"/>
  <c r="H205"/>
  <c r="I204"/>
  <c r="H204"/>
  <c r="I203"/>
  <c r="H203"/>
  <c r="I202"/>
  <c r="H202"/>
  <c r="I201"/>
  <c r="H201"/>
  <c r="I200"/>
  <c r="H200"/>
  <c r="I199"/>
  <c r="H199"/>
  <c r="I198"/>
  <c r="H198"/>
  <c r="I197"/>
  <c r="H197"/>
  <c r="I196"/>
  <c r="H196"/>
  <c r="I195"/>
  <c r="H195"/>
  <c r="I194"/>
  <c r="H194"/>
  <c r="I193"/>
  <c r="H193"/>
  <c r="I192"/>
  <c r="H192"/>
  <c r="I191"/>
  <c r="H191"/>
  <c r="I190"/>
  <c r="H190"/>
  <c r="I189"/>
  <c r="H189"/>
  <c r="I188"/>
  <c r="H188"/>
  <c r="I187"/>
  <c r="H187"/>
  <c r="I186"/>
  <c r="H186"/>
  <c r="I185"/>
  <c r="H185"/>
  <c r="I184"/>
  <c r="H184"/>
  <c r="I183"/>
  <c r="H183"/>
  <c r="I182"/>
  <c r="H182"/>
  <c r="I181"/>
  <c r="H181"/>
  <c r="I180"/>
  <c r="H180"/>
  <c r="I179"/>
  <c r="H179"/>
  <c r="I178"/>
  <c r="H178"/>
  <c r="I177"/>
  <c r="H177"/>
  <c r="I176"/>
  <c r="H176"/>
  <c r="I175"/>
  <c r="H175"/>
  <c r="I168"/>
  <c r="H168"/>
  <c r="I167"/>
  <c r="H167"/>
  <c r="I166"/>
  <c r="H166"/>
  <c r="I165"/>
  <c r="H165"/>
  <c r="I164"/>
  <c r="H164"/>
  <c r="I163"/>
  <c r="H163"/>
  <c r="I162"/>
  <c r="H162"/>
  <c r="I161"/>
  <c r="H161"/>
  <c r="I160"/>
  <c r="H160"/>
  <c r="I159"/>
  <c r="H159"/>
  <c r="I158"/>
  <c r="H158"/>
  <c r="I157"/>
  <c r="H157"/>
  <c r="I156"/>
  <c r="H156"/>
  <c r="I152"/>
  <c r="H152"/>
  <c r="I151"/>
  <c r="H151"/>
  <c r="I150"/>
  <c r="H150"/>
  <c r="I149"/>
  <c r="H149"/>
  <c r="I148"/>
  <c r="H148"/>
  <c r="I147"/>
  <c r="H147"/>
  <c r="I146"/>
  <c r="H146"/>
  <c r="I144"/>
  <c r="H144"/>
  <c r="I143"/>
  <c r="H143"/>
  <c r="I142"/>
  <c r="H142"/>
  <c r="I141"/>
  <c r="H141"/>
  <c r="I140"/>
  <c r="H140"/>
  <c r="I139"/>
  <c r="H139"/>
  <c r="I138"/>
  <c r="H138"/>
  <c r="I137"/>
  <c r="H137"/>
  <c r="I136"/>
  <c r="H136"/>
  <c r="I135"/>
  <c r="H135"/>
  <c r="I134"/>
  <c r="H134"/>
  <c r="I133"/>
  <c r="H133"/>
  <c r="I132"/>
  <c r="H132"/>
  <c r="I131"/>
  <c r="H131"/>
  <c r="I130"/>
  <c r="H130"/>
  <c r="I129"/>
  <c r="H129"/>
  <c r="I128"/>
  <c r="H128"/>
  <c r="I127"/>
  <c r="H127"/>
  <c r="I126"/>
  <c r="H126"/>
  <c r="I125"/>
  <c r="H125"/>
  <c r="I124"/>
  <c r="H124"/>
  <c r="I123"/>
  <c r="H123"/>
  <c r="I122"/>
  <c r="H122"/>
  <c r="I121"/>
  <c r="H121"/>
  <c r="I120"/>
  <c r="H120"/>
  <c r="I110"/>
  <c r="H110"/>
  <c r="I109"/>
  <c r="H109"/>
  <c r="I108"/>
  <c r="H108"/>
  <c r="I107"/>
  <c r="H107"/>
  <c r="I106"/>
  <c r="H106"/>
  <c r="I105"/>
  <c r="H105"/>
  <c r="I104"/>
  <c r="H104"/>
  <c r="I103"/>
  <c r="H103"/>
  <c r="I102"/>
  <c r="H102"/>
  <c r="I101"/>
  <c r="H101"/>
  <c r="I100"/>
  <c r="H100"/>
  <c r="I99"/>
  <c r="H99"/>
  <c r="I98"/>
  <c r="H98"/>
  <c r="I97"/>
  <c r="H97"/>
  <c r="I96"/>
  <c r="H96"/>
  <c r="I95"/>
  <c r="H95"/>
  <c r="I94"/>
  <c r="H94"/>
  <c r="I93"/>
  <c r="H93"/>
  <c r="I92"/>
  <c r="H92"/>
  <c r="I86"/>
  <c r="H86"/>
  <c r="I81"/>
  <c r="H81"/>
  <c r="I80"/>
  <c r="H80"/>
  <c r="I79"/>
  <c r="H79"/>
  <c r="I78"/>
  <c r="H78"/>
  <c r="I77"/>
  <c r="H77"/>
  <c r="I76"/>
  <c r="H76"/>
  <c r="I75"/>
  <c r="H75"/>
  <c r="I74"/>
  <c r="H74"/>
  <c r="I73"/>
  <c r="H73"/>
  <c r="I72"/>
  <c r="H72"/>
  <c r="I71"/>
  <c r="H71"/>
  <c r="I70"/>
  <c r="H70"/>
  <c r="I46"/>
  <c r="H46"/>
  <c r="I45"/>
  <c r="H45"/>
  <c r="I44"/>
  <c r="H44"/>
  <c r="I43"/>
  <c r="H43"/>
  <c r="I42"/>
  <c r="H42"/>
  <c r="I41"/>
  <c r="H41"/>
  <c r="I40"/>
  <c r="H40"/>
  <c r="I39"/>
  <c r="H39"/>
  <c r="I38"/>
  <c r="H38"/>
  <c r="I37"/>
  <c r="H37"/>
  <c r="I36"/>
  <c r="H36"/>
  <c r="I35"/>
  <c r="H35"/>
  <c r="I34"/>
  <c r="H34"/>
  <c r="I33"/>
  <c r="H33"/>
  <c r="I32"/>
  <c r="H32"/>
  <c r="I31"/>
  <c r="H31"/>
  <c r="I30"/>
  <c r="H30"/>
  <c r="I29"/>
  <c r="H29"/>
  <c r="I28"/>
  <c r="H28"/>
  <c r="I27"/>
  <c r="H27"/>
  <c r="I26"/>
  <c r="H26"/>
  <c r="I25"/>
  <c r="H25"/>
  <c r="I24"/>
  <c r="H24"/>
  <c r="I23"/>
  <c r="H23"/>
  <c r="I22"/>
  <c r="H22"/>
  <c r="I21"/>
  <c r="H21"/>
  <c r="I20"/>
  <c r="H20"/>
  <c r="I19"/>
  <c r="H19"/>
  <c r="I18"/>
  <c r="H18"/>
  <c r="I17"/>
  <c r="H17"/>
  <c r="I16"/>
  <c r="H16"/>
  <c r="I15"/>
  <c r="H15"/>
  <c r="I14"/>
  <c r="H14"/>
  <c r="I13"/>
  <c r="H13"/>
  <c r="I12"/>
  <c r="H12"/>
  <c r="I11"/>
  <c r="H11"/>
  <c r="I10"/>
  <c r="H10"/>
  <c r="I9"/>
  <c r="H9"/>
  <c r="I8"/>
  <c r="H8"/>
  <c r="I7"/>
  <c r="H7"/>
  <c r="I6"/>
  <c r="H6"/>
  <c r="I5"/>
  <c r="H5"/>
  <c r="I4"/>
  <c r="H4"/>
  <c r="K69" i="3"/>
  <c r="K676"/>
  <c r="K94"/>
  <c r="K678"/>
  <c r="K96"/>
  <c r="K657"/>
  <c r="K656"/>
  <c r="K655"/>
  <c r="K654"/>
  <c r="K471"/>
  <c r="K348"/>
  <c r="K194"/>
  <c r="K227"/>
  <c r="K462"/>
  <c r="K456"/>
  <c r="K459"/>
  <c r="K410"/>
  <c r="K375"/>
  <c r="K196"/>
  <c r="K422"/>
  <c r="K460"/>
  <c r="K466"/>
  <c r="K107"/>
  <c r="K409"/>
  <c r="K408"/>
  <c r="K374"/>
  <c r="K109"/>
  <c r="K108"/>
  <c r="K3"/>
  <c r="K319"/>
  <c r="K225"/>
  <c r="K67"/>
  <c r="K4"/>
  <c r="K78"/>
  <c r="K74"/>
  <c r="K5"/>
  <c r="K115"/>
  <c r="K114"/>
  <c r="K198"/>
  <c r="K237"/>
  <c r="K111"/>
  <c r="K648"/>
  <c r="K461"/>
  <c r="K320"/>
  <c r="K9"/>
  <c r="K489"/>
  <c r="K481"/>
  <c r="K342"/>
  <c r="K193"/>
  <c r="K110"/>
  <c r="K127"/>
  <c r="K113"/>
  <c r="K112"/>
  <c r="K647"/>
  <c r="K646"/>
  <c r="K645"/>
  <c r="K116"/>
  <c r="K644"/>
  <c r="K367"/>
  <c r="K129"/>
  <c r="K10"/>
  <c r="K379"/>
  <c r="K377"/>
  <c r="K368"/>
  <c r="K366"/>
  <c r="K238"/>
  <c r="K82"/>
  <c r="K14"/>
  <c r="K13"/>
  <c r="K12"/>
  <c r="K119"/>
  <c r="K19"/>
  <c r="K15"/>
  <c r="K428"/>
  <c r="K229"/>
  <c r="K561"/>
  <c r="K429"/>
  <c r="K484"/>
  <c r="K380"/>
  <c r="K562"/>
  <c r="K527"/>
  <c r="K563"/>
  <c r="K239"/>
  <c r="K432"/>
  <c r="K483"/>
  <c r="K470"/>
  <c r="K386"/>
  <c r="K435"/>
  <c r="K436"/>
  <c r="K482"/>
  <c r="K387"/>
  <c r="K485"/>
  <c r="K433"/>
  <c r="K264"/>
  <c r="K256"/>
  <c r="K262"/>
  <c r="K369"/>
  <c r="K437"/>
  <c r="K267"/>
  <c r="K255"/>
  <c r="K242"/>
  <c r="K252"/>
  <c r="K8"/>
  <c r="K6"/>
  <c r="K2"/>
  <c r="K90"/>
  <c r="K26"/>
  <c r="K25"/>
  <c r="K16"/>
  <c r="K79"/>
  <c r="K24"/>
  <c r="K609"/>
  <c r="K607"/>
  <c r="K606"/>
  <c r="K80"/>
  <c r="K27"/>
  <c r="K29"/>
  <c r="K28"/>
  <c r="K605"/>
  <c r="K86"/>
  <c r="K425"/>
  <c r="K424"/>
  <c r="K421"/>
  <c r="K420"/>
  <c r="K34"/>
  <c r="K370"/>
  <c r="K650"/>
  <c r="K268"/>
  <c r="K36"/>
  <c r="K35"/>
  <c r="K88"/>
  <c r="K492"/>
  <c r="K673"/>
  <c r="K666"/>
  <c r="K486"/>
  <c r="K487"/>
  <c r="K400"/>
  <c r="K93"/>
  <c r="K399"/>
  <c r="K92"/>
  <c r="K582"/>
  <c r="K402"/>
  <c r="K672"/>
  <c r="K528"/>
  <c r="K494"/>
  <c r="K401"/>
  <c r="K91"/>
  <c r="K43"/>
  <c r="K40"/>
  <c r="K38"/>
  <c r="K30"/>
  <c r="K525"/>
  <c r="K514"/>
  <c r="K243"/>
  <c r="K136"/>
  <c r="K31"/>
  <c r="K526"/>
  <c r="K495"/>
  <c r="K600"/>
  <c r="K463"/>
  <c r="K441"/>
  <c r="K89"/>
  <c r="K81"/>
  <c r="K68"/>
  <c r="K665"/>
  <c r="K500"/>
  <c r="K426"/>
  <c r="K98"/>
  <c r="K97"/>
  <c r="K95"/>
  <c r="K736"/>
  <c r="K472"/>
  <c r="K465"/>
  <c r="K358"/>
  <c r="K491"/>
  <c r="K490"/>
  <c r="K333"/>
  <c r="K531"/>
  <c r="K529"/>
  <c r="K496"/>
  <c r="K457"/>
  <c r="K473"/>
  <c r="K498"/>
  <c r="K42"/>
  <c r="K41"/>
  <c r="K601"/>
  <c r="K378"/>
  <c r="K338"/>
  <c r="K32"/>
  <c r="K603"/>
  <c r="K390"/>
  <c r="K547"/>
  <c r="K398"/>
  <c r="K651"/>
  <c r="K564"/>
  <c r="K549"/>
  <c r="K388"/>
  <c r="K293"/>
  <c r="K241"/>
  <c r="K553"/>
  <c r="K554"/>
  <c r="K309"/>
  <c r="K556"/>
  <c r="K555"/>
  <c r="K230"/>
  <c r="K247"/>
  <c r="K224"/>
  <c r="K416"/>
  <c r="K266"/>
  <c r="K265"/>
  <c r="K258"/>
  <c r="K625"/>
  <c r="K612"/>
  <c r="K634"/>
  <c r="K633"/>
  <c r="K632"/>
  <c r="K631"/>
  <c r="K618"/>
  <c r="K619"/>
  <c r="K616"/>
  <c r="K418"/>
  <c r="K310"/>
  <c r="K649"/>
  <c r="K274"/>
  <c r="K208"/>
  <c r="K117"/>
  <c r="K11"/>
  <c r="K615"/>
  <c r="K614"/>
  <c r="K558"/>
  <c r="K557"/>
  <c r="K438"/>
  <c r="K680"/>
  <c r="K668"/>
  <c r="K667"/>
  <c r="K559"/>
  <c r="K635"/>
  <c r="K488"/>
  <c r="K586"/>
  <c r="K585"/>
  <c r="K289"/>
  <c r="K213"/>
  <c r="K199"/>
  <c r="K195"/>
  <c r="K197"/>
  <c r="K349"/>
  <c r="K216"/>
  <c r="K376"/>
  <c r="K321"/>
  <c r="K201"/>
  <c r="K200"/>
  <c r="K567"/>
  <c r="K210"/>
  <c r="K203"/>
  <c r="K202"/>
  <c r="K581"/>
  <c r="K599"/>
  <c r="K546"/>
  <c r="K414"/>
  <c r="K221"/>
  <c r="K220"/>
  <c r="K214"/>
  <c r="K211"/>
  <c r="K602"/>
  <c r="K23"/>
  <c r="K18"/>
  <c r="K20"/>
  <c r="K570"/>
  <c r="K569"/>
  <c r="K568"/>
  <c r="K419"/>
  <c r="K169"/>
  <c r="K464"/>
  <c r="K571"/>
  <c r="K572"/>
  <c r="K191"/>
  <c r="K579"/>
  <c r="K578"/>
  <c r="K577"/>
  <c r="K576"/>
  <c r="K37"/>
  <c r="K22"/>
  <c r="K21"/>
  <c r="K17"/>
  <c r="K675"/>
  <c r="K39"/>
  <c r="K623"/>
  <c r="K677"/>
  <c r="K608"/>
  <c r="K580"/>
  <c r="K575"/>
  <c r="K574"/>
  <c r="K87"/>
  <c r="K622"/>
  <c r="K573"/>
  <c r="K499"/>
  <c r="K359"/>
  <c r="K276"/>
  <c r="K584"/>
  <c r="K583"/>
  <c r="K679"/>
  <c r="K350"/>
  <c r="K469"/>
  <c r="K312"/>
  <c r="K311"/>
  <c r="K153"/>
  <c r="K315"/>
  <c r="K205"/>
  <c r="K204"/>
  <c r="K411"/>
  <c r="K412"/>
  <c r="K207"/>
  <c r="K206"/>
  <c r="K217"/>
  <c r="K215"/>
  <c r="K209"/>
  <c r="K323"/>
  <c r="K322"/>
  <c r="K218"/>
  <c r="K413"/>
  <c r="K431"/>
  <c r="K324"/>
  <c r="K121"/>
  <c r="K120"/>
  <c r="K118"/>
  <c r="K430"/>
  <c r="K250"/>
  <c r="K246"/>
  <c r="K233"/>
  <c r="K417"/>
  <c r="K124"/>
  <c r="K123"/>
  <c r="K248"/>
  <c r="K138"/>
  <c r="K131"/>
  <c r="K190"/>
  <c r="K145"/>
  <c r="K235"/>
  <c r="K150"/>
  <c r="K448"/>
  <c r="K192"/>
  <c r="K146"/>
  <c r="K132"/>
  <c r="K351"/>
  <c r="K234"/>
  <c r="K727"/>
  <c r="K451"/>
  <c r="K450"/>
  <c r="K449"/>
  <c r="K151"/>
  <c r="K148"/>
  <c r="K147"/>
  <c r="K434"/>
  <c r="K423"/>
  <c r="K273"/>
  <c r="K272"/>
  <c r="K251"/>
  <c r="K149"/>
  <c r="K125"/>
  <c r="K122"/>
  <c r="K732"/>
  <c r="K731"/>
  <c r="K415"/>
  <c r="K254"/>
  <c r="K253"/>
  <c r="K249"/>
  <c r="K447"/>
  <c r="K427"/>
  <c r="K730"/>
  <c r="K157"/>
  <c r="K156"/>
  <c r="K155"/>
  <c r="K159"/>
  <c r="K154"/>
  <c r="K152"/>
  <c r="K530"/>
  <c r="K719"/>
  <c r="K718"/>
  <c r="K717"/>
  <c r="K493"/>
  <c r="K658"/>
  <c r="K722"/>
  <c r="K721"/>
  <c r="K326"/>
  <c r="K720"/>
  <c r="K723"/>
  <c r="K357"/>
  <c r="K219"/>
  <c r="K76"/>
  <c r="K75"/>
  <c r="K77"/>
  <c r="K617"/>
  <c r="K468"/>
  <c r="K467"/>
  <c r="K212"/>
  <c r="K33"/>
  <c r="K7"/>
  <c r="K443"/>
  <c r="K642"/>
  <c r="K282"/>
  <c r="K260"/>
  <c r="K259"/>
  <c r="K137"/>
  <c r="K130"/>
  <c r="K261"/>
  <c r="K439"/>
  <c r="K671"/>
  <c r="K497"/>
  <c r="K332"/>
  <c r="K327"/>
  <c r="K281"/>
  <c r="K257"/>
  <c r="K158"/>
  <c r="K280"/>
  <c r="K548"/>
  <c r="K222"/>
  <c r="N68"/>
  <c r="O68" s="1"/>
  <c r="F808" i="1"/>
  <c r="F807"/>
  <c r="F806"/>
  <c r="N359" i="3"/>
  <c r="O359" s="1"/>
  <c r="J359"/>
  <c r="I359"/>
  <c r="H359"/>
  <c r="G359"/>
  <c r="F359"/>
  <c r="L427" i="1"/>
  <c r="K427"/>
  <c r="J427"/>
  <c r="J658" i="3"/>
  <c r="I658"/>
  <c r="H658"/>
  <c r="G658"/>
  <c r="F658"/>
  <c r="N658"/>
  <c r="O658" s="1"/>
  <c r="L810" i="1"/>
  <c r="K810"/>
  <c r="J810"/>
  <c r="J439" i="3"/>
  <c r="I439"/>
  <c r="H439"/>
  <c r="G439"/>
  <c r="F439"/>
  <c r="L531" i="1"/>
  <c r="K531"/>
  <c r="J531"/>
  <c r="N159" i="3"/>
  <c r="O159" s="1"/>
  <c r="J159"/>
  <c r="I159"/>
  <c r="H159"/>
  <c r="G159"/>
  <c r="F159"/>
  <c r="L222" i="1"/>
  <c r="K222"/>
  <c r="J222"/>
  <c r="L221"/>
  <c r="K221"/>
  <c r="J221"/>
  <c r="N158" i="3"/>
  <c r="O158" s="1"/>
  <c r="J158"/>
  <c r="I158"/>
  <c r="H158"/>
  <c r="G158"/>
  <c r="F158"/>
  <c r="N736"/>
  <c r="O736" s="1"/>
  <c r="J736"/>
  <c r="I736"/>
  <c r="H736"/>
  <c r="G736"/>
  <c r="F736"/>
  <c r="L913" i="1"/>
  <c r="K913"/>
  <c r="J913"/>
  <c r="N358" i="3"/>
  <c r="O358" s="1"/>
  <c r="J358"/>
  <c r="I358"/>
  <c r="H358"/>
  <c r="G358"/>
  <c r="F358"/>
  <c r="L426" i="1"/>
  <c r="K426"/>
  <c r="J426"/>
  <c r="N472" i="3"/>
  <c r="O472" s="1"/>
  <c r="J472"/>
  <c r="I472"/>
  <c r="H472"/>
  <c r="G472"/>
  <c r="F472"/>
  <c r="L574" i="1"/>
  <c r="K574"/>
  <c r="J574"/>
  <c r="L576"/>
  <c r="K576"/>
  <c r="J576"/>
  <c r="N261" i="3"/>
  <c r="O261" s="1"/>
  <c r="J261"/>
  <c r="I261"/>
  <c r="H261"/>
  <c r="G261"/>
  <c r="F261"/>
  <c r="L304" i="1"/>
  <c r="K304"/>
  <c r="J304"/>
  <c r="L905"/>
  <c r="L904"/>
  <c r="L903"/>
  <c r="L902"/>
  <c r="L901"/>
  <c r="L900"/>
  <c r="L899"/>
  <c r="L898"/>
  <c r="L897"/>
  <c r="L892"/>
  <c r="L891"/>
  <c r="L890"/>
  <c r="L889"/>
  <c r="L888"/>
  <c r="L887"/>
  <c r="L886"/>
  <c r="L840"/>
  <c r="L839"/>
  <c r="L838"/>
  <c r="L837"/>
  <c r="L836"/>
  <c r="L835"/>
  <c r="L834"/>
  <c r="L830"/>
  <c r="L829"/>
  <c r="L828"/>
  <c r="L827"/>
  <c r="L826"/>
  <c r="L823"/>
  <c r="L822"/>
  <c r="L821"/>
  <c r="L820"/>
  <c r="L818"/>
  <c r="L817"/>
  <c r="L808"/>
  <c r="L807"/>
  <c r="L806"/>
  <c r="L805"/>
  <c r="L804"/>
  <c r="L803"/>
  <c r="L800"/>
  <c r="L799"/>
  <c r="L798"/>
  <c r="L797"/>
  <c r="L796"/>
  <c r="L795"/>
  <c r="L794"/>
  <c r="L793"/>
  <c r="L792"/>
  <c r="L791"/>
  <c r="L790"/>
  <c r="L782"/>
  <c r="L775"/>
  <c r="L774"/>
  <c r="L773"/>
  <c r="L772"/>
  <c r="L771"/>
  <c r="L770"/>
  <c r="L769"/>
  <c r="L768"/>
  <c r="L767"/>
  <c r="L752"/>
  <c r="L751"/>
  <c r="L750"/>
  <c r="L749"/>
  <c r="L748"/>
  <c r="L747"/>
  <c r="L745"/>
  <c r="L744"/>
  <c r="L743"/>
  <c r="L742"/>
  <c r="L738"/>
  <c r="L737"/>
  <c r="L736"/>
  <c r="L735"/>
  <c r="L734"/>
  <c r="L733"/>
  <c r="L732"/>
  <c r="L731"/>
  <c r="L729"/>
  <c r="L728"/>
  <c r="L727"/>
  <c r="L726"/>
  <c r="L725"/>
  <c r="L724"/>
  <c r="L723"/>
  <c r="L721"/>
  <c r="L720"/>
  <c r="L718"/>
  <c r="L717"/>
  <c r="L716"/>
  <c r="L715"/>
  <c r="L714"/>
  <c r="L713"/>
  <c r="L712"/>
  <c r="L711"/>
  <c r="L710"/>
  <c r="L709"/>
  <c r="L708"/>
  <c r="L707"/>
  <c r="L706"/>
  <c r="L705"/>
  <c r="L704"/>
  <c r="L703"/>
  <c r="L702"/>
  <c r="L701"/>
  <c r="L700"/>
  <c r="L699"/>
  <c r="L698"/>
  <c r="L697"/>
  <c r="L696"/>
  <c r="L695"/>
  <c r="L694"/>
  <c r="L693"/>
  <c r="L690"/>
  <c r="L689"/>
  <c r="L688"/>
  <c r="L687"/>
  <c r="L686"/>
  <c r="L685"/>
  <c r="L684"/>
  <c r="L682"/>
  <c r="L681"/>
  <c r="L680"/>
  <c r="L679"/>
  <c r="L678"/>
  <c r="L677"/>
  <c r="L676"/>
  <c r="L675"/>
  <c r="L674"/>
  <c r="L673"/>
  <c r="L666"/>
  <c r="L665"/>
  <c r="L664"/>
  <c r="L663"/>
  <c r="L662"/>
  <c r="L661"/>
  <c r="L660"/>
  <c r="L641"/>
  <c r="L640"/>
  <c r="L616"/>
  <c r="L615"/>
  <c r="L614"/>
  <c r="L613"/>
  <c r="L612"/>
  <c r="L611"/>
  <c r="L610"/>
  <c r="L609"/>
  <c r="L608"/>
  <c r="L607"/>
  <c r="L606"/>
  <c r="L605"/>
  <c r="L604"/>
  <c r="L603"/>
  <c r="L602"/>
  <c r="L601"/>
  <c r="L600"/>
  <c r="L599"/>
  <c r="L598"/>
  <c r="L597"/>
  <c r="L596"/>
  <c r="L595"/>
  <c r="L594"/>
  <c r="L593"/>
  <c r="L592"/>
  <c r="L591"/>
  <c r="L590"/>
  <c r="L589"/>
  <c r="L588"/>
  <c r="L587"/>
  <c r="L586"/>
  <c r="L573"/>
  <c r="L572"/>
  <c r="L571"/>
  <c r="L570"/>
  <c r="L569"/>
  <c r="L568"/>
  <c r="L567"/>
  <c r="L565"/>
  <c r="L564"/>
  <c r="L563"/>
  <c r="L562"/>
  <c r="L561"/>
  <c r="L560"/>
  <c r="L559"/>
  <c r="L558"/>
  <c r="L557"/>
  <c r="L556"/>
  <c r="L555"/>
  <c r="L554"/>
  <c r="L553"/>
  <c r="L546"/>
  <c r="L545"/>
  <c r="L544"/>
  <c r="L543"/>
  <c r="L542"/>
  <c r="L541"/>
  <c r="L540"/>
  <c r="L534"/>
  <c r="L533"/>
  <c r="L530"/>
  <c r="L529"/>
  <c r="L528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510"/>
  <c r="L509"/>
  <c r="L508"/>
  <c r="L507"/>
  <c r="L506"/>
  <c r="L505"/>
  <c r="L504"/>
  <c r="L503"/>
  <c r="L502"/>
  <c r="L501"/>
  <c r="L500"/>
  <c r="L499"/>
  <c r="L498"/>
  <c r="L497"/>
  <c r="L496"/>
  <c r="L495"/>
  <c r="L486"/>
  <c r="L485"/>
  <c r="L484"/>
  <c r="L483"/>
  <c r="L482"/>
  <c r="L481"/>
  <c r="L473"/>
  <c r="L472"/>
  <c r="L470"/>
  <c r="L469"/>
  <c r="L468"/>
  <c r="L467"/>
  <c r="L462"/>
  <c r="L461"/>
  <c r="L460"/>
  <c r="L459"/>
  <c r="L457"/>
  <c r="L456"/>
  <c r="L455"/>
  <c r="L454"/>
  <c r="L453"/>
  <c r="L452"/>
  <c r="L448"/>
  <c r="L447"/>
  <c r="L446"/>
  <c r="L445"/>
  <c r="L444"/>
  <c r="L443"/>
  <c r="L442"/>
  <c r="L441"/>
  <c r="L425"/>
  <c r="L424"/>
  <c r="L423"/>
  <c r="L422"/>
  <c r="L421"/>
  <c r="L420"/>
  <c r="L419"/>
  <c r="L418"/>
  <c r="L327"/>
  <c r="L326"/>
  <c r="L324"/>
  <c r="L323"/>
  <c r="L322"/>
  <c r="L320"/>
  <c r="L319"/>
  <c r="L318"/>
  <c r="L317"/>
  <c r="L316"/>
  <c r="L311"/>
  <c r="L310"/>
  <c r="L309"/>
  <c r="L308"/>
  <c r="L307"/>
  <c r="L306"/>
  <c r="L305"/>
  <c r="L303"/>
  <c r="L302"/>
  <c r="L301"/>
  <c r="L300"/>
  <c r="L299"/>
  <c r="L298"/>
  <c r="L297"/>
  <c r="L296"/>
  <c r="L295"/>
  <c r="L294"/>
  <c r="L293"/>
  <c r="L292"/>
  <c r="L291"/>
  <c r="L290"/>
  <c r="L289"/>
  <c r="L288"/>
  <c r="L287"/>
  <c r="L286"/>
  <c r="L285"/>
  <c r="L284"/>
  <c r="L283"/>
  <c r="L282"/>
  <c r="L281"/>
  <c r="L280"/>
  <c r="L279"/>
  <c r="L278"/>
  <c r="L277"/>
  <c r="L276"/>
  <c r="L275"/>
  <c r="L273"/>
  <c r="L272"/>
  <c r="L271"/>
  <c r="L270"/>
  <c r="L268"/>
  <c r="L267"/>
  <c r="L266"/>
  <c r="L265"/>
  <c r="L262"/>
  <c r="L261"/>
  <c r="L260"/>
  <c r="L259"/>
  <c r="L258"/>
  <c r="L257"/>
  <c r="L256"/>
  <c r="L255"/>
  <c r="L254"/>
  <c r="L253"/>
  <c r="L220"/>
  <c r="L219"/>
  <c r="L218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90"/>
  <c r="L189"/>
  <c r="L188"/>
  <c r="L187"/>
  <c r="L186"/>
  <c r="L185"/>
  <c r="L184"/>
  <c r="L183"/>
  <c r="L182"/>
  <c r="L181"/>
  <c r="L180"/>
  <c r="L179"/>
  <c r="L178"/>
  <c r="L177"/>
  <c r="L176"/>
  <c r="L175"/>
  <c r="L168"/>
  <c r="L167"/>
  <c r="L166"/>
  <c r="L165"/>
  <c r="L164"/>
  <c r="L163"/>
  <c r="L162"/>
  <c r="L161"/>
  <c r="L160"/>
  <c r="L159"/>
  <c r="L158"/>
  <c r="L157"/>
  <c r="L156"/>
  <c r="L152"/>
  <c r="L151"/>
  <c r="L150"/>
  <c r="L149"/>
  <c r="L148"/>
  <c r="L147"/>
  <c r="L146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86"/>
  <c r="L81"/>
  <c r="L80"/>
  <c r="L79"/>
  <c r="L78"/>
  <c r="L77"/>
  <c r="L76"/>
  <c r="L75"/>
  <c r="L74"/>
  <c r="L73"/>
  <c r="L72"/>
  <c r="L71"/>
  <c r="L70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2"/>
  <c r="N727" i="3"/>
  <c r="O727" s="1"/>
  <c r="N473"/>
  <c r="O473" s="1"/>
  <c r="J473"/>
  <c r="I473"/>
  <c r="H473"/>
  <c r="G473"/>
  <c r="F473"/>
  <c r="N680"/>
  <c r="O680" s="1"/>
  <c r="J680"/>
  <c r="I680"/>
  <c r="H680"/>
  <c r="G680"/>
  <c r="F680"/>
  <c r="M840" i="1"/>
  <c r="K840"/>
  <c r="J840"/>
  <c r="M892"/>
  <c r="K892"/>
  <c r="J892"/>
  <c r="M891"/>
  <c r="K891"/>
  <c r="J891"/>
  <c r="J333" i="3"/>
  <c r="I333"/>
  <c r="H333"/>
  <c r="G333"/>
  <c r="F333"/>
  <c r="N332"/>
  <c r="O332" s="1"/>
  <c r="J332"/>
  <c r="I332"/>
  <c r="H332"/>
  <c r="G332"/>
  <c r="F332"/>
  <c r="N293"/>
  <c r="O293" s="1"/>
  <c r="J293"/>
  <c r="I293"/>
  <c r="H293"/>
  <c r="G293"/>
  <c r="F293"/>
  <c r="N723"/>
  <c r="O723" s="1"/>
  <c r="J723"/>
  <c r="I723"/>
  <c r="H723"/>
  <c r="G723"/>
  <c r="F723"/>
  <c r="N152"/>
  <c r="O152" s="1"/>
  <c r="I152"/>
  <c r="H152"/>
  <c r="G152"/>
  <c r="F152"/>
  <c r="M168" i="1"/>
  <c r="K168"/>
  <c r="J168"/>
  <c r="J499" i="3"/>
  <c r="I499"/>
  <c r="H499"/>
  <c r="G499"/>
  <c r="F499"/>
  <c r="N499"/>
  <c r="O499" s="1"/>
  <c r="M616" i="1"/>
  <c r="K616"/>
  <c r="J616"/>
  <c r="N282" i="3"/>
  <c r="O282" s="1"/>
  <c r="N281"/>
  <c r="O281" s="1"/>
  <c r="N280"/>
  <c r="O280" s="1"/>
  <c r="N276"/>
  <c r="O276" s="1"/>
  <c r="J282"/>
  <c r="I282"/>
  <c r="H282"/>
  <c r="G282"/>
  <c r="F282"/>
  <c r="J281"/>
  <c r="I281"/>
  <c r="H281"/>
  <c r="G281"/>
  <c r="F281"/>
  <c r="J280"/>
  <c r="I280"/>
  <c r="H280"/>
  <c r="G280"/>
  <c r="F280"/>
  <c r="J276"/>
  <c r="I276"/>
  <c r="H276"/>
  <c r="G276"/>
  <c r="F276"/>
  <c r="M327" i="1"/>
  <c r="K327"/>
  <c r="J327"/>
  <c r="M326"/>
  <c r="K326"/>
  <c r="J326"/>
  <c r="M324"/>
  <c r="K324"/>
  <c r="J324"/>
  <c r="M323"/>
  <c r="K323"/>
  <c r="J323"/>
  <c r="J672" i="3"/>
  <c r="I672"/>
  <c r="H672"/>
  <c r="G672"/>
  <c r="F672"/>
  <c r="N672"/>
  <c r="O672" s="1"/>
  <c r="M828" i="1"/>
  <c r="K828"/>
  <c r="J828"/>
  <c r="N548" i="3"/>
  <c r="O548" s="1"/>
  <c r="J548"/>
  <c r="I548"/>
  <c r="H548"/>
  <c r="G548"/>
  <c r="F548"/>
  <c r="M665" i="1"/>
  <c r="K665"/>
  <c r="J665"/>
  <c r="N457" i="3"/>
  <c r="O457" s="1"/>
  <c r="J457"/>
  <c r="I457"/>
  <c r="H457"/>
  <c r="G457"/>
  <c r="F457"/>
  <c r="K565" i="1"/>
  <c r="J565"/>
  <c r="N498" i="3"/>
  <c r="O498" s="1"/>
  <c r="J498"/>
  <c r="I498"/>
  <c r="H498"/>
  <c r="G498"/>
  <c r="F498"/>
  <c r="M615" i="1"/>
  <c r="K615"/>
  <c r="J615"/>
  <c r="N497" i="3"/>
  <c r="O497" s="1"/>
  <c r="J497"/>
  <c r="I497"/>
  <c r="H497"/>
  <c r="G497"/>
  <c r="F497"/>
  <c r="M614" i="1"/>
  <c r="K614"/>
  <c r="J614"/>
  <c r="N496" i="3"/>
  <c r="O496" s="1"/>
  <c r="J496"/>
  <c r="I496"/>
  <c r="H496"/>
  <c r="G496"/>
  <c r="F496"/>
  <c r="M613" i="1"/>
  <c r="K613"/>
  <c r="J613"/>
  <c r="N357" i="3"/>
  <c r="O357" s="1"/>
  <c r="J357"/>
  <c r="I357"/>
  <c r="H357"/>
  <c r="G357"/>
  <c r="F357"/>
  <c r="M425" i="1"/>
  <c r="K425"/>
  <c r="J425"/>
  <c r="J351" i="3"/>
  <c r="I351"/>
  <c r="H351"/>
  <c r="G351"/>
  <c r="F351"/>
  <c r="M424" i="1"/>
  <c r="K424"/>
  <c r="J424"/>
  <c r="N488" i="3"/>
  <c r="O488" s="1"/>
  <c r="J488"/>
  <c r="I488"/>
  <c r="H488"/>
  <c r="G488"/>
  <c r="F488"/>
  <c r="M596" i="1"/>
  <c r="K596"/>
  <c r="J596"/>
  <c r="N586" i="3"/>
  <c r="O586" s="1"/>
  <c r="N585"/>
  <c r="O585" s="1"/>
  <c r="N584"/>
  <c r="O584" s="1"/>
  <c r="N583"/>
  <c r="O583" s="1"/>
  <c r="J586"/>
  <c r="I586"/>
  <c r="H586"/>
  <c r="G586"/>
  <c r="F586"/>
  <c r="J585"/>
  <c r="I585"/>
  <c r="H585"/>
  <c r="G585"/>
  <c r="F585"/>
  <c r="J584"/>
  <c r="I584"/>
  <c r="H584"/>
  <c r="G584"/>
  <c r="F584"/>
  <c r="J583"/>
  <c r="I583"/>
  <c r="H583"/>
  <c r="G583"/>
  <c r="F583"/>
  <c r="M752" i="1"/>
  <c r="K752"/>
  <c r="J752"/>
  <c r="M751"/>
  <c r="K751"/>
  <c r="J751"/>
  <c r="M750"/>
  <c r="K750"/>
  <c r="J750"/>
  <c r="M749"/>
  <c r="K749"/>
  <c r="J749"/>
  <c r="M748"/>
  <c r="K748"/>
  <c r="J748"/>
  <c r="J582" i="3"/>
  <c r="I582"/>
  <c r="H582"/>
  <c r="G582"/>
  <c r="F582"/>
  <c r="N582"/>
  <c r="O582" s="1"/>
  <c r="J559"/>
  <c r="I559"/>
  <c r="H559"/>
  <c r="G559"/>
  <c r="F559"/>
  <c r="K682" i="1"/>
  <c r="J682"/>
  <c r="M102"/>
  <c r="K102"/>
  <c r="J102"/>
  <c r="N463" i="3"/>
  <c r="O463" s="1"/>
  <c r="L863" i="1" l="1"/>
  <c r="E99" i="6"/>
  <c r="L851" i="1"/>
  <c r="N98" i="3"/>
  <c r="O98" s="1"/>
  <c r="J98"/>
  <c r="I98"/>
  <c r="H98"/>
  <c r="G98"/>
  <c r="F98"/>
  <c r="M110" i="1"/>
  <c r="K110"/>
  <c r="J110"/>
  <c r="N642" i="3"/>
  <c r="O642" s="1"/>
  <c r="J642"/>
  <c r="I642"/>
  <c r="H642"/>
  <c r="G642"/>
  <c r="F642"/>
  <c r="M782" i="1"/>
  <c r="K782"/>
  <c r="J782"/>
  <c r="N91" i="3"/>
  <c r="O91" s="1"/>
  <c r="J91"/>
  <c r="I91"/>
  <c r="H91"/>
  <c r="G91"/>
  <c r="F91"/>
  <c r="M101" i="1"/>
  <c r="K101"/>
  <c r="J101"/>
  <c r="N668" i="3"/>
  <c r="O668" s="1"/>
  <c r="J668"/>
  <c r="I668"/>
  <c r="H668"/>
  <c r="G668"/>
  <c r="F668"/>
  <c r="M823" i="1"/>
  <c r="K823"/>
  <c r="J823"/>
  <c r="N732" i="3"/>
  <c r="O732" s="1"/>
  <c r="N731"/>
  <c r="O731" s="1"/>
  <c r="N730"/>
  <c r="O730" s="1"/>
  <c r="N729"/>
  <c r="O729" s="1"/>
  <c r="N728"/>
  <c r="O728" s="1"/>
  <c r="J732"/>
  <c r="I732"/>
  <c r="H732"/>
  <c r="G732"/>
  <c r="F732"/>
  <c r="J731"/>
  <c r="I731"/>
  <c r="H731"/>
  <c r="G731"/>
  <c r="F731"/>
  <c r="J730"/>
  <c r="I730"/>
  <c r="H730"/>
  <c r="G730"/>
  <c r="F730"/>
  <c r="J727"/>
  <c r="I727"/>
  <c r="H727"/>
  <c r="G727"/>
  <c r="F727"/>
  <c r="M905" i="1"/>
  <c r="K905"/>
  <c r="J905"/>
  <c r="M904"/>
  <c r="K904"/>
  <c r="J904"/>
  <c r="M903"/>
  <c r="K903"/>
  <c r="J903"/>
  <c r="M902"/>
  <c r="K902"/>
  <c r="J902"/>
  <c r="M901"/>
  <c r="K901"/>
  <c r="J901"/>
  <c r="M900"/>
  <c r="K900"/>
  <c r="J900"/>
  <c r="M775"/>
  <c r="K775"/>
  <c r="J775"/>
  <c r="M890"/>
  <c r="M889"/>
  <c r="M888"/>
  <c r="M887"/>
  <c r="M886"/>
  <c r="M839"/>
  <c r="M838"/>
  <c r="M837"/>
  <c r="M836"/>
  <c r="M835"/>
  <c r="M834"/>
  <c r="M830"/>
  <c r="M829"/>
  <c r="M826"/>
  <c r="M822"/>
  <c r="M821"/>
  <c r="M820"/>
  <c r="M818"/>
  <c r="M817"/>
  <c r="M808"/>
  <c r="M807"/>
  <c r="M806"/>
  <c r="M805"/>
  <c r="M803"/>
  <c r="M800"/>
  <c r="M799"/>
  <c r="M798"/>
  <c r="M797"/>
  <c r="M796"/>
  <c r="M795"/>
  <c r="M794"/>
  <c r="M793"/>
  <c r="M790"/>
  <c r="M774"/>
  <c r="M773"/>
  <c r="M772"/>
  <c r="M771"/>
  <c r="M770"/>
  <c r="M769"/>
  <c r="M768"/>
  <c r="M767"/>
  <c r="M745"/>
  <c r="M744"/>
  <c r="M743"/>
  <c r="M738"/>
  <c r="M737"/>
  <c r="M736"/>
  <c r="M735"/>
  <c r="M734"/>
  <c r="M733"/>
  <c r="M732"/>
  <c r="M731"/>
  <c r="M729"/>
  <c r="M728"/>
  <c r="M727"/>
  <c r="M726"/>
  <c r="M725"/>
  <c r="M724"/>
  <c r="M721"/>
  <c r="M720"/>
  <c r="M718"/>
  <c r="M717"/>
  <c r="M716"/>
  <c r="M715"/>
  <c r="M714"/>
  <c r="M713"/>
  <c r="M712"/>
  <c r="M711"/>
  <c r="M710"/>
  <c r="M708"/>
  <c r="M707"/>
  <c r="M706"/>
  <c r="M705"/>
  <c r="M704"/>
  <c r="M703"/>
  <c r="M702"/>
  <c r="M700"/>
  <c r="M698"/>
  <c r="M697"/>
  <c r="M696"/>
  <c r="M693"/>
  <c r="M690"/>
  <c r="M688"/>
  <c r="M687"/>
  <c r="M686"/>
  <c r="M684"/>
  <c r="M681"/>
  <c r="M680"/>
  <c r="M679"/>
  <c r="M678"/>
  <c r="M677"/>
  <c r="M675"/>
  <c r="M673"/>
  <c r="M666"/>
  <c r="M664"/>
  <c r="M663"/>
  <c r="M660"/>
  <c r="M641"/>
  <c r="M640"/>
  <c r="M612"/>
  <c r="M611"/>
  <c r="M610"/>
  <c r="M609"/>
  <c r="M608"/>
  <c r="M607"/>
  <c r="M606"/>
  <c r="M605"/>
  <c r="M604"/>
  <c r="M603"/>
  <c r="M602"/>
  <c r="M601"/>
  <c r="M600"/>
  <c r="M599"/>
  <c r="M598"/>
  <c r="M597"/>
  <c r="M595"/>
  <c r="M594"/>
  <c r="M593"/>
  <c r="M592"/>
  <c r="M591"/>
  <c r="M590"/>
  <c r="M589"/>
  <c r="M587"/>
  <c r="M553"/>
  <c r="M546"/>
  <c r="M545"/>
  <c r="M544"/>
  <c r="M543"/>
  <c r="M541"/>
  <c r="M540"/>
  <c r="M534"/>
  <c r="M530"/>
  <c r="M529"/>
  <c r="M528"/>
  <c r="M527"/>
  <c r="M525"/>
  <c r="M524"/>
  <c r="M523"/>
  <c r="M522"/>
  <c r="M521"/>
  <c r="M520"/>
  <c r="M519"/>
  <c r="M517"/>
  <c r="M516"/>
  <c r="M515"/>
  <c r="M514"/>
  <c r="M513"/>
  <c r="M512"/>
  <c r="M511"/>
  <c r="M510"/>
  <c r="M509"/>
  <c r="M508"/>
  <c r="M507"/>
  <c r="M506"/>
  <c r="M505"/>
  <c r="M504"/>
  <c r="M503"/>
  <c r="M502"/>
  <c r="M501"/>
  <c r="M500"/>
  <c r="M499"/>
  <c r="M498"/>
  <c r="M497"/>
  <c r="M496"/>
  <c r="M495"/>
  <c r="M486"/>
  <c r="M485"/>
  <c r="M484"/>
  <c r="M483"/>
  <c r="M482"/>
  <c r="M481"/>
  <c r="M473"/>
  <c r="M470"/>
  <c r="M469"/>
  <c r="M468"/>
  <c r="M462"/>
  <c r="M460"/>
  <c r="M459"/>
  <c r="M457"/>
  <c r="M456"/>
  <c r="M455"/>
  <c r="M453"/>
  <c r="M452"/>
  <c r="M448"/>
  <c r="M447"/>
  <c r="M446"/>
  <c r="M445"/>
  <c r="M444"/>
  <c r="M442"/>
  <c r="M441"/>
  <c r="M422"/>
  <c r="M421"/>
  <c r="M420"/>
  <c r="M419"/>
  <c r="M320"/>
  <c r="M318"/>
  <c r="M317"/>
  <c r="M311"/>
  <c r="M310"/>
  <c r="M309"/>
  <c r="M308"/>
  <c r="M307"/>
  <c r="M306"/>
  <c r="M303"/>
  <c r="M302"/>
  <c r="M301"/>
  <c r="M299"/>
  <c r="M298"/>
  <c r="M296"/>
  <c r="M294"/>
  <c r="M293"/>
  <c r="M291"/>
  <c r="M290"/>
  <c r="M289"/>
  <c r="M287"/>
  <c r="M286"/>
  <c r="M285"/>
  <c r="M284"/>
  <c r="M282"/>
  <c r="M280"/>
  <c r="M279"/>
  <c r="M278"/>
  <c r="M277"/>
  <c r="M276"/>
  <c r="M273"/>
  <c r="M272"/>
  <c r="M271"/>
  <c r="M268"/>
  <c r="M267"/>
  <c r="M266"/>
  <c r="M265"/>
  <c r="M264"/>
  <c r="M262"/>
  <c r="M261"/>
  <c r="M260"/>
  <c r="M259"/>
  <c r="M257"/>
  <c r="M256"/>
  <c r="M255"/>
  <c r="M254"/>
  <c r="M253"/>
  <c r="M252"/>
  <c r="M220"/>
  <c r="M219"/>
  <c r="M218"/>
  <c r="M217"/>
  <c r="M216"/>
  <c r="M215"/>
  <c r="M214"/>
  <c r="M213"/>
  <c r="M212"/>
  <c r="M211"/>
  <c r="M210"/>
  <c r="M209"/>
  <c r="M208"/>
  <c r="M207"/>
  <c r="M206"/>
  <c r="M205"/>
  <c r="M204"/>
  <c r="M203"/>
  <c r="M202"/>
  <c r="M201"/>
  <c r="M199"/>
  <c r="M198"/>
  <c r="M197"/>
  <c r="M196"/>
  <c r="M195"/>
  <c r="M194"/>
  <c r="M193"/>
  <c r="M191"/>
  <c r="M190"/>
  <c r="M189"/>
  <c r="M188"/>
  <c r="M187"/>
  <c r="M186"/>
  <c r="M185"/>
  <c r="M184"/>
  <c r="M183"/>
  <c r="M182"/>
  <c r="M181"/>
  <c r="M179"/>
  <c r="M178"/>
  <c r="M177"/>
  <c r="M176"/>
  <c r="M175"/>
  <c r="M167"/>
  <c r="M166"/>
  <c r="M165"/>
  <c r="M164"/>
  <c r="M163"/>
  <c r="M162"/>
  <c r="M161"/>
  <c r="M160"/>
  <c r="M159"/>
  <c r="M158"/>
  <c r="M157"/>
  <c r="M152"/>
  <c r="M151"/>
  <c r="M150"/>
  <c r="M149"/>
  <c r="M148"/>
  <c r="M147"/>
  <c r="M146"/>
  <c r="M144"/>
  <c r="M143"/>
  <c r="M142"/>
  <c r="M141"/>
  <c r="M140"/>
  <c r="M139"/>
  <c r="M138"/>
  <c r="M137"/>
  <c r="M136"/>
  <c r="M135"/>
  <c r="M134"/>
  <c r="M133"/>
  <c r="M130"/>
  <c r="M129"/>
  <c r="M128"/>
  <c r="M126"/>
  <c r="M125"/>
  <c r="M124"/>
  <c r="M122"/>
  <c r="M121"/>
  <c r="M120"/>
  <c r="M109"/>
  <c r="M108"/>
  <c r="M107"/>
  <c r="M106"/>
  <c r="M105"/>
  <c r="M104"/>
  <c r="M103"/>
  <c r="M100"/>
  <c r="M98"/>
  <c r="M97"/>
  <c r="M96"/>
  <c r="M95"/>
  <c r="M93"/>
  <c r="M92"/>
  <c r="M86"/>
  <c r="M81"/>
  <c r="M80"/>
  <c r="M79"/>
  <c r="M78"/>
  <c r="M77"/>
  <c r="M76"/>
  <c r="M75"/>
  <c r="M74"/>
  <c r="M73"/>
  <c r="M72"/>
  <c r="M71"/>
  <c r="M46"/>
  <c r="M45"/>
  <c r="M44"/>
  <c r="M43"/>
  <c r="M42"/>
  <c r="M41"/>
  <c r="M40"/>
  <c r="M39"/>
  <c r="M38"/>
  <c r="M37"/>
  <c r="M36"/>
  <c r="M35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12"/>
  <c r="M11"/>
  <c r="M10"/>
  <c r="M9"/>
  <c r="M8"/>
  <c r="M7"/>
  <c r="M6"/>
  <c r="M5"/>
  <c r="M4"/>
  <c r="J495" i="3"/>
  <c r="I495"/>
  <c r="H495"/>
  <c r="G495"/>
  <c r="F495"/>
  <c r="N495"/>
  <c r="O495" s="1"/>
  <c r="K612" i="1"/>
  <c r="J612"/>
  <c r="J542"/>
  <c r="K542"/>
  <c r="J543"/>
  <c r="K543"/>
  <c r="J544"/>
  <c r="K544"/>
  <c r="J545"/>
  <c r="K545"/>
  <c r="J546"/>
  <c r="K546"/>
  <c r="N718" i="3"/>
  <c r="O718" s="1"/>
  <c r="N719"/>
  <c r="O719" s="1"/>
  <c r="N720"/>
  <c r="O720" s="1"/>
  <c r="N721"/>
  <c r="O721" s="1"/>
  <c r="N722"/>
  <c r="O722" s="1"/>
  <c r="J722"/>
  <c r="I722"/>
  <c r="H722"/>
  <c r="G722"/>
  <c r="F722"/>
  <c r="J721"/>
  <c r="I721"/>
  <c r="H721"/>
  <c r="G721"/>
  <c r="F721"/>
  <c r="J720"/>
  <c r="I720"/>
  <c r="H720"/>
  <c r="G720"/>
  <c r="F720"/>
  <c r="J718"/>
  <c r="I718"/>
  <c r="H718"/>
  <c r="G718"/>
  <c r="F718"/>
  <c r="J886" i="1"/>
  <c r="K886"/>
  <c r="J887"/>
  <c r="K887"/>
  <c r="J888"/>
  <c r="K888"/>
  <c r="J889"/>
  <c r="K889"/>
  <c r="J890"/>
  <c r="K890"/>
  <c r="N717" i="3"/>
  <c r="O717" s="1"/>
  <c r="J719"/>
  <c r="I719"/>
  <c r="H719"/>
  <c r="G719"/>
  <c r="F719"/>
  <c r="J717"/>
  <c r="I717"/>
  <c r="H717"/>
  <c r="G717"/>
  <c r="F717"/>
  <c r="N157"/>
  <c r="O157" s="1"/>
  <c r="J157"/>
  <c r="I157"/>
  <c r="H157"/>
  <c r="G157"/>
  <c r="F157"/>
  <c r="K220" i="1"/>
  <c r="J220"/>
  <c r="N350" i="3"/>
  <c r="O350" s="1"/>
  <c r="J350"/>
  <c r="I350"/>
  <c r="H350"/>
  <c r="G350"/>
  <c r="F350"/>
  <c r="K422" i="1"/>
  <c r="J422"/>
  <c r="N494" i="3"/>
  <c r="O494" s="1"/>
  <c r="J494"/>
  <c r="I494"/>
  <c r="H494"/>
  <c r="G494"/>
  <c r="F494"/>
  <c r="K611" i="1"/>
  <c r="J611"/>
  <c r="J402" i="3"/>
  <c r="I402"/>
  <c r="H402"/>
  <c r="G402"/>
  <c r="F402"/>
  <c r="N402"/>
  <c r="O402" s="1"/>
  <c r="K486" i="1"/>
  <c r="J486"/>
  <c r="N623" i="3"/>
  <c r="O623" s="1"/>
  <c r="J623"/>
  <c r="I623"/>
  <c r="H623"/>
  <c r="G623"/>
  <c r="F623"/>
  <c r="K745" i="1"/>
  <c r="J745"/>
  <c r="AE31" i="5"/>
  <c r="L864" i="1" l="1"/>
  <c r="G156" i="3"/>
  <c r="N466"/>
  <c r="O466" s="1"/>
  <c r="J466"/>
  <c r="H466"/>
  <c r="G466"/>
  <c r="F466"/>
  <c r="K564" i="1"/>
  <c r="J564"/>
  <c r="N43" i="3"/>
  <c r="O43" s="1"/>
  <c r="J43"/>
  <c r="I43"/>
  <c r="H43"/>
  <c r="G43"/>
  <c r="F43"/>
  <c r="K46" i="1"/>
  <c r="J46"/>
  <c r="N42" i="3"/>
  <c r="O42" s="1"/>
  <c r="J42"/>
  <c r="I42"/>
  <c r="H42"/>
  <c r="G42"/>
  <c r="F42"/>
  <c r="N401"/>
  <c r="O401" s="1"/>
  <c r="J401"/>
  <c r="I401"/>
  <c r="H401"/>
  <c r="G401"/>
  <c r="F401"/>
  <c r="K485" i="1"/>
  <c r="J485"/>
  <c r="N451" i="3"/>
  <c r="O451" s="1"/>
  <c r="N450"/>
  <c r="O450" s="1"/>
  <c r="N449"/>
  <c r="O449" s="1"/>
  <c r="I449"/>
  <c r="H449"/>
  <c r="G449"/>
  <c r="F449"/>
  <c r="I450"/>
  <c r="H450"/>
  <c r="G450"/>
  <c r="F450"/>
  <c r="I451"/>
  <c r="H451"/>
  <c r="G451"/>
  <c r="F451"/>
  <c r="K45" i="1"/>
  <c r="J45"/>
  <c r="J434" i="3"/>
  <c r="I434"/>
  <c r="H434"/>
  <c r="G434"/>
  <c r="F434"/>
  <c r="K525" i="1"/>
  <c r="J525"/>
  <c r="N260" i="3"/>
  <c r="O260" s="1"/>
  <c r="J260"/>
  <c r="I260"/>
  <c r="H260"/>
  <c r="G260"/>
  <c r="F260"/>
  <c r="J259"/>
  <c r="I259"/>
  <c r="H259"/>
  <c r="G259"/>
  <c r="F259"/>
  <c r="K303" i="1"/>
  <c r="J303"/>
  <c r="K302"/>
  <c r="J302"/>
  <c r="I132" i="3"/>
  <c r="H132"/>
  <c r="G132"/>
  <c r="F132"/>
  <c r="N132"/>
  <c r="O132" s="1"/>
  <c r="K152" i="1"/>
  <c r="J152"/>
  <c r="N635" i="3"/>
  <c r="O635" s="1"/>
  <c r="J635"/>
  <c r="I635"/>
  <c r="H635"/>
  <c r="G635"/>
  <c r="F635"/>
  <c r="K774" i="1"/>
  <c r="J774"/>
  <c r="N41" i="3"/>
  <c r="O41" s="1"/>
  <c r="J41"/>
  <c r="I41"/>
  <c r="H41"/>
  <c r="G41"/>
  <c r="F41"/>
  <c r="K44" i="1"/>
  <c r="J44"/>
  <c r="I151" i="3"/>
  <c r="H151"/>
  <c r="G151"/>
  <c r="F151"/>
  <c r="N151"/>
  <c r="O151" s="1"/>
  <c r="K167" i="1"/>
  <c r="J167"/>
  <c r="J493" i="3"/>
  <c r="I493"/>
  <c r="H493"/>
  <c r="G493"/>
  <c r="F493"/>
  <c r="N493"/>
  <c r="O493" s="1"/>
  <c r="K610" i="1"/>
  <c r="J610"/>
  <c r="N40" i="3"/>
  <c r="O40" s="1"/>
  <c r="J40"/>
  <c r="I40"/>
  <c r="H40"/>
  <c r="G40"/>
  <c r="F40"/>
  <c r="K43" i="1"/>
  <c r="J43"/>
  <c r="I27" i="3"/>
  <c r="H27"/>
  <c r="G27"/>
  <c r="F27"/>
  <c r="I154"/>
  <c r="H154"/>
  <c r="G154"/>
  <c r="F154"/>
  <c r="K213" i="1"/>
  <c r="J213"/>
  <c r="N487" i="3"/>
  <c r="O487" s="1"/>
  <c r="N486"/>
  <c r="O486" s="1"/>
  <c r="J487"/>
  <c r="I487"/>
  <c r="H487"/>
  <c r="G487"/>
  <c r="F487"/>
  <c r="J486"/>
  <c r="I486"/>
  <c r="H486"/>
  <c r="G486"/>
  <c r="F486"/>
  <c r="K594" i="1"/>
  <c r="J594"/>
  <c r="K595"/>
  <c r="J595"/>
  <c r="F419" i="3"/>
  <c r="J667"/>
  <c r="I667"/>
  <c r="H667"/>
  <c r="G667"/>
  <c r="F667"/>
  <c r="N667"/>
  <c r="O667" s="1"/>
  <c r="K822" i="1"/>
  <c r="J822"/>
  <c r="J666" i="3"/>
  <c r="I666"/>
  <c r="H666"/>
  <c r="G666"/>
  <c r="F666"/>
  <c r="N666"/>
  <c r="O666" s="1"/>
  <c r="K821" i="1"/>
  <c r="J821"/>
  <c r="J39" i="3"/>
  <c r="I39"/>
  <c r="H39"/>
  <c r="G39"/>
  <c r="F39"/>
  <c r="N39"/>
  <c r="O39" s="1"/>
  <c r="K42" i="1"/>
  <c r="J42"/>
  <c r="N97" i="3"/>
  <c r="O97" s="1"/>
  <c r="N96"/>
  <c r="O96" s="1"/>
  <c r="N95"/>
  <c r="O95" s="1"/>
  <c r="J97"/>
  <c r="I97"/>
  <c r="H97"/>
  <c r="G97"/>
  <c r="F97"/>
  <c r="J96"/>
  <c r="I96"/>
  <c r="H96"/>
  <c r="G96"/>
  <c r="F96"/>
  <c r="J95"/>
  <c r="I95"/>
  <c r="H95"/>
  <c r="G95"/>
  <c r="F95"/>
  <c r="K109" i="1"/>
  <c r="J109"/>
  <c r="K108"/>
  <c r="J108"/>
  <c r="K107"/>
  <c r="J107"/>
  <c r="K106"/>
  <c r="J106"/>
  <c r="K839"/>
  <c r="J839"/>
  <c r="K838"/>
  <c r="J838"/>
  <c r="K837"/>
  <c r="J837"/>
  <c r="K836"/>
  <c r="J836"/>
  <c r="K835"/>
  <c r="J835"/>
  <c r="K834"/>
  <c r="J834"/>
  <c r="N679" i="3"/>
  <c r="O679" s="1"/>
  <c r="N678"/>
  <c r="O678" s="1"/>
  <c r="N677"/>
  <c r="O677" s="1"/>
  <c r="N675"/>
  <c r="O675" s="1"/>
  <c r="J679"/>
  <c r="I679"/>
  <c r="H679"/>
  <c r="G679"/>
  <c r="F679"/>
  <c r="J678"/>
  <c r="I678"/>
  <c r="H678"/>
  <c r="G678"/>
  <c r="F678"/>
  <c r="J677"/>
  <c r="I677"/>
  <c r="H677"/>
  <c r="G677"/>
  <c r="F677"/>
  <c r="J676"/>
  <c r="I676"/>
  <c r="H676"/>
  <c r="G676"/>
  <c r="F676"/>
  <c r="J675"/>
  <c r="I675"/>
  <c r="H675"/>
  <c r="G675"/>
  <c r="F675"/>
  <c r="N94"/>
  <c r="O94" s="1"/>
  <c r="N93"/>
  <c r="O93" s="1"/>
  <c r="J94"/>
  <c r="I94"/>
  <c r="H94"/>
  <c r="G94"/>
  <c r="F94"/>
  <c r="J93"/>
  <c r="I93"/>
  <c r="H93"/>
  <c r="G93"/>
  <c r="F93"/>
  <c r="K105" i="1"/>
  <c r="J105"/>
  <c r="K104"/>
  <c r="J104"/>
  <c r="N38" i="3"/>
  <c r="O38" s="1"/>
  <c r="J38"/>
  <c r="I38"/>
  <c r="H38"/>
  <c r="G38"/>
  <c r="F38"/>
  <c r="K41" i="1"/>
  <c r="J41"/>
  <c r="J274" i="3"/>
  <c r="I274"/>
  <c r="H274"/>
  <c r="G274"/>
  <c r="F274"/>
  <c r="N274"/>
  <c r="O274" s="1"/>
  <c r="K320" i="1"/>
  <c r="J320"/>
  <c r="N150" i="3"/>
  <c r="O150" s="1"/>
  <c r="J150"/>
  <c r="I150"/>
  <c r="H150"/>
  <c r="G150"/>
  <c r="F150"/>
  <c r="K166" i="1"/>
  <c r="J166"/>
  <c r="N400" i="3"/>
  <c r="O400" s="1"/>
  <c r="N399"/>
  <c r="O399" s="1"/>
  <c r="J400"/>
  <c r="I400"/>
  <c r="H400"/>
  <c r="G400"/>
  <c r="F400"/>
  <c r="J399"/>
  <c r="I399"/>
  <c r="H399"/>
  <c r="G399"/>
  <c r="F399"/>
  <c r="K484" i="1"/>
  <c r="J484"/>
  <c r="K483"/>
  <c r="J483"/>
  <c r="N603" i="3"/>
  <c r="O603" s="1"/>
  <c r="J603"/>
  <c r="I603"/>
  <c r="H603"/>
  <c r="G603"/>
  <c r="F603"/>
  <c r="K721" i="1"/>
  <c r="J721"/>
  <c r="J37" i="3"/>
  <c r="I37"/>
  <c r="H37"/>
  <c r="G37"/>
  <c r="F37"/>
  <c r="N37"/>
  <c r="O37" s="1"/>
  <c r="K40" i="1"/>
  <c r="J40"/>
  <c r="AE23" i="5"/>
  <c r="N471" i="3"/>
  <c r="O471" s="1"/>
  <c r="J471"/>
  <c r="I471"/>
  <c r="H471"/>
  <c r="G471"/>
  <c r="F471"/>
  <c r="K573" i="1"/>
  <c r="J573"/>
  <c r="N273" i="3"/>
  <c r="O273" s="1"/>
  <c r="N272"/>
  <c r="O272" s="1"/>
  <c r="J272"/>
  <c r="I272"/>
  <c r="H272"/>
  <c r="G272"/>
  <c r="F272"/>
  <c r="J273"/>
  <c r="I273"/>
  <c r="H273"/>
  <c r="G273"/>
  <c r="F273"/>
  <c r="K318" i="1"/>
  <c r="J318"/>
  <c r="K317"/>
  <c r="J317"/>
  <c r="J88" i="3"/>
  <c r="I88"/>
  <c r="H88"/>
  <c r="G88"/>
  <c r="F88"/>
  <c r="K97" i="1"/>
  <c r="J97"/>
  <c r="N577" i="3"/>
  <c r="O577" s="1"/>
  <c r="J577"/>
  <c r="I577"/>
  <c r="H577"/>
  <c r="G577"/>
  <c r="F577"/>
  <c r="K708" i="1"/>
  <c r="J708"/>
  <c r="AE15" i="5"/>
  <c r="AE7"/>
  <c r="N249" i="3"/>
  <c r="O249" s="1"/>
  <c r="J249"/>
  <c r="I249"/>
  <c r="H249"/>
  <c r="G249"/>
  <c r="F249"/>
  <c r="K287" i="1"/>
  <c r="J287"/>
  <c r="J492" i="3"/>
  <c r="I492"/>
  <c r="H492"/>
  <c r="G492"/>
  <c r="F492"/>
  <c r="K609" i="1"/>
  <c r="J609"/>
  <c r="N36" i="3"/>
  <c r="O36" s="1"/>
  <c r="J36"/>
  <c r="I36"/>
  <c r="H36"/>
  <c r="G36"/>
  <c r="F36"/>
  <c r="K39" i="1"/>
  <c r="J39"/>
  <c r="J531" i="3"/>
  <c r="I531"/>
  <c r="H531"/>
  <c r="G531"/>
  <c r="F531"/>
  <c r="K641" i="1"/>
  <c r="J641"/>
  <c r="J427" i="3"/>
  <c r="I427"/>
  <c r="H427"/>
  <c r="G427"/>
  <c r="F427"/>
  <c r="K517" i="1"/>
  <c r="J517"/>
  <c r="J35" i="3"/>
  <c r="I35"/>
  <c r="H35"/>
  <c r="G35"/>
  <c r="F35"/>
  <c r="N35"/>
  <c r="O35" s="1"/>
  <c r="K38" i="1"/>
  <c r="J38"/>
  <c r="J235" i="3"/>
  <c r="I235"/>
  <c r="H235"/>
  <c r="G235"/>
  <c r="F235"/>
  <c r="N235"/>
  <c r="O235" s="1"/>
  <c r="K268" i="1"/>
  <c r="J268"/>
  <c r="N651" i="3"/>
  <c r="O651" s="1"/>
  <c r="J651"/>
  <c r="I651"/>
  <c r="H651"/>
  <c r="G651"/>
  <c r="F651"/>
  <c r="J564"/>
  <c r="I564"/>
  <c r="H564"/>
  <c r="G564"/>
  <c r="F564"/>
  <c r="N564"/>
  <c r="O564" s="1"/>
  <c r="K690" i="1"/>
  <c r="J690"/>
  <c r="K800"/>
  <c r="J800"/>
  <c r="N448" i="3"/>
  <c r="O448" s="1"/>
  <c r="J448"/>
  <c r="I448"/>
  <c r="H448"/>
  <c r="G448"/>
  <c r="F448"/>
  <c r="N490"/>
  <c r="O490" s="1"/>
  <c r="J490"/>
  <c r="I490"/>
  <c r="H490"/>
  <c r="G490"/>
  <c r="F490"/>
  <c r="K607" i="1"/>
  <c r="J607"/>
  <c r="J491" i="3"/>
  <c r="I491"/>
  <c r="H491"/>
  <c r="G491"/>
  <c r="F491"/>
  <c r="N491"/>
  <c r="O491" s="1"/>
  <c r="K608" i="1"/>
  <c r="J608"/>
  <c r="J426" i="3"/>
  <c r="I426"/>
  <c r="H426"/>
  <c r="G426"/>
  <c r="F426"/>
  <c r="N426"/>
  <c r="O426" s="1"/>
  <c r="K516" i="1"/>
  <c r="J516"/>
  <c r="K541"/>
  <c r="J541"/>
  <c r="J268" i="3"/>
  <c r="I268"/>
  <c r="H268"/>
  <c r="G268"/>
  <c r="F268"/>
  <c r="N268"/>
  <c r="O268" s="1"/>
  <c r="K311" i="1"/>
  <c r="J311"/>
  <c r="K37"/>
  <c r="J37"/>
  <c r="N34" i="3"/>
  <c r="O34" s="1"/>
  <c r="J34"/>
  <c r="I34"/>
  <c r="H34"/>
  <c r="G34"/>
  <c r="F34"/>
  <c r="N530"/>
  <c r="O530" s="1"/>
  <c r="J530"/>
  <c r="I530"/>
  <c r="H530"/>
  <c r="G530"/>
  <c r="F530"/>
  <c r="K606" i="1"/>
  <c r="J606"/>
  <c r="J69" i="3"/>
  <c r="I69"/>
  <c r="H69"/>
  <c r="G69"/>
  <c r="F69"/>
  <c r="K81" i="1"/>
  <c r="J81"/>
  <c r="J447" i="3"/>
  <c r="I447"/>
  <c r="H447"/>
  <c r="G447"/>
  <c r="F447"/>
  <c r="N447"/>
  <c r="O447" s="1"/>
  <c r="J68"/>
  <c r="I68"/>
  <c r="H68"/>
  <c r="G68"/>
  <c r="F68"/>
  <c r="K80" i="1"/>
  <c r="J80"/>
  <c r="J465" i="3"/>
  <c r="I465"/>
  <c r="H465"/>
  <c r="G465"/>
  <c r="F465"/>
  <c r="N465"/>
  <c r="O465" s="1"/>
  <c r="K563" i="1"/>
  <c r="J563"/>
  <c r="N33" i="3"/>
  <c r="O33" s="1"/>
  <c r="J33"/>
  <c r="I33"/>
  <c r="H33"/>
  <c r="G33"/>
  <c r="F33"/>
  <c r="K36" i="1"/>
  <c r="J36"/>
  <c r="N192" i="3"/>
  <c r="O192" s="1"/>
  <c r="I192"/>
  <c r="H192"/>
  <c r="G192"/>
  <c r="F192"/>
  <c r="K219" i="1"/>
  <c r="J219"/>
  <c r="N32" i="3"/>
  <c r="O32" s="1"/>
  <c r="J32"/>
  <c r="I32"/>
  <c r="H32"/>
  <c r="G32"/>
  <c r="F32"/>
  <c r="K35" i="1"/>
  <c r="J35"/>
  <c r="N191" i="3"/>
  <c r="O191" s="1"/>
  <c r="J191"/>
  <c r="I191"/>
  <c r="H191"/>
  <c r="G191"/>
  <c r="F191"/>
  <c r="K218" i="1"/>
  <c r="J218"/>
  <c r="J31" i="3"/>
  <c r="I31"/>
  <c r="H31"/>
  <c r="G31"/>
  <c r="F31"/>
  <c r="N31"/>
  <c r="O31" s="1"/>
  <c r="K34" i="1"/>
  <c r="J34"/>
  <c r="J156" i="3"/>
  <c r="I156"/>
  <c r="H156"/>
  <c r="F156"/>
  <c r="N156"/>
  <c r="O156" s="1"/>
  <c r="K217" i="1"/>
  <c r="J217"/>
  <c r="N616" i="3"/>
  <c r="O616" s="1"/>
  <c r="N558"/>
  <c r="O558" s="1"/>
  <c r="N632"/>
  <c r="O632" s="1"/>
  <c r="N631"/>
  <c r="O631" s="1"/>
  <c r="N619"/>
  <c r="O619" s="1"/>
  <c r="N169"/>
  <c r="O169" s="1"/>
  <c r="N425"/>
  <c r="O425" s="1"/>
  <c r="N424"/>
  <c r="O424" s="1"/>
  <c r="J425"/>
  <c r="I425"/>
  <c r="H425"/>
  <c r="G425"/>
  <c r="F425"/>
  <c r="J424"/>
  <c r="I424"/>
  <c r="H424"/>
  <c r="G424"/>
  <c r="F424"/>
  <c r="K515" i="1"/>
  <c r="J515"/>
  <c r="K514"/>
  <c r="J514"/>
  <c r="N618" i="3"/>
  <c r="O618" s="1"/>
  <c r="J618"/>
  <c r="I618"/>
  <c r="H618"/>
  <c r="G618"/>
  <c r="F618"/>
  <c r="J619"/>
  <c r="I619"/>
  <c r="H619"/>
  <c r="G619"/>
  <c r="F619"/>
  <c r="K738" i="1"/>
  <c r="J738"/>
  <c r="K737"/>
  <c r="J737"/>
  <c r="N30" i="3"/>
  <c r="O30" s="1"/>
  <c r="J30"/>
  <c r="I30"/>
  <c r="H30"/>
  <c r="G30"/>
  <c r="F30"/>
  <c r="K33" i="1"/>
  <c r="J33"/>
  <c r="J558" i="3"/>
  <c r="I558"/>
  <c r="H558"/>
  <c r="G558"/>
  <c r="F558"/>
  <c r="K681" i="1"/>
  <c r="J681"/>
  <c r="N81" i="3"/>
  <c r="O81" s="1"/>
  <c r="J81"/>
  <c r="I81"/>
  <c r="H81"/>
  <c r="G81"/>
  <c r="F81"/>
  <c r="K79" i="1"/>
  <c r="J79"/>
  <c r="K78"/>
  <c r="J78"/>
  <c r="N80" i="3"/>
  <c r="O80" s="1"/>
  <c r="J80"/>
  <c r="I80"/>
  <c r="H80"/>
  <c r="G80"/>
  <c r="F80"/>
  <c r="K165" i="1"/>
  <c r="J165"/>
  <c r="K164"/>
  <c r="J164"/>
  <c r="K163"/>
  <c r="J163"/>
  <c r="K162"/>
  <c r="J162"/>
  <c r="K161"/>
  <c r="J161"/>
  <c r="K160"/>
  <c r="J160"/>
  <c r="N29" i="3"/>
  <c r="O29" s="1"/>
  <c r="J29"/>
  <c r="I29"/>
  <c r="H29"/>
  <c r="G29"/>
  <c r="F29"/>
  <c r="K32" i="1"/>
  <c r="J32"/>
  <c r="N622" i="3"/>
  <c r="O622" s="1"/>
  <c r="J622"/>
  <c r="I622"/>
  <c r="H622"/>
  <c r="G622"/>
  <c r="F622"/>
  <c r="K743" i="1"/>
  <c r="J743"/>
  <c r="N438" i="3"/>
  <c r="O438" s="1"/>
  <c r="N137"/>
  <c r="O137" s="1"/>
  <c r="J438"/>
  <c r="I438"/>
  <c r="H438"/>
  <c r="G438"/>
  <c r="F438"/>
  <c r="K530" i="1"/>
  <c r="J530"/>
  <c r="L865" l="1"/>
  <c r="N633" i="3"/>
  <c r="O633" s="1"/>
  <c r="N634"/>
  <c r="O634" s="1"/>
  <c r="J634"/>
  <c r="I634"/>
  <c r="H634"/>
  <c r="G634"/>
  <c r="F634"/>
  <c r="J633"/>
  <c r="I633"/>
  <c r="H633"/>
  <c r="G633"/>
  <c r="F633"/>
  <c r="K773" i="1"/>
  <c r="J773"/>
  <c r="K772"/>
  <c r="J772"/>
  <c r="J28" i="3"/>
  <c r="K31" i="1"/>
  <c r="K30"/>
  <c r="J31"/>
  <c r="J30"/>
  <c r="J29"/>
  <c r="J28"/>
  <c r="I28" i="3"/>
  <c r="H28"/>
  <c r="G28"/>
  <c r="F28"/>
  <c r="N28"/>
  <c r="O28" s="1"/>
  <c r="L866" i="1" l="1"/>
  <c r="N190" i="3"/>
  <c r="O190" s="1"/>
  <c r="I190"/>
  <c r="H190"/>
  <c r="G190"/>
  <c r="F190"/>
  <c r="K216" i="1"/>
  <c r="J216"/>
  <c r="N149" i="3"/>
  <c r="O149" s="1"/>
  <c r="N148"/>
  <c r="O148" s="1"/>
  <c r="N147"/>
  <c r="O147" s="1"/>
  <c r="N146"/>
  <c r="O146" s="1"/>
  <c r="N145"/>
  <c r="O145" s="1"/>
  <c r="N138"/>
  <c r="O138" s="1"/>
  <c r="I149"/>
  <c r="H149"/>
  <c r="G149"/>
  <c r="F149"/>
  <c r="I148"/>
  <c r="H148"/>
  <c r="G148"/>
  <c r="F148"/>
  <c r="I147"/>
  <c r="H147"/>
  <c r="G147"/>
  <c r="F147"/>
  <c r="I146"/>
  <c r="H146"/>
  <c r="G146"/>
  <c r="F146"/>
  <c r="I145"/>
  <c r="H145"/>
  <c r="G145"/>
  <c r="F145"/>
  <c r="I138"/>
  <c r="H138"/>
  <c r="G138"/>
  <c r="F138"/>
  <c r="N575"/>
  <c r="O575" s="1"/>
  <c r="N131"/>
  <c r="O131" s="1"/>
  <c r="J131"/>
  <c r="I131"/>
  <c r="H131"/>
  <c r="G131"/>
  <c r="F131"/>
  <c r="K151" i="1"/>
  <c r="J151"/>
  <c r="N257" i="3"/>
  <c r="O257" s="1"/>
  <c r="J257"/>
  <c r="I257"/>
  <c r="H257"/>
  <c r="G257"/>
  <c r="F257"/>
  <c r="K299" i="1"/>
  <c r="J299"/>
  <c r="L867" l="1"/>
  <c r="N423" i="3"/>
  <c r="O423" s="1"/>
  <c r="J423"/>
  <c r="I423"/>
  <c r="H423"/>
  <c r="G423"/>
  <c r="F423"/>
  <c r="K513" i="1"/>
  <c r="J513"/>
  <c r="N422" i="3"/>
  <c r="O422" s="1"/>
  <c r="N421"/>
  <c r="O421" s="1"/>
  <c r="N420"/>
  <c r="O420" s="1"/>
  <c r="J422"/>
  <c r="I422"/>
  <c r="H422"/>
  <c r="G422"/>
  <c r="F422"/>
  <c r="K512" i="1"/>
  <c r="J512"/>
  <c r="J421" i="3"/>
  <c r="I421"/>
  <c r="H421"/>
  <c r="G421"/>
  <c r="F421"/>
  <c r="K511" i="1"/>
  <c r="J511"/>
  <c r="J420" i="3"/>
  <c r="I420"/>
  <c r="H420"/>
  <c r="G420"/>
  <c r="F420"/>
  <c r="K510" i="1"/>
  <c r="J510"/>
  <c r="N529" i="3"/>
  <c r="O529" s="1"/>
  <c r="I529"/>
  <c r="H529"/>
  <c r="G529"/>
  <c r="F529"/>
  <c r="K605" i="1"/>
  <c r="J605"/>
  <c r="F605"/>
  <c r="J529" i="3" l="1"/>
  <c r="L869" i="1"/>
  <c r="L868"/>
  <c r="K482"/>
  <c r="J482"/>
  <c r="N671" i="3"/>
  <c r="O671" s="1"/>
  <c r="J671"/>
  <c r="I671"/>
  <c r="H671"/>
  <c r="G671"/>
  <c r="F671"/>
  <c r="K826" i="1"/>
  <c r="J826"/>
  <c r="N673" i="3"/>
  <c r="O673" s="1"/>
  <c r="J673"/>
  <c r="I673"/>
  <c r="H673"/>
  <c r="G673"/>
  <c r="F673"/>
  <c r="N657"/>
  <c r="O657" s="1"/>
  <c r="N656"/>
  <c r="O656" s="1"/>
  <c r="N655"/>
  <c r="O655" s="1"/>
  <c r="I657"/>
  <c r="H657"/>
  <c r="G657"/>
  <c r="F657"/>
  <c r="K817" i="1"/>
  <c r="J817"/>
  <c r="K808"/>
  <c r="J808"/>
  <c r="K807"/>
  <c r="J807"/>
  <c r="K806"/>
  <c r="J806"/>
  <c r="J657" i="3"/>
  <c r="N326"/>
  <c r="O326" s="1"/>
  <c r="J326"/>
  <c r="I326"/>
  <c r="H326"/>
  <c r="G326"/>
  <c r="F326"/>
  <c r="J327"/>
  <c r="I327"/>
  <c r="H327"/>
  <c r="G327"/>
  <c r="F327"/>
  <c r="I656"/>
  <c r="H656"/>
  <c r="G656"/>
  <c r="F656"/>
  <c r="I655"/>
  <c r="H655"/>
  <c r="G655"/>
  <c r="F655"/>
  <c r="J656"/>
  <c r="F805" i="1"/>
  <c r="J654" i="3" s="1"/>
  <c r="J655"/>
  <c r="J632"/>
  <c r="I632"/>
  <c r="H632"/>
  <c r="G632"/>
  <c r="F632"/>
  <c r="K771" i="1"/>
  <c r="J771"/>
  <c r="J443" i="3"/>
  <c r="I443"/>
  <c r="H443"/>
  <c r="G443"/>
  <c r="F443"/>
  <c r="J665"/>
  <c r="J650"/>
  <c r="J649"/>
  <c r="J648"/>
  <c r="J647"/>
  <c r="J646"/>
  <c r="J645"/>
  <c r="J644"/>
  <c r="J631"/>
  <c r="J625"/>
  <c r="J617"/>
  <c r="J616"/>
  <c r="J615"/>
  <c r="J614"/>
  <c r="J612"/>
  <c r="J609"/>
  <c r="J608"/>
  <c r="J607"/>
  <c r="J606"/>
  <c r="J605"/>
  <c r="J602"/>
  <c r="J601"/>
  <c r="J600"/>
  <c r="J599"/>
  <c r="J581"/>
  <c r="J580"/>
  <c r="J579"/>
  <c r="J578"/>
  <c r="J576"/>
  <c r="J575"/>
  <c r="J574"/>
  <c r="J573"/>
  <c r="J572"/>
  <c r="J571"/>
  <c r="J570"/>
  <c r="J569"/>
  <c r="J568"/>
  <c r="J567"/>
  <c r="J563"/>
  <c r="J562"/>
  <c r="J561"/>
  <c r="J557"/>
  <c r="J556"/>
  <c r="J555"/>
  <c r="J554"/>
  <c r="J553"/>
  <c r="J549"/>
  <c r="J547"/>
  <c r="J546"/>
  <c r="J528"/>
  <c r="J527"/>
  <c r="J526"/>
  <c r="J525"/>
  <c r="J514"/>
  <c r="J500"/>
  <c r="J489"/>
  <c r="J485"/>
  <c r="J484"/>
  <c r="J483"/>
  <c r="J482"/>
  <c r="J481"/>
  <c r="J470"/>
  <c r="J469"/>
  <c r="J468"/>
  <c r="J467"/>
  <c r="J464"/>
  <c r="J463"/>
  <c r="J462"/>
  <c r="J461"/>
  <c r="J460"/>
  <c r="J459"/>
  <c r="J456"/>
  <c r="J441"/>
  <c r="J437"/>
  <c r="J436"/>
  <c r="J435"/>
  <c r="J433"/>
  <c r="J432"/>
  <c r="J431"/>
  <c r="J430"/>
  <c r="J429"/>
  <c r="J428"/>
  <c r="J419"/>
  <c r="J418"/>
  <c r="J417"/>
  <c r="J416"/>
  <c r="J415"/>
  <c r="J414"/>
  <c r="J413"/>
  <c r="J412"/>
  <c r="J411"/>
  <c r="J410"/>
  <c r="J409"/>
  <c r="J408"/>
  <c r="J398"/>
  <c r="J390"/>
  <c r="J388"/>
  <c r="J387"/>
  <c r="J386"/>
  <c r="J380"/>
  <c r="J379"/>
  <c r="J378"/>
  <c r="J377"/>
  <c r="J376"/>
  <c r="J375"/>
  <c r="J374"/>
  <c r="J370"/>
  <c r="J369"/>
  <c r="J368"/>
  <c r="J367"/>
  <c r="J366"/>
  <c r="J349"/>
  <c r="J348"/>
  <c r="J342"/>
  <c r="J338"/>
  <c r="J324"/>
  <c r="J323"/>
  <c r="J322"/>
  <c r="J321"/>
  <c r="J320"/>
  <c r="J319"/>
  <c r="J315"/>
  <c r="J312"/>
  <c r="J311"/>
  <c r="J310"/>
  <c r="J309"/>
  <c r="J289"/>
  <c r="J267"/>
  <c r="J266"/>
  <c r="J265"/>
  <c r="J264"/>
  <c r="J262"/>
  <c r="J258"/>
  <c r="J256"/>
  <c r="J255"/>
  <c r="J254"/>
  <c r="J253"/>
  <c r="J252"/>
  <c r="J251"/>
  <c r="J250"/>
  <c r="J248"/>
  <c r="J247"/>
  <c r="J246"/>
  <c r="J243"/>
  <c r="J242"/>
  <c r="J241"/>
  <c r="J239"/>
  <c r="J238"/>
  <c r="J237"/>
  <c r="J234"/>
  <c r="J233"/>
  <c r="J230"/>
  <c r="J229"/>
  <c r="J227"/>
  <c r="J225"/>
  <c r="J224"/>
  <c r="J222"/>
  <c r="J221"/>
  <c r="J220"/>
  <c r="J219"/>
  <c r="J218"/>
  <c r="J217"/>
  <c r="J216"/>
  <c r="J215"/>
  <c r="J214"/>
  <c r="J213"/>
  <c r="J212"/>
  <c r="J211"/>
  <c r="J210"/>
  <c r="J209"/>
  <c r="J208"/>
  <c r="J207"/>
  <c r="J206"/>
  <c r="J205"/>
  <c r="J204"/>
  <c r="J203"/>
  <c r="J202"/>
  <c r="J201"/>
  <c r="J200"/>
  <c r="J199"/>
  <c r="J198"/>
  <c r="J197"/>
  <c r="J196"/>
  <c r="J195"/>
  <c r="J194"/>
  <c r="J193"/>
  <c r="J155"/>
  <c r="J169"/>
  <c r="J154"/>
  <c r="J153"/>
  <c r="J137"/>
  <c r="J136"/>
  <c r="J130"/>
  <c r="J129"/>
  <c r="J127"/>
  <c r="J125"/>
  <c r="J124"/>
  <c r="J123"/>
  <c r="J122"/>
  <c r="J121"/>
  <c r="J120"/>
  <c r="J119"/>
  <c r="J118"/>
  <c r="J117"/>
  <c r="J116"/>
  <c r="J115"/>
  <c r="J114"/>
  <c r="J113"/>
  <c r="J112"/>
  <c r="J111"/>
  <c r="J110"/>
  <c r="J109"/>
  <c r="J108"/>
  <c r="J107"/>
  <c r="J90"/>
  <c r="J89"/>
  <c r="J87"/>
  <c r="J86"/>
  <c r="J82"/>
  <c r="J79"/>
  <c r="J78"/>
  <c r="J77"/>
  <c r="J76"/>
  <c r="J75"/>
  <c r="J74"/>
  <c r="J67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I137"/>
  <c r="H137"/>
  <c r="G137"/>
  <c r="F137"/>
  <c r="K158" i="1"/>
  <c r="J158"/>
  <c r="K103"/>
  <c r="J103"/>
  <c r="F6" i="3"/>
  <c r="I665"/>
  <c r="H665"/>
  <c r="G665"/>
  <c r="F665"/>
  <c r="N665"/>
  <c r="O665" s="1"/>
  <c r="I654"/>
  <c r="H654"/>
  <c r="G654"/>
  <c r="F654"/>
  <c r="N654"/>
  <c r="O654" s="1"/>
  <c r="I631"/>
  <c r="H631"/>
  <c r="G631"/>
  <c r="F631"/>
  <c r="K770" i="1"/>
  <c r="J770"/>
  <c r="F571" i="3"/>
  <c r="J820" i="1"/>
  <c r="N580" i="3"/>
  <c r="O580" s="1"/>
  <c r="N579"/>
  <c r="O579" s="1"/>
  <c r="N578"/>
  <c r="O578" s="1"/>
  <c r="N576"/>
  <c r="O576" s="1"/>
  <c r="N574"/>
  <c r="O574" s="1"/>
  <c r="N573"/>
  <c r="O573" s="1"/>
  <c r="N572"/>
  <c r="O572" s="1"/>
  <c r="N571"/>
  <c r="O571" s="1"/>
  <c r="N348"/>
  <c r="O348" s="1"/>
  <c r="N194"/>
  <c r="O194" s="1"/>
  <c r="N227"/>
  <c r="O227" s="1"/>
  <c r="N462"/>
  <c r="O462" s="1"/>
  <c r="N456"/>
  <c r="O456" s="1"/>
  <c r="I580"/>
  <c r="H580"/>
  <c r="G580"/>
  <c r="F580"/>
  <c r="I579"/>
  <c r="H579"/>
  <c r="G579"/>
  <c r="F579"/>
  <c r="I578"/>
  <c r="H578"/>
  <c r="G578"/>
  <c r="F578"/>
  <c r="I576"/>
  <c r="H576"/>
  <c r="G576"/>
  <c r="F576"/>
  <c r="I575"/>
  <c r="H575"/>
  <c r="G575"/>
  <c r="F575"/>
  <c r="I574"/>
  <c r="H574"/>
  <c r="G574"/>
  <c r="F574"/>
  <c r="I573"/>
  <c r="H573"/>
  <c r="G573"/>
  <c r="F573"/>
  <c r="I572"/>
  <c r="H572"/>
  <c r="G572"/>
  <c r="F572"/>
  <c r="H571"/>
  <c r="G571"/>
  <c r="K714" i="1"/>
  <c r="J714"/>
  <c r="K713"/>
  <c r="J713"/>
  <c r="K712"/>
  <c r="J712"/>
  <c r="K711"/>
  <c r="J711"/>
  <c r="K710"/>
  <c r="J710"/>
  <c r="K709"/>
  <c r="J709"/>
  <c r="K707"/>
  <c r="J707"/>
  <c r="K706"/>
  <c r="J706"/>
  <c r="K705"/>
  <c r="J705"/>
  <c r="K704"/>
  <c r="J704"/>
  <c r="K703"/>
  <c r="J703"/>
  <c r="K702"/>
  <c r="J702"/>
  <c r="K701"/>
  <c r="J701"/>
  <c r="N155" i="3"/>
  <c r="O155" s="1"/>
  <c r="I155"/>
  <c r="H155"/>
  <c r="G155"/>
  <c r="F155"/>
  <c r="K215" i="1"/>
  <c r="J215"/>
  <c r="K214"/>
  <c r="J214"/>
  <c r="I169" i="3"/>
  <c r="H169"/>
  <c r="G169"/>
  <c r="F169"/>
  <c r="N90"/>
  <c r="O90" s="1"/>
  <c r="I90"/>
  <c r="H90"/>
  <c r="G90"/>
  <c r="F90"/>
  <c r="K100" i="1"/>
  <c r="J100"/>
  <c r="N460" i="3"/>
  <c r="O460" s="1"/>
  <c r="N410"/>
  <c r="O410" s="1"/>
  <c r="N375"/>
  <c r="O375" s="1"/>
  <c r="N196"/>
  <c r="O196" s="1"/>
  <c r="N107"/>
  <c r="O107" s="1"/>
  <c r="N2"/>
  <c r="O2" s="1"/>
  <c r="N409"/>
  <c r="O409" s="1"/>
  <c r="N408"/>
  <c r="O408" s="1"/>
  <c r="N374"/>
  <c r="O374" s="1"/>
  <c r="N109"/>
  <c r="O109" s="1"/>
  <c r="N108"/>
  <c r="O108" s="1"/>
  <c r="N3"/>
  <c r="O3" s="1"/>
  <c r="N319"/>
  <c r="O319" s="1"/>
  <c r="N225"/>
  <c r="O225" s="1"/>
  <c r="N67"/>
  <c r="O67" s="1"/>
  <c r="N4"/>
  <c r="O4" s="1"/>
  <c r="N78"/>
  <c r="O78" s="1"/>
  <c r="N74"/>
  <c r="O74" s="1"/>
  <c r="N5"/>
  <c r="O5" s="1"/>
  <c r="N115"/>
  <c r="O115" s="1"/>
  <c r="N114"/>
  <c r="O114" s="1"/>
  <c r="N198"/>
  <c r="O198" s="1"/>
  <c r="N237"/>
  <c r="O237" s="1"/>
  <c r="N111"/>
  <c r="O111" s="1"/>
  <c r="N648"/>
  <c r="O648" s="1"/>
  <c r="N461"/>
  <c r="O461" s="1"/>
  <c r="N9"/>
  <c r="O9" s="1"/>
  <c r="N489"/>
  <c r="O489" s="1"/>
  <c r="N481"/>
  <c r="O481" s="1"/>
  <c r="N342"/>
  <c r="O342" s="1"/>
  <c r="N193"/>
  <c r="O193" s="1"/>
  <c r="N110"/>
  <c r="O110" s="1"/>
  <c r="N113"/>
  <c r="O113" s="1"/>
  <c r="N112"/>
  <c r="O112" s="1"/>
  <c r="N647"/>
  <c r="O647" s="1"/>
  <c r="N646"/>
  <c r="O646" s="1"/>
  <c r="N645"/>
  <c r="O645" s="1"/>
  <c r="N116"/>
  <c r="O116" s="1"/>
  <c r="N644"/>
  <c r="O644" s="1"/>
  <c r="N367"/>
  <c r="O367" s="1"/>
  <c r="N129"/>
  <c r="O129" s="1"/>
  <c r="N10"/>
  <c r="O10" s="1"/>
  <c r="N6"/>
  <c r="O6" s="1"/>
  <c r="N379"/>
  <c r="O379" s="1"/>
  <c r="N377"/>
  <c r="O377" s="1"/>
  <c r="N368"/>
  <c r="O368" s="1"/>
  <c r="N366"/>
  <c r="O366" s="1"/>
  <c r="N238"/>
  <c r="O238" s="1"/>
  <c r="N82"/>
  <c r="O82" s="1"/>
  <c r="N14"/>
  <c r="O14" s="1"/>
  <c r="N13"/>
  <c r="O13" s="1"/>
  <c r="N12"/>
  <c r="O12" s="1"/>
  <c r="N8"/>
  <c r="O8" s="1"/>
  <c r="N119"/>
  <c r="O119" s="1"/>
  <c r="N19"/>
  <c r="O19" s="1"/>
  <c r="N15"/>
  <c r="O15" s="1"/>
  <c r="N428"/>
  <c r="O428" s="1"/>
  <c r="N229"/>
  <c r="O229" s="1"/>
  <c r="N561"/>
  <c r="O561" s="1"/>
  <c r="N429"/>
  <c r="O429" s="1"/>
  <c r="N380"/>
  <c r="O380" s="1"/>
  <c r="N562"/>
  <c r="O562" s="1"/>
  <c r="N563"/>
  <c r="O563" s="1"/>
  <c r="N239"/>
  <c r="O239" s="1"/>
  <c r="N432"/>
  <c r="O432" s="1"/>
  <c r="N483"/>
  <c r="O483" s="1"/>
  <c r="N470"/>
  <c r="O470" s="1"/>
  <c r="N386"/>
  <c r="O386" s="1"/>
  <c r="N435"/>
  <c r="O435" s="1"/>
  <c r="N436"/>
  <c r="O436" s="1"/>
  <c r="N482"/>
  <c r="O482" s="1"/>
  <c r="N387"/>
  <c r="O387" s="1"/>
  <c r="N485"/>
  <c r="O485" s="1"/>
  <c r="N433"/>
  <c r="O433" s="1"/>
  <c r="N264"/>
  <c r="O264" s="1"/>
  <c r="N256"/>
  <c r="O256" s="1"/>
  <c r="N262"/>
  <c r="O262" s="1"/>
  <c r="N369"/>
  <c r="O369" s="1"/>
  <c r="N526"/>
  <c r="O526" s="1"/>
  <c r="N441"/>
  <c r="O441" s="1"/>
  <c r="N388"/>
  <c r="O388" s="1"/>
  <c r="N25"/>
  <c r="O25" s="1"/>
  <c r="N243"/>
  <c r="O243" s="1"/>
  <c r="N601"/>
  <c r="O601" s="1"/>
  <c r="N136"/>
  <c r="O136" s="1"/>
  <c r="N650"/>
  <c r="O650" s="1"/>
  <c r="N241"/>
  <c r="O241" s="1"/>
  <c r="N89"/>
  <c r="O89" s="1"/>
  <c r="N87"/>
  <c r="O87" s="1"/>
  <c r="N86"/>
  <c r="O86" s="1"/>
  <c r="N16"/>
  <c r="O16" s="1"/>
  <c r="N500"/>
  <c r="O500" s="1"/>
  <c r="N528"/>
  <c r="O528" s="1"/>
  <c r="N370"/>
  <c r="O370" s="1"/>
  <c r="N242"/>
  <c r="O242" s="1"/>
  <c r="N514"/>
  <c r="O514" s="1"/>
  <c r="N79"/>
  <c r="O79" s="1"/>
  <c r="N525"/>
  <c r="O525" s="1"/>
  <c r="N437"/>
  <c r="O437" s="1"/>
  <c r="N267"/>
  <c r="O267" s="1"/>
  <c r="N398"/>
  <c r="O398" s="1"/>
  <c r="N600"/>
  <c r="O600" s="1"/>
  <c r="N255"/>
  <c r="O255" s="1"/>
  <c r="N625"/>
  <c r="O625" s="1"/>
  <c r="N252"/>
  <c r="O252" s="1"/>
  <c r="N308"/>
  <c r="O308" s="1"/>
  <c r="N290"/>
  <c r="O290" s="1"/>
  <c r="N291"/>
  <c r="O291" s="1"/>
  <c r="N223"/>
  <c r="O223" s="1"/>
  <c r="N245"/>
  <c r="O245" s="1"/>
  <c r="N244"/>
  <c r="O244" s="1"/>
  <c r="N128"/>
  <c r="O128" s="1"/>
  <c r="N292"/>
  <c r="O292" s="1"/>
  <c r="N381"/>
  <c r="O381" s="1"/>
  <c r="N553"/>
  <c r="O553" s="1"/>
  <c r="N554"/>
  <c r="O554" s="1"/>
  <c r="N309"/>
  <c r="O309" s="1"/>
  <c r="N556"/>
  <c r="O556" s="1"/>
  <c r="N555"/>
  <c r="O555" s="1"/>
  <c r="N230"/>
  <c r="O230" s="1"/>
  <c r="N247"/>
  <c r="O247" s="1"/>
  <c r="N224"/>
  <c r="O224" s="1"/>
  <c r="N416"/>
  <c r="O416" s="1"/>
  <c r="N258"/>
  <c r="O258" s="1"/>
  <c r="N266"/>
  <c r="O266" s="1"/>
  <c r="N265"/>
  <c r="O265" s="1"/>
  <c r="N310"/>
  <c r="O310" s="1"/>
  <c r="N418"/>
  <c r="O418" s="1"/>
  <c r="N649"/>
  <c r="O649" s="1"/>
  <c r="N208"/>
  <c r="O208" s="1"/>
  <c r="N117"/>
  <c r="O117" s="1"/>
  <c r="N11"/>
  <c r="O11" s="1"/>
  <c r="N614"/>
  <c r="O614" s="1"/>
  <c r="N612"/>
  <c r="O612" s="1"/>
  <c r="N557"/>
  <c r="O557" s="1"/>
  <c r="N289"/>
  <c r="O289" s="1"/>
  <c r="N226"/>
  <c r="O226" s="1"/>
  <c r="N213"/>
  <c r="O213" s="1"/>
  <c r="N199"/>
  <c r="O199" s="1"/>
  <c r="N195"/>
  <c r="O195" s="1"/>
  <c r="N197"/>
  <c r="O197" s="1"/>
  <c r="N349"/>
  <c r="O349" s="1"/>
  <c r="N216"/>
  <c r="O216" s="1"/>
  <c r="N376"/>
  <c r="O376" s="1"/>
  <c r="N321"/>
  <c r="O321" s="1"/>
  <c r="N201"/>
  <c r="O201" s="1"/>
  <c r="N200"/>
  <c r="O200" s="1"/>
  <c r="N567"/>
  <c r="O567" s="1"/>
  <c r="N210"/>
  <c r="O210" s="1"/>
  <c r="N203"/>
  <c r="O203" s="1"/>
  <c r="N202"/>
  <c r="O202" s="1"/>
  <c r="N581"/>
  <c r="O581" s="1"/>
  <c r="N599"/>
  <c r="O599" s="1"/>
  <c r="N546"/>
  <c r="O546" s="1"/>
  <c r="N414"/>
  <c r="O414" s="1"/>
  <c r="N221"/>
  <c r="O221" s="1"/>
  <c r="N220"/>
  <c r="O220" s="1"/>
  <c r="N214"/>
  <c r="O214" s="1"/>
  <c r="N211"/>
  <c r="O211" s="1"/>
  <c r="N602"/>
  <c r="O602" s="1"/>
  <c r="N23"/>
  <c r="O23" s="1"/>
  <c r="N18"/>
  <c r="O18" s="1"/>
  <c r="N20"/>
  <c r="O20" s="1"/>
  <c r="N570"/>
  <c r="O570" s="1"/>
  <c r="N569"/>
  <c r="O569" s="1"/>
  <c r="N568"/>
  <c r="O568" s="1"/>
  <c r="N419"/>
  <c r="O419" s="1"/>
  <c r="N24"/>
  <c r="O24" s="1"/>
  <c r="N154"/>
  <c r="O154" s="1"/>
  <c r="N27"/>
  <c r="O27" s="1"/>
  <c r="N549"/>
  <c r="O549" s="1"/>
  <c r="N609"/>
  <c r="O609" s="1"/>
  <c r="N608"/>
  <c r="O608" s="1"/>
  <c r="N607"/>
  <c r="O607" s="1"/>
  <c r="N606"/>
  <c r="O606" s="1"/>
  <c r="N22"/>
  <c r="O22" s="1"/>
  <c r="N21"/>
  <c r="O21" s="1"/>
  <c r="N610"/>
  <c r="O610" s="1"/>
  <c r="N605"/>
  <c r="O605" s="1"/>
  <c r="N467"/>
  <c r="O467" s="1"/>
  <c r="N464"/>
  <c r="O464" s="1"/>
  <c r="N17"/>
  <c r="O17" s="1"/>
  <c r="N412"/>
  <c r="O412" s="1"/>
  <c r="N207"/>
  <c r="O207" s="1"/>
  <c r="N206"/>
  <c r="O206" s="1"/>
  <c r="N217"/>
  <c r="O217" s="1"/>
  <c r="N215"/>
  <c r="O215" s="1"/>
  <c r="N209"/>
  <c r="O209" s="1"/>
  <c r="N323"/>
  <c r="O323" s="1"/>
  <c r="N322"/>
  <c r="O322" s="1"/>
  <c r="N218"/>
  <c r="O218" s="1"/>
  <c r="N413"/>
  <c r="O413" s="1"/>
  <c r="N431"/>
  <c r="O431" s="1"/>
  <c r="N324"/>
  <c r="O324" s="1"/>
  <c r="N121"/>
  <c r="O121" s="1"/>
  <c r="N120"/>
  <c r="O120" s="1"/>
  <c r="N118"/>
  <c r="O118" s="1"/>
  <c r="N430"/>
  <c r="O430" s="1"/>
  <c r="N250"/>
  <c r="O250" s="1"/>
  <c r="N246"/>
  <c r="O246" s="1"/>
  <c r="N233"/>
  <c r="O233" s="1"/>
  <c r="N417"/>
  <c r="O417" s="1"/>
  <c r="N124"/>
  <c r="O124" s="1"/>
  <c r="N123"/>
  <c r="O123" s="1"/>
  <c r="N122"/>
  <c r="O122" s="1"/>
  <c r="N415"/>
  <c r="O415" s="1"/>
  <c r="N251"/>
  <c r="O251" s="1"/>
  <c r="N254"/>
  <c r="O254" s="1"/>
  <c r="N234"/>
  <c r="O234" s="1"/>
  <c r="N390"/>
  <c r="O390" s="1"/>
  <c r="N253"/>
  <c r="O253" s="1"/>
  <c r="N248"/>
  <c r="O248" s="1"/>
  <c r="N219"/>
  <c r="O219" s="1"/>
  <c r="N76"/>
  <c r="O76" s="1"/>
  <c r="N222"/>
  <c r="O222" s="1"/>
  <c r="N77"/>
  <c r="O77" s="1"/>
  <c r="N75"/>
  <c r="O75" s="1"/>
  <c r="N212"/>
  <c r="O212" s="1"/>
  <c r="N125"/>
  <c r="O125" s="1"/>
  <c r="N26"/>
  <c r="O26" s="1"/>
  <c r="N617"/>
  <c r="O617" s="1"/>
  <c r="N130"/>
  <c r="O130" s="1"/>
  <c r="N7"/>
  <c r="O7" s="1"/>
  <c r="N468"/>
  <c r="O468" s="1"/>
  <c r="N378"/>
  <c r="O378" s="1"/>
  <c r="N547"/>
  <c r="O547" s="1"/>
  <c r="I570"/>
  <c r="H570"/>
  <c r="G570"/>
  <c r="F570"/>
  <c r="K700" i="1"/>
  <c r="J700"/>
  <c r="K820"/>
  <c r="K818"/>
  <c r="J818"/>
  <c r="K805"/>
  <c r="J805"/>
  <c r="K804"/>
  <c r="J804"/>
  <c r="K803"/>
  <c r="J803"/>
  <c r="P228" i="3" l="1"/>
  <c r="N228"/>
  <c r="O228"/>
  <c r="K666" i="1"/>
  <c r="J666"/>
  <c r="I549" i="3"/>
  <c r="H549"/>
  <c r="G549"/>
  <c r="F549"/>
  <c r="I26"/>
  <c r="H26"/>
  <c r="G26"/>
  <c r="F26"/>
  <c r="K29" i="1"/>
  <c r="I125" i="3"/>
  <c r="H125"/>
  <c r="G125"/>
  <c r="F125"/>
  <c r="K144" i="1"/>
  <c r="J144"/>
  <c r="I212" i="3"/>
  <c r="H212"/>
  <c r="G212"/>
  <c r="F212"/>
  <c r="K199" i="1"/>
  <c r="J199"/>
  <c r="I222" i="3"/>
  <c r="H222"/>
  <c r="G222"/>
  <c r="F222"/>
  <c r="K211" i="1"/>
  <c r="J211"/>
  <c r="K210"/>
  <c r="J210"/>
  <c r="K509" l="1"/>
  <c r="J509"/>
  <c r="I419" i="3"/>
  <c r="H419"/>
  <c r="G419"/>
  <c r="I625"/>
  <c r="H625"/>
  <c r="G625"/>
  <c r="F625"/>
  <c r="K769" i="1"/>
  <c r="J769"/>
  <c r="I25" i="3"/>
  <c r="H25"/>
  <c r="G25"/>
  <c r="F25"/>
  <c r="K28" i="1"/>
  <c r="K135"/>
  <c r="K134"/>
  <c r="K133"/>
  <c r="K132"/>
  <c r="K131"/>
  <c r="K130"/>
  <c r="K129"/>
  <c r="K128"/>
  <c r="K127"/>
  <c r="K126"/>
  <c r="K125"/>
  <c r="K124"/>
  <c r="K123"/>
  <c r="K122"/>
  <c r="K121"/>
  <c r="K99"/>
  <c r="K98"/>
  <c r="K96"/>
  <c r="K95"/>
  <c r="K94"/>
  <c r="K93"/>
  <c r="K92"/>
  <c r="K86"/>
  <c r="K77"/>
  <c r="K76"/>
  <c r="K75"/>
  <c r="K74"/>
  <c r="K73"/>
  <c r="K72"/>
  <c r="K71"/>
  <c r="K70"/>
  <c r="K27"/>
  <c r="K26"/>
  <c r="K25"/>
  <c r="K24"/>
  <c r="K23"/>
  <c r="K22"/>
  <c r="K21"/>
  <c r="K20"/>
  <c r="K19"/>
  <c r="K18"/>
  <c r="K17"/>
  <c r="K16"/>
  <c r="K15"/>
  <c r="K14"/>
  <c r="K13"/>
  <c r="K12"/>
  <c r="K11"/>
  <c r="K10"/>
  <c r="K9"/>
  <c r="K8"/>
  <c r="K7"/>
  <c r="K6"/>
  <c r="K5"/>
  <c r="K4"/>
  <c r="K2"/>
  <c r="K716"/>
  <c r="J716"/>
  <c r="K715"/>
  <c r="J715"/>
  <c r="K698"/>
  <c r="J698"/>
  <c r="K697"/>
  <c r="J697"/>
  <c r="K696"/>
  <c r="J696"/>
  <c r="K695"/>
  <c r="J695"/>
  <c r="K694"/>
  <c r="J694"/>
  <c r="K693"/>
  <c r="J693"/>
  <c r="K688"/>
  <c r="J688"/>
  <c r="K687"/>
  <c r="J687"/>
  <c r="K686"/>
  <c r="J686"/>
  <c r="K685"/>
  <c r="J685"/>
  <c r="K684"/>
  <c r="J684"/>
  <c r="K680"/>
  <c r="J680"/>
  <c r="K679"/>
  <c r="J679"/>
  <c r="K678"/>
  <c r="J678"/>
  <c r="K677"/>
  <c r="J677"/>
  <c r="K676"/>
  <c r="J676"/>
  <c r="K675"/>
  <c r="J675"/>
  <c r="K674"/>
  <c r="J674"/>
  <c r="K673"/>
  <c r="J673"/>
  <c r="K664"/>
  <c r="J664"/>
  <c r="K663"/>
  <c r="J663"/>
  <c r="K662"/>
  <c r="J662"/>
  <c r="K661"/>
  <c r="J661"/>
  <c r="K660"/>
  <c r="J660"/>
  <c r="K604"/>
  <c r="J604"/>
  <c r="K603"/>
  <c r="J603"/>
  <c r="K602"/>
  <c r="J602"/>
  <c r="K601"/>
  <c r="J601"/>
  <c r="K600"/>
  <c r="J600"/>
  <c r="K599"/>
  <c r="J599"/>
  <c r="K598"/>
  <c r="J598"/>
  <c r="K597"/>
  <c r="J597"/>
  <c r="K593"/>
  <c r="J593"/>
  <c r="K592"/>
  <c r="J592"/>
  <c r="K591"/>
  <c r="J591"/>
  <c r="K590"/>
  <c r="J590"/>
  <c r="K589"/>
  <c r="J589"/>
  <c r="K588"/>
  <c r="J588"/>
  <c r="K587"/>
  <c r="J587"/>
  <c r="K572"/>
  <c r="J572"/>
  <c r="K571"/>
  <c r="J571"/>
  <c r="K570"/>
  <c r="J570"/>
  <c r="K569"/>
  <c r="J569"/>
  <c r="K568"/>
  <c r="J568"/>
  <c r="K567"/>
  <c r="J567"/>
  <c r="K562"/>
  <c r="J562"/>
  <c r="K561"/>
  <c r="J561"/>
  <c r="K560"/>
  <c r="J560"/>
  <c r="K559"/>
  <c r="J559"/>
  <c r="K558"/>
  <c r="J558"/>
  <c r="K557"/>
  <c r="J557"/>
  <c r="K556"/>
  <c r="J556"/>
  <c r="K555"/>
  <c r="J555"/>
  <c r="K554"/>
  <c r="J554"/>
  <c r="K553"/>
  <c r="J553"/>
  <c r="K534"/>
  <c r="J534"/>
  <c r="K533"/>
  <c r="J533"/>
  <c r="K529"/>
  <c r="J529"/>
  <c r="K528"/>
  <c r="J528"/>
  <c r="K527"/>
  <c r="J527"/>
  <c r="K526"/>
  <c r="J526"/>
  <c r="K524"/>
  <c r="J524"/>
  <c r="K523"/>
  <c r="J523"/>
  <c r="K522"/>
  <c r="J522"/>
  <c r="K521"/>
  <c r="J521"/>
  <c r="K520"/>
  <c r="J520"/>
  <c r="K519"/>
  <c r="J519"/>
  <c r="K518"/>
  <c r="J518"/>
  <c r="K508"/>
  <c r="J508"/>
  <c r="K507"/>
  <c r="J507"/>
  <c r="K506"/>
  <c r="J506"/>
  <c r="K505"/>
  <c r="J505"/>
  <c r="K504"/>
  <c r="J504"/>
  <c r="K503"/>
  <c r="J503"/>
  <c r="K502"/>
  <c r="J502"/>
  <c r="K501"/>
  <c r="J501"/>
  <c r="K500"/>
  <c r="J500"/>
  <c r="K499"/>
  <c r="J499"/>
  <c r="K498"/>
  <c r="J498"/>
  <c r="K497"/>
  <c r="J497"/>
  <c r="K496"/>
  <c r="J496"/>
  <c r="K495"/>
  <c r="J495"/>
  <c r="K481"/>
  <c r="J481"/>
  <c r="K473"/>
  <c r="J473"/>
  <c r="K472"/>
  <c r="J472"/>
  <c r="K470"/>
  <c r="J470"/>
  <c r="K469"/>
  <c r="J469"/>
  <c r="K468"/>
  <c r="J468"/>
  <c r="K467"/>
  <c r="J467"/>
  <c r="K462"/>
  <c r="J462"/>
  <c r="K461"/>
  <c r="J461"/>
  <c r="K460"/>
  <c r="J460"/>
  <c r="K459"/>
  <c r="J459"/>
  <c r="K457"/>
  <c r="J457"/>
  <c r="K456"/>
  <c r="J456"/>
  <c r="K455"/>
  <c r="J455"/>
  <c r="K454"/>
  <c r="J454"/>
  <c r="K453"/>
  <c r="J453"/>
  <c r="K452"/>
  <c r="J452"/>
  <c r="K448"/>
  <c r="J448"/>
  <c r="K447"/>
  <c r="J447"/>
  <c r="K446"/>
  <c r="J446"/>
  <c r="K445"/>
  <c r="J445"/>
  <c r="K444"/>
  <c r="J444"/>
  <c r="K443"/>
  <c r="J443"/>
  <c r="K442"/>
  <c r="J442"/>
  <c r="K441"/>
  <c r="J441"/>
  <c r="K420"/>
  <c r="J420"/>
  <c r="K419"/>
  <c r="J419"/>
  <c r="K418"/>
  <c r="J418"/>
  <c r="K310"/>
  <c r="J310"/>
  <c r="K309"/>
  <c r="J309"/>
  <c r="K308"/>
  <c r="J308"/>
  <c r="K307"/>
  <c r="J307"/>
  <c r="K306"/>
  <c r="J306"/>
  <c r="K305"/>
  <c r="J305"/>
  <c r="K301"/>
  <c r="J301"/>
  <c r="K300"/>
  <c r="J300"/>
  <c r="K298"/>
  <c r="J298"/>
  <c r="K297"/>
  <c r="J297"/>
  <c r="K296"/>
  <c r="J296"/>
  <c r="K295"/>
  <c r="J295"/>
  <c r="K294"/>
  <c r="J294"/>
  <c r="K293"/>
  <c r="J293"/>
  <c r="K292"/>
  <c r="J292"/>
  <c r="K291"/>
  <c r="J291"/>
  <c r="K290"/>
  <c r="J290"/>
  <c r="K289"/>
  <c r="J289"/>
  <c r="K288"/>
  <c r="J288"/>
  <c r="K286"/>
  <c r="J286"/>
  <c r="K285"/>
  <c r="J285"/>
  <c r="K284"/>
  <c r="J284"/>
  <c r="K283"/>
  <c r="J283"/>
  <c r="K282"/>
  <c r="J282"/>
  <c r="K281"/>
  <c r="J281"/>
  <c r="K280"/>
  <c r="J280"/>
  <c r="K279"/>
  <c r="J279"/>
  <c r="K278"/>
  <c r="J278"/>
  <c r="K277"/>
  <c r="J277"/>
  <c r="K276"/>
  <c r="J276"/>
  <c r="K275"/>
  <c r="J275"/>
  <c r="K273"/>
  <c r="J273"/>
  <c r="K272"/>
  <c r="J272"/>
  <c r="K271"/>
  <c r="J271"/>
  <c r="K270"/>
  <c r="J270"/>
  <c r="K267"/>
  <c r="J267"/>
  <c r="K266"/>
  <c r="J266"/>
  <c r="K265"/>
  <c r="J265"/>
  <c r="K262"/>
  <c r="J262"/>
  <c r="K261"/>
  <c r="J261"/>
  <c r="K260"/>
  <c r="J260"/>
  <c r="K259"/>
  <c r="J259"/>
  <c r="K258"/>
  <c r="J258"/>
  <c r="K257"/>
  <c r="J257"/>
  <c r="K256"/>
  <c r="J256"/>
  <c r="K255"/>
  <c r="J255"/>
  <c r="K254"/>
  <c r="J254"/>
  <c r="K253"/>
  <c r="J253"/>
  <c r="K209"/>
  <c r="J209"/>
  <c r="K208"/>
  <c r="J208"/>
  <c r="K207"/>
  <c r="J207"/>
  <c r="K206"/>
  <c r="J206"/>
  <c r="K205"/>
  <c r="J205"/>
  <c r="K204"/>
  <c r="J204"/>
  <c r="K203"/>
  <c r="J203"/>
  <c r="K202"/>
  <c r="J202"/>
  <c r="K201"/>
  <c r="J201"/>
  <c r="K200"/>
  <c r="J200"/>
  <c r="K198"/>
  <c r="J198"/>
  <c r="K197"/>
  <c r="J197"/>
  <c r="K196"/>
  <c r="J196"/>
  <c r="K195"/>
  <c r="J195"/>
  <c r="K194"/>
  <c r="J194"/>
  <c r="K193"/>
  <c r="J193"/>
  <c r="K192"/>
  <c r="J192"/>
  <c r="K191"/>
  <c r="J191"/>
  <c r="K190"/>
  <c r="J190"/>
  <c r="K189"/>
  <c r="J189"/>
  <c r="K188"/>
  <c r="J188"/>
  <c r="K187"/>
  <c r="J187"/>
  <c r="K186"/>
  <c r="J186"/>
  <c r="K185"/>
  <c r="J185"/>
  <c r="K184"/>
  <c r="J184"/>
  <c r="K183"/>
  <c r="J183"/>
  <c r="K182"/>
  <c r="J182"/>
  <c r="K181"/>
  <c r="J181"/>
  <c r="K180"/>
  <c r="J180"/>
  <c r="K179"/>
  <c r="J179"/>
  <c r="K178"/>
  <c r="J178"/>
  <c r="K177"/>
  <c r="J177"/>
  <c r="K176"/>
  <c r="J176"/>
  <c r="K175"/>
  <c r="J175"/>
  <c r="K157"/>
  <c r="J157"/>
  <c r="K156"/>
  <c r="J156"/>
  <c r="K150"/>
  <c r="J150"/>
  <c r="K149"/>
  <c r="J149"/>
  <c r="K148"/>
  <c r="J148"/>
  <c r="K147"/>
  <c r="J147"/>
  <c r="K146"/>
  <c r="J146"/>
  <c r="K143"/>
  <c r="J143"/>
  <c r="K142"/>
  <c r="J142"/>
  <c r="K141"/>
  <c r="J141"/>
  <c r="K140"/>
  <c r="J140"/>
  <c r="K139"/>
  <c r="J139"/>
  <c r="K138"/>
  <c r="J138"/>
  <c r="K137"/>
  <c r="J137"/>
  <c r="K136"/>
  <c r="J136"/>
  <c r="J135"/>
  <c r="J134"/>
  <c r="J133"/>
  <c r="J132"/>
  <c r="J131"/>
  <c r="J130"/>
  <c r="J129"/>
  <c r="J128"/>
  <c r="J127"/>
  <c r="J126"/>
  <c r="J125"/>
  <c r="J124"/>
  <c r="J123"/>
  <c r="J122"/>
  <c r="J121"/>
  <c r="J99"/>
  <c r="J98"/>
  <c r="J96"/>
  <c r="J95"/>
  <c r="J94"/>
  <c r="J93"/>
  <c r="J92"/>
  <c r="J86"/>
  <c r="J77"/>
  <c r="J76"/>
  <c r="J75"/>
  <c r="J74"/>
  <c r="J73"/>
  <c r="J72"/>
  <c r="J71"/>
  <c r="J70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2"/>
  <c r="I2"/>
  <c r="H2"/>
  <c r="K799"/>
  <c r="J799"/>
  <c r="K798"/>
  <c r="J798"/>
  <c r="K797"/>
  <c r="J797"/>
  <c r="K796"/>
  <c r="J796"/>
  <c r="K795"/>
  <c r="J795"/>
  <c r="K794"/>
  <c r="J794"/>
  <c r="K793"/>
  <c r="J793"/>
  <c r="K792"/>
  <c r="J792"/>
  <c r="K791"/>
  <c r="J791"/>
  <c r="K790"/>
  <c r="J790"/>
  <c r="K768"/>
  <c r="J768"/>
  <c r="K767"/>
  <c r="J767"/>
  <c r="K736"/>
  <c r="J736"/>
  <c r="K735"/>
  <c r="J735"/>
  <c r="K734"/>
  <c r="J734"/>
  <c r="K733"/>
  <c r="J733"/>
  <c r="K732"/>
  <c r="J732"/>
  <c r="K731"/>
  <c r="J731"/>
  <c r="K729"/>
  <c r="J729"/>
  <c r="K728"/>
  <c r="J728"/>
  <c r="K727"/>
  <c r="J727"/>
  <c r="K726"/>
  <c r="J726"/>
  <c r="K725"/>
  <c r="J725"/>
  <c r="K724"/>
  <c r="J724"/>
  <c r="K723"/>
  <c r="J723"/>
  <c r="K720"/>
  <c r="J720"/>
  <c r="K718"/>
  <c r="J718"/>
  <c r="I136" i="3"/>
  <c r="H136"/>
  <c r="G136"/>
  <c r="F136"/>
  <c r="I418"/>
  <c r="H418"/>
  <c r="G418"/>
  <c r="F418"/>
  <c r="I437"/>
  <c r="H437"/>
  <c r="G437"/>
  <c r="F437"/>
  <c r="I267"/>
  <c r="H267"/>
  <c r="G267"/>
  <c r="F267"/>
  <c r="H441"/>
  <c r="G441"/>
  <c r="F441"/>
  <c r="I370"/>
  <c r="H370"/>
  <c r="G370"/>
  <c r="F370"/>
  <c r="I617" l="1"/>
  <c r="H617"/>
  <c r="G617"/>
  <c r="F617"/>
  <c r="I24"/>
  <c r="H24"/>
  <c r="G24"/>
  <c r="F24"/>
  <c r="I417"/>
  <c r="H417"/>
  <c r="G417"/>
  <c r="F417"/>
  <c r="I266"/>
  <c r="H266"/>
  <c r="G266"/>
  <c r="F266"/>
  <c r="I265"/>
  <c r="H265"/>
  <c r="G265"/>
  <c r="F265"/>
  <c r="I248"/>
  <c r="H248"/>
  <c r="G248"/>
  <c r="F248"/>
  <c r="I124"/>
  <c r="H124"/>
  <c r="G124"/>
  <c r="F124"/>
  <c r="I616"/>
  <c r="H616"/>
  <c r="G616"/>
  <c r="F616"/>
  <c r="I615"/>
  <c r="H615"/>
  <c r="G615"/>
  <c r="F615"/>
  <c r="I614"/>
  <c r="H614"/>
  <c r="G614"/>
  <c r="F614"/>
  <c r="I528"/>
  <c r="H528"/>
  <c r="G528"/>
  <c r="F528"/>
  <c r="I612"/>
  <c r="H612"/>
  <c r="G612"/>
  <c r="F612"/>
  <c r="I609"/>
  <c r="H609"/>
  <c r="G609"/>
  <c r="F609"/>
  <c r="I608"/>
  <c r="H608"/>
  <c r="G608"/>
  <c r="F608"/>
  <c r="I607"/>
  <c r="H607"/>
  <c r="G607"/>
  <c r="F607"/>
  <c r="I606"/>
  <c r="H606"/>
  <c r="G606"/>
  <c r="F606"/>
  <c r="I605"/>
  <c r="H605"/>
  <c r="G605"/>
  <c r="F605"/>
  <c r="I602"/>
  <c r="H602"/>
  <c r="G602"/>
  <c r="F602"/>
  <c r="I23"/>
  <c r="H23"/>
  <c r="G23"/>
  <c r="F23"/>
  <c r="I433"/>
  <c r="H433"/>
  <c r="G433"/>
  <c r="F433"/>
  <c r="I398"/>
  <c r="H398"/>
  <c r="G398"/>
  <c r="F398"/>
  <c r="I436"/>
  <c r="H436"/>
  <c r="G436"/>
  <c r="F436"/>
  <c r="I416"/>
  <c r="H416"/>
  <c r="G416"/>
  <c r="F416"/>
  <c r="I262"/>
  <c r="H262"/>
  <c r="G262"/>
  <c r="F262"/>
  <c r="I123"/>
  <c r="H123"/>
  <c r="G123"/>
  <c r="F123"/>
  <c r="I258"/>
  <c r="H258"/>
  <c r="G258"/>
  <c r="F258"/>
  <c r="I569"/>
  <c r="H569"/>
  <c r="G569"/>
  <c r="F569"/>
  <c r="I388"/>
  <c r="H388"/>
  <c r="G388"/>
  <c r="F388"/>
  <c r="I557"/>
  <c r="H557"/>
  <c r="G557"/>
  <c r="F557"/>
  <c r="I254"/>
  <c r="H254"/>
  <c r="G254"/>
  <c r="F254"/>
  <c r="I234"/>
  <c r="H234"/>
  <c r="G234"/>
  <c r="F234"/>
  <c r="I256"/>
  <c r="H256"/>
  <c r="G256"/>
  <c r="F256"/>
  <c r="I387"/>
  <c r="H387"/>
  <c r="G387"/>
  <c r="F387"/>
  <c r="I251"/>
  <c r="H251"/>
  <c r="G251"/>
  <c r="F251"/>
  <c r="I241"/>
  <c r="H241"/>
  <c r="G241"/>
  <c r="F241"/>
  <c r="I390"/>
  <c r="H390"/>
  <c r="G390"/>
  <c r="F390"/>
  <c r="I386"/>
  <c r="H386"/>
  <c r="G386"/>
  <c r="F386"/>
  <c r="I264"/>
  <c r="H264"/>
  <c r="G264"/>
  <c r="F264"/>
  <c r="I601"/>
  <c r="H601"/>
  <c r="G601"/>
  <c r="F601"/>
  <c r="I247"/>
  <c r="H247"/>
  <c r="G247"/>
  <c r="F247"/>
  <c r="I435"/>
  <c r="H435"/>
  <c r="G435"/>
  <c r="F435"/>
  <c r="I650"/>
  <c r="H650"/>
  <c r="G650"/>
  <c r="F650"/>
  <c r="I600"/>
  <c r="H600"/>
  <c r="G600"/>
  <c r="F600"/>
  <c r="K717" i="1"/>
  <c r="J717"/>
  <c r="I415" i="3"/>
  <c r="H415"/>
  <c r="G415"/>
  <c r="F415"/>
  <c r="I485"/>
  <c r="H485"/>
  <c r="G485"/>
  <c r="F485"/>
  <c r="I547"/>
  <c r="H547"/>
  <c r="G547"/>
  <c r="F547"/>
  <c r="I22"/>
  <c r="H22"/>
  <c r="G22"/>
  <c r="F22"/>
  <c r="I21"/>
  <c r="H21"/>
  <c r="G21"/>
  <c r="F21"/>
  <c r="I122"/>
  <c r="H122"/>
  <c r="G122"/>
  <c r="F122"/>
  <c r="I230"/>
  <c r="H230"/>
  <c r="G230"/>
  <c r="F230"/>
  <c r="I414"/>
  <c r="H414"/>
  <c r="G414"/>
  <c r="F414"/>
  <c r="F527"/>
  <c r="G527"/>
  <c r="H527"/>
  <c r="I527"/>
  <c r="I432"/>
  <c r="H432"/>
  <c r="G432"/>
  <c r="F432"/>
  <c r="F239"/>
  <c r="G239"/>
  <c r="H239"/>
  <c r="I239"/>
  <c r="I324"/>
  <c r="H324"/>
  <c r="G324"/>
  <c r="F324"/>
  <c r="F599"/>
  <c r="G599"/>
  <c r="H599"/>
  <c r="I599"/>
  <c r="I380"/>
  <c r="H380"/>
  <c r="G380"/>
  <c r="F380"/>
  <c r="I563"/>
  <c r="H563"/>
  <c r="G563"/>
  <c r="F563"/>
  <c r="I562"/>
  <c r="H562"/>
  <c r="G562"/>
  <c r="F562"/>
  <c r="I255"/>
  <c r="H255"/>
  <c r="G255"/>
  <c r="F255"/>
  <c r="F431"/>
  <c r="G431"/>
  <c r="H431"/>
  <c r="I431"/>
  <c r="F253"/>
  <c r="G253"/>
  <c r="H253"/>
  <c r="I253"/>
  <c r="F464"/>
  <c r="G464"/>
  <c r="H464"/>
  <c r="I464"/>
  <c r="I526"/>
  <c r="H526"/>
  <c r="G526"/>
  <c r="F526"/>
  <c r="I369"/>
  <c r="H369"/>
  <c r="G369"/>
  <c r="F369"/>
  <c r="I310"/>
  <c r="H310"/>
  <c r="G310"/>
  <c r="F310"/>
  <c r="I20"/>
  <c r="H20"/>
  <c r="G20"/>
  <c r="F20"/>
  <c r="F428"/>
  <c r="G428"/>
  <c r="H428"/>
  <c r="I428"/>
  <c r="F429"/>
  <c r="G429"/>
  <c r="H429"/>
  <c r="I429"/>
  <c r="F430"/>
  <c r="G430"/>
  <c r="H430"/>
  <c r="I430"/>
  <c r="F121" l="1"/>
  <c r="G121"/>
  <c r="H121"/>
  <c r="I121"/>
  <c r="I214"/>
  <c r="H214"/>
  <c r="G214"/>
  <c r="F214"/>
  <c r="F581"/>
  <c r="G581"/>
  <c r="H581"/>
  <c r="I581"/>
  <c r="F470"/>
  <c r="G470"/>
  <c r="H470"/>
  <c r="I470"/>
  <c r="I211"/>
  <c r="H211"/>
  <c r="G211"/>
  <c r="F211"/>
  <c r="I252"/>
  <c r="H252"/>
  <c r="G252"/>
  <c r="F252"/>
  <c r="F221"/>
  <c r="G221"/>
  <c r="H221"/>
  <c r="I221"/>
  <c r="I229"/>
  <c r="H229"/>
  <c r="G229"/>
  <c r="F229"/>
  <c r="I19"/>
  <c r="H19"/>
  <c r="G19"/>
  <c r="F19"/>
  <c r="I556"/>
  <c r="H556"/>
  <c r="G556"/>
  <c r="F556"/>
  <c r="I555"/>
  <c r="H555"/>
  <c r="G555"/>
  <c r="F555"/>
  <c r="F525"/>
  <c r="G525"/>
  <c r="H525"/>
  <c r="I525"/>
  <c r="F15"/>
  <c r="G15"/>
  <c r="H15"/>
  <c r="I15"/>
  <c r="F16"/>
  <c r="G16"/>
  <c r="H16"/>
  <c r="I16"/>
  <c r="F17"/>
  <c r="G17"/>
  <c r="H17"/>
  <c r="I17"/>
  <c r="F18"/>
  <c r="G18"/>
  <c r="H18"/>
  <c r="I18"/>
  <c r="I220"/>
  <c r="H220"/>
  <c r="G220"/>
  <c r="F220"/>
  <c r="F568"/>
  <c r="G568"/>
  <c r="H568"/>
  <c r="I568"/>
  <c r="I413"/>
  <c r="H413"/>
  <c r="G413"/>
  <c r="F413"/>
  <c r="F554"/>
  <c r="G554"/>
  <c r="H554"/>
  <c r="I554"/>
  <c r="F120"/>
  <c r="G120"/>
  <c r="H120"/>
  <c r="I120"/>
  <c r="F323"/>
  <c r="G323"/>
  <c r="H323"/>
  <c r="I323"/>
  <c r="F514"/>
  <c r="G514"/>
  <c r="H514"/>
  <c r="I514"/>
  <c r="I250"/>
  <c r="H250"/>
  <c r="G250"/>
  <c r="F250"/>
  <c r="I219"/>
  <c r="H219"/>
  <c r="G219"/>
  <c r="F219"/>
  <c r="I210"/>
  <c r="H210"/>
  <c r="G210"/>
  <c r="F210"/>
  <c r="F203"/>
  <c r="G203"/>
  <c r="H203"/>
  <c r="I203"/>
  <c r="I202"/>
  <c r="H202"/>
  <c r="G202"/>
  <c r="F202"/>
  <c r="I500"/>
  <c r="H500"/>
  <c r="G500"/>
  <c r="F500"/>
  <c r="H561"/>
  <c r="G561"/>
  <c r="F561"/>
  <c r="G246"/>
  <c r="F246"/>
  <c r="I14"/>
  <c r="H14"/>
  <c r="G14"/>
  <c r="F14"/>
  <c r="H246"/>
  <c r="I246"/>
  <c r="F79" l="1"/>
  <c r="G79"/>
  <c r="H79"/>
  <c r="I79"/>
  <c r="I13"/>
  <c r="H13"/>
  <c r="G13"/>
  <c r="F13"/>
  <c r="F553"/>
  <c r="G553"/>
  <c r="H553"/>
  <c r="I553"/>
  <c r="I130"/>
  <c r="H130"/>
  <c r="G130"/>
  <c r="F130"/>
  <c r="I567"/>
  <c r="H567"/>
  <c r="G567"/>
  <c r="F567"/>
  <c r="I238"/>
  <c r="H238"/>
  <c r="G238"/>
  <c r="F238"/>
  <c r="I546"/>
  <c r="H546"/>
  <c r="G546"/>
  <c r="F546"/>
  <c r="I243"/>
  <c r="H243"/>
  <c r="G243"/>
  <c r="F243"/>
  <c r="I242"/>
  <c r="H242"/>
  <c r="G242"/>
  <c r="F242"/>
  <c r="I129"/>
  <c r="H129"/>
  <c r="G129"/>
  <c r="F129"/>
  <c r="I368"/>
  <c r="H368"/>
  <c r="G368"/>
  <c r="F368"/>
  <c r="I367"/>
  <c r="H367"/>
  <c r="G367"/>
  <c r="F367"/>
  <c r="I484"/>
  <c r="H484"/>
  <c r="G484"/>
  <c r="F484"/>
  <c r="I12"/>
  <c r="H12"/>
  <c r="G12"/>
  <c r="F12"/>
  <c r="I483"/>
  <c r="H483"/>
  <c r="G483"/>
  <c r="F483"/>
  <c r="I482"/>
  <c r="H482"/>
  <c r="G482"/>
  <c r="F482"/>
  <c r="I82"/>
  <c r="H82"/>
  <c r="G82"/>
  <c r="F82"/>
  <c r="I119"/>
  <c r="H119"/>
  <c r="G119"/>
  <c r="F119"/>
  <c r="I118"/>
  <c r="H118"/>
  <c r="G118"/>
  <c r="F118"/>
  <c r="I209"/>
  <c r="H209"/>
  <c r="G209"/>
  <c r="F209"/>
  <c r="I216"/>
  <c r="H216"/>
  <c r="G216"/>
  <c r="F216"/>
  <c r="I201"/>
  <c r="H201"/>
  <c r="G201"/>
  <c r="F201"/>
  <c r="I200"/>
  <c r="H200"/>
  <c r="G200"/>
  <c r="F200"/>
  <c r="I322"/>
  <c r="H322"/>
  <c r="G322"/>
  <c r="F322"/>
  <c r="I321"/>
  <c r="H321"/>
  <c r="G321"/>
  <c r="F321"/>
  <c r="I377"/>
  <c r="H377"/>
  <c r="G377"/>
  <c r="F377"/>
  <c r="I649"/>
  <c r="H649"/>
  <c r="G649"/>
  <c r="F649"/>
  <c r="I208"/>
  <c r="H208"/>
  <c r="G208"/>
  <c r="F208"/>
  <c r="I117"/>
  <c r="H117"/>
  <c r="G117"/>
  <c r="F117"/>
  <c r="I11"/>
  <c r="H11"/>
  <c r="G11"/>
  <c r="F11"/>
  <c r="I379"/>
  <c r="H379"/>
  <c r="G379"/>
  <c r="F379"/>
  <c r="I349"/>
  <c r="H349"/>
  <c r="G349"/>
  <c r="F349"/>
  <c r="I10"/>
  <c r="H10"/>
  <c r="G10"/>
  <c r="F10"/>
  <c r="I116"/>
  <c r="H116"/>
  <c r="G116"/>
  <c r="F116"/>
  <c r="G645"/>
  <c r="I648"/>
  <c r="H648"/>
  <c r="G648"/>
  <c r="F648"/>
  <c r="I378"/>
  <c r="H378"/>
  <c r="G378"/>
  <c r="F378"/>
  <c r="I127"/>
  <c r="H127"/>
  <c r="G127"/>
  <c r="F127"/>
  <c r="I412"/>
  <c r="H412"/>
  <c r="G412"/>
  <c r="F412"/>
  <c r="I207"/>
  <c r="H207"/>
  <c r="G207"/>
  <c r="F207"/>
  <c r="I9"/>
  <c r="H9"/>
  <c r="G9"/>
  <c r="F9"/>
  <c r="I489" l="1"/>
  <c r="H489"/>
  <c r="G489"/>
  <c r="F489"/>
  <c r="I320"/>
  <c r="H320"/>
  <c r="G320"/>
  <c r="F320"/>
  <c r="I7"/>
  <c r="H7"/>
  <c r="G7"/>
  <c r="F7"/>
  <c r="I199"/>
  <c r="H199"/>
  <c r="G199"/>
  <c r="F199"/>
  <c r="I198"/>
  <c r="H198"/>
  <c r="G198"/>
  <c r="F198"/>
  <c r="I481"/>
  <c r="H481"/>
  <c r="G481"/>
  <c r="F481"/>
  <c r="I115"/>
  <c r="H115"/>
  <c r="G115"/>
  <c r="F115"/>
  <c r="I114"/>
  <c r="H114"/>
  <c r="G114"/>
  <c r="F114"/>
  <c r="I8"/>
  <c r="H8"/>
  <c r="G8"/>
  <c r="F8"/>
  <c r="I6"/>
  <c r="H6"/>
  <c r="G6"/>
  <c r="I647"/>
  <c r="H647"/>
  <c r="G647"/>
  <c r="F647"/>
  <c r="I645"/>
  <c r="H645"/>
  <c r="F645"/>
  <c r="I646"/>
  <c r="H646"/>
  <c r="G646"/>
  <c r="F646"/>
  <c r="I463"/>
  <c r="H463"/>
  <c r="G463"/>
  <c r="F463"/>
  <c r="I89"/>
  <c r="H89"/>
  <c r="G89"/>
  <c r="F89"/>
  <c r="I644"/>
  <c r="H644"/>
  <c r="G644"/>
  <c r="F644"/>
  <c r="I78"/>
  <c r="H78"/>
  <c r="G78"/>
  <c r="F78"/>
  <c r="I77"/>
  <c r="H77"/>
  <c r="G77"/>
  <c r="F77"/>
  <c r="I76"/>
  <c r="H76"/>
  <c r="G76"/>
  <c r="F76"/>
  <c r="I75"/>
  <c r="H75"/>
  <c r="G75"/>
  <c r="F75"/>
  <c r="I74"/>
  <c r="H74"/>
  <c r="G74"/>
  <c r="F74"/>
  <c r="I67"/>
  <c r="H67"/>
  <c r="G67"/>
  <c r="F67"/>
  <c r="I4"/>
  <c r="H4"/>
  <c r="G4"/>
  <c r="F4"/>
  <c r="I237" l="1"/>
  <c r="H237"/>
  <c r="G237"/>
  <c r="F237"/>
  <c r="I113"/>
  <c r="H113"/>
  <c r="G113"/>
  <c r="F113"/>
  <c r="I112"/>
  <c r="H112"/>
  <c r="G112"/>
  <c r="F112"/>
  <c r="I5"/>
  <c r="H5"/>
  <c r="G5"/>
  <c r="F5"/>
  <c r="I218"/>
  <c r="H218"/>
  <c r="G218"/>
  <c r="F218"/>
  <c r="I217"/>
  <c r="H217"/>
  <c r="G217"/>
  <c r="F217"/>
  <c r="I215"/>
  <c r="H215"/>
  <c r="G215"/>
  <c r="F215"/>
  <c r="I213"/>
  <c r="H213"/>
  <c r="G213"/>
  <c r="F213"/>
  <c r="I462"/>
  <c r="H462"/>
  <c r="G462"/>
  <c r="F462"/>
  <c r="I469"/>
  <c r="H469"/>
  <c r="G469"/>
  <c r="F469"/>
  <c r="I319"/>
  <c r="H319"/>
  <c r="G319"/>
  <c r="F319"/>
  <c r="I468"/>
  <c r="H468"/>
  <c r="G468"/>
  <c r="F468"/>
  <c r="I411"/>
  <c r="H411"/>
  <c r="G411"/>
  <c r="F411"/>
  <c r="I410"/>
  <c r="H410"/>
  <c r="G410"/>
  <c r="F410"/>
  <c r="I376"/>
  <c r="H376"/>
  <c r="G376"/>
  <c r="F376"/>
  <c r="I110"/>
  <c r="H110"/>
  <c r="G110"/>
  <c r="F110"/>
  <c r="I3"/>
  <c r="H3"/>
  <c r="G3"/>
  <c r="F3"/>
  <c r="I197"/>
  <c r="H197"/>
  <c r="G197"/>
  <c r="F197"/>
  <c r="I196"/>
  <c r="H196"/>
  <c r="G196"/>
  <c r="F196"/>
  <c r="I461"/>
  <c r="H461"/>
  <c r="G461"/>
  <c r="F461"/>
  <c r="H467"/>
  <c r="G460"/>
  <c r="I194"/>
  <c r="H194"/>
  <c r="G194"/>
  <c r="F194"/>
  <c r="F108"/>
  <c r="G108"/>
  <c r="H108"/>
  <c r="I108"/>
  <c r="F109"/>
  <c r="G109"/>
  <c r="H109"/>
  <c r="I109"/>
  <c r="I87"/>
  <c r="H87"/>
  <c r="G87"/>
  <c r="F87"/>
  <c r="I233"/>
  <c r="H233"/>
  <c r="G233"/>
  <c r="F233"/>
  <c r="I460"/>
  <c r="H460"/>
  <c r="F460"/>
  <c r="I459"/>
  <c r="H459"/>
  <c r="G459"/>
  <c r="F459"/>
  <c r="I456"/>
  <c r="H456"/>
  <c r="G456"/>
  <c r="F456"/>
  <c r="I409"/>
  <c r="H409"/>
  <c r="G409"/>
  <c r="F409"/>
  <c r="I408"/>
  <c r="H408"/>
  <c r="G408"/>
  <c r="F408"/>
  <c r="I309"/>
  <c r="H309"/>
  <c r="G309"/>
  <c r="F309"/>
  <c r="I205"/>
  <c r="H205"/>
  <c r="G205"/>
  <c r="F205"/>
  <c r="I204"/>
  <c r="H204"/>
  <c r="G204"/>
  <c r="F204"/>
  <c r="I227"/>
  <c r="H227"/>
  <c r="G227"/>
  <c r="F227"/>
  <c r="I315"/>
  <c r="H315"/>
  <c r="G315"/>
  <c r="F315"/>
  <c r="I375"/>
  <c r="H375"/>
  <c r="G375"/>
  <c r="F375"/>
  <c r="I348"/>
  <c r="H348"/>
  <c r="G348"/>
  <c r="F348"/>
  <c r="I467"/>
  <c r="G467"/>
  <c r="F467"/>
  <c r="I374"/>
  <c r="H374"/>
  <c r="G374"/>
  <c r="F374"/>
  <c r="I342"/>
  <c r="H342"/>
  <c r="G342"/>
  <c r="F342"/>
  <c r="I366"/>
  <c r="H366"/>
  <c r="G366"/>
  <c r="F366"/>
  <c r="I338"/>
  <c r="H338"/>
  <c r="G338"/>
  <c r="F338"/>
  <c r="I289"/>
  <c r="H289"/>
  <c r="G289"/>
  <c r="F289"/>
  <c r="I312"/>
  <c r="H312"/>
  <c r="G312"/>
  <c r="F312"/>
  <c r="I311"/>
  <c r="H311"/>
  <c r="G311"/>
  <c r="F311"/>
  <c r="I225"/>
  <c r="H225"/>
  <c r="G225"/>
  <c r="F225"/>
  <c r="I224"/>
  <c r="H224"/>
  <c r="G224"/>
  <c r="F224"/>
  <c r="I206"/>
  <c r="H206"/>
  <c r="G206"/>
  <c r="F206"/>
  <c r="I195"/>
  <c r="H195"/>
  <c r="G195"/>
  <c r="F195"/>
  <c r="I193"/>
  <c r="H193"/>
  <c r="G193"/>
  <c r="F193"/>
  <c r="I153"/>
  <c r="H153"/>
  <c r="G153"/>
  <c r="F153"/>
  <c r="I111"/>
  <c r="H111"/>
  <c r="G111"/>
  <c r="F111"/>
  <c r="I107"/>
  <c r="H107"/>
  <c r="G107"/>
  <c r="F107"/>
  <c r="I86"/>
  <c r="H86"/>
  <c r="G86"/>
  <c r="F86"/>
  <c r="I2"/>
  <c r="H2"/>
  <c r="G2"/>
  <c r="F2"/>
</calcChain>
</file>

<file path=xl/sharedStrings.xml><?xml version="1.0" encoding="utf-8"?>
<sst xmlns="http://schemas.openxmlformats.org/spreadsheetml/2006/main" count="7010" uniqueCount="1968">
  <si>
    <t>Area</t>
  </si>
  <si>
    <t>Description</t>
  </si>
  <si>
    <t>Who</t>
  </si>
  <si>
    <t>Item</t>
  </si>
  <si>
    <t>Status</t>
  </si>
  <si>
    <t>In Progress</t>
  </si>
  <si>
    <t>Priority</t>
  </si>
  <si>
    <t>Not Started</t>
  </si>
  <si>
    <t>Required By</t>
  </si>
  <si>
    <t>Research</t>
  </si>
  <si>
    <t>3-MED</t>
  </si>
  <si>
    <t>Neil</t>
  </si>
  <si>
    <t>4-HIGH</t>
  </si>
  <si>
    <t>Closed</t>
  </si>
  <si>
    <t>Data Added</t>
  </si>
  <si>
    <t>.</t>
  </si>
  <si>
    <t>ID</t>
  </si>
  <si>
    <t>PriorityValue</t>
  </si>
  <si>
    <t>Deals Database</t>
  </si>
  <si>
    <t>Fixes to fixing and schedule building required to stop error from Radial and Totoro</t>
  </si>
  <si>
    <t>David Covey</t>
  </si>
  <si>
    <t>Unassigned</t>
  </si>
  <si>
    <t>Intex</t>
  </si>
  <si>
    <t>Investigate use of Intex to populate cashflows</t>
  </si>
  <si>
    <t>Deal Analyser</t>
  </si>
  <si>
    <t>Get feed from ABSNet and load into database</t>
  </si>
  <si>
    <t>Build prototype application to view data</t>
  </si>
  <si>
    <t>Matrix Pricing Application</t>
  </si>
  <si>
    <t xml:space="preserve">Various modifications before prototype given to Research </t>
  </si>
  <si>
    <t>Ruth</t>
  </si>
  <si>
    <t>Test and make release build</t>
  </si>
  <si>
    <t>Add pricing functionality to Batch and Application</t>
  </si>
  <si>
    <t>Pramendra</t>
  </si>
  <si>
    <t>Add ALBA loans</t>
  </si>
  <si>
    <t>Logging library</t>
  </si>
  <si>
    <t>Config Library</t>
  </si>
  <si>
    <t>Database library</t>
  </si>
  <si>
    <t>Paresh</t>
  </si>
  <si>
    <t>2-LOW</t>
  </si>
  <si>
    <t>Make first release of logging library</t>
  </si>
  <si>
    <t>Add usage of Config library to logger library</t>
  </si>
  <si>
    <t>Make first release of Database library</t>
  </si>
  <si>
    <t>Add in usage of Config library to Database library</t>
  </si>
  <si>
    <t>Production Environment</t>
  </si>
  <si>
    <t>Get SAS installed and set up</t>
  </si>
  <si>
    <t>Friedel</t>
  </si>
  <si>
    <t>David S</t>
  </si>
  <si>
    <t>Figure out how to manage the DB schema</t>
  </si>
  <si>
    <t>0-Closed</t>
  </si>
  <si>
    <t>Component One Licenses for Mumbai</t>
  </si>
  <si>
    <t>Get Radial/Totoro to handle irregular schedules</t>
  </si>
  <si>
    <t>First Release of Config Library</t>
  </si>
  <si>
    <t>Dan Balsom</t>
  </si>
  <si>
    <t>Add Halifax HPI data</t>
  </si>
  <si>
    <t>Get AMS calendar fixed to add Ascension Day</t>
  </si>
  <si>
    <t>Fingal</t>
  </si>
  <si>
    <t>Business Object Layer</t>
  </si>
  <si>
    <t>Possible enhancements</t>
  </si>
  <si>
    <t>Add additional fields</t>
  </si>
  <si>
    <t xml:space="preserve">Shared application components </t>
  </si>
  <si>
    <t>Date added</t>
  </si>
  <si>
    <t>Due Date</t>
  </si>
  <si>
    <t>StatusDate</t>
  </si>
  <si>
    <t>Port Application matrix functionality to 'Trunk'</t>
  </si>
  <si>
    <t>Port Application GUI to 'Trunk'</t>
  </si>
  <si>
    <t>GUI to manage config data</t>
  </si>
  <si>
    <t>Automate daily down loading of ABSNet data.</t>
  </si>
  <si>
    <t>Nomura Now</t>
  </si>
  <si>
    <t>Add sector spreads to Time Series Plotter</t>
  </si>
  <si>
    <t>Agree interface with Duncan</t>
  </si>
  <si>
    <t>Implement interface in dev</t>
  </si>
  <si>
    <t>Minor Improvements to Logging class</t>
  </si>
  <si>
    <t>10</t>
  </si>
  <si>
    <t>Radial</t>
  </si>
  <si>
    <t>10.1</t>
  </si>
  <si>
    <t>Radial / Totoro / Other</t>
  </si>
  <si>
    <t>10.1.1</t>
  </si>
  <si>
    <t>Modify Radial to show factored positions</t>
  </si>
  <si>
    <t>10.1.2</t>
  </si>
  <si>
    <t>10.1.3</t>
  </si>
  <si>
    <t>Automatically update ratings from Bloomberg</t>
  </si>
  <si>
    <t>10.2</t>
  </si>
  <si>
    <t>Totoro</t>
  </si>
  <si>
    <t>10.2.1</t>
  </si>
  <si>
    <t>09</t>
  </si>
  <si>
    <t>09.1</t>
  </si>
  <si>
    <t>08</t>
  </si>
  <si>
    <t>07.1</t>
  </si>
  <si>
    <t>07.2</t>
  </si>
  <si>
    <t>07.3</t>
  </si>
  <si>
    <t>07</t>
  </si>
  <si>
    <t>06</t>
  </si>
  <si>
    <t>06.1</t>
  </si>
  <si>
    <t>06.1.1</t>
  </si>
  <si>
    <t>06.1.2</t>
  </si>
  <si>
    <t>06.1.3</t>
  </si>
  <si>
    <t>06.2</t>
  </si>
  <si>
    <t>06.2.1</t>
  </si>
  <si>
    <t>06.2.2</t>
  </si>
  <si>
    <t>06.3</t>
  </si>
  <si>
    <t>06.3.1</t>
  </si>
  <si>
    <t>06.3.2</t>
  </si>
  <si>
    <t>06.4</t>
  </si>
  <si>
    <t>06.4.1</t>
  </si>
  <si>
    <t>05</t>
  </si>
  <si>
    <t>04.4</t>
  </si>
  <si>
    <t>04.1</t>
  </si>
  <si>
    <t>04.2</t>
  </si>
  <si>
    <t>04.3</t>
  </si>
  <si>
    <t>04.5</t>
  </si>
  <si>
    <t>04.6</t>
  </si>
  <si>
    <t>04</t>
  </si>
  <si>
    <t>03</t>
  </si>
  <si>
    <t>03.1</t>
  </si>
  <si>
    <t>03.2</t>
  </si>
  <si>
    <t>03.3</t>
  </si>
  <si>
    <t>02</t>
  </si>
  <si>
    <t>02.1</t>
  </si>
  <si>
    <t>01</t>
  </si>
  <si>
    <t>01.1</t>
  </si>
  <si>
    <t>02.1.1</t>
  </si>
  <si>
    <t>02.1.2</t>
  </si>
  <si>
    <t>Decide whether to use batch or wrapper</t>
  </si>
  <si>
    <t>Figure out design to drive cashflows from CPRs etc.</t>
  </si>
  <si>
    <t>03.2.1</t>
  </si>
  <si>
    <t>03.2.2</t>
  </si>
  <si>
    <t>Add graphing functionality</t>
  </si>
  <si>
    <t>04.7</t>
  </si>
  <si>
    <t>Review application and feed back comments</t>
  </si>
  <si>
    <t>David C</t>
  </si>
  <si>
    <t>10.1.4</t>
  </si>
  <si>
    <t>Understand how Radial's Bloomberg Bridge works</t>
  </si>
  <si>
    <t>04.4.1</t>
  </si>
  <si>
    <t>Add pricing functionality</t>
  </si>
  <si>
    <t>04.4.2</t>
  </si>
  <si>
    <t>Test Pricing and get business sign off</t>
  </si>
  <si>
    <t>04.4.3</t>
  </si>
  <si>
    <t>Develop test cases carry out testing</t>
  </si>
  <si>
    <t>01.1.1</t>
  </si>
  <si>
    <t>03.2.3</t>
  </si>
  <si>
    <t>Testing and comments from Research</t>
  </si>
  <si>
    <t>04.8</t>
  </si>
  <si>
    <t>Develop Matrix Editor</t>
  </si>
  <si>
    <t>Test Times Series Plotter with Dev</t>
  </si>
  <si>
    <t>Agree 'menu' definition and interface with Duncan</t>
  </si>
  <si>
    <t>Duncan</t>
  </si>
  <si>
    <t>10.2.2</t>
  </si>
  <si>
    <t>Find how Totoro can correctly represent step ups</t>
  </si>
  <si>
    <t>06.5</t>
  </si>
  <si>
    <t>Put tagged common libraries on C: Drive</t>
  </si>
  <si>
    <t>06.5.1</t>
  </si>
  <si>
    <t>Release issues</t>
  </si>
  <si>
    <t>10.3</t>
  </si>
  <si>
    <t>10.3.1</t>
  </si>
  <si>
    <t>Feed principal schedule to QDB</t>
  </si>
  <si>
    <t>RDM</t>
  </si>
  <si>
    <t>10.1.5</t>
  </si>
  <si>
    <t>Fix Radial Position for factored bond on trade day</t>
  </si>
  <si>
    <t>Operations</t>
  </si>
  <si>
    <t>Update ESAIL data for March + Add Wiki Notes</t>
  </si>
  <si>
    <t>04.8.1</t>
  </si>
  <si>
    <t>04.8.2</t>
  </si>
  <si>
    <t>04.8.3</t>
  </si>
  <si>
    <t>04.8.4</t>
  </si>
  <si>
    <t>Job scheduling set up.</t>
  </si>
  <si>
    <t>Get Job Scheduling working on QA machine</t>
  </si>
  <si>
    <t>01.2</t>
  </si>
  <si>
    <t>Add additional BBG fields to support pricing</t>
  </si>
  <si>
    <t>03.3.1</t>
  </si>
  <si>
    <t>03.3.2</t>
  </si>
  <si>
    <t>03.3.3</t>
  </si>
  <si>
    <t>Test and release data loader</t>
  </si>
  <si>
    <t>Integrate SFTP scripts in loader</t>
  </si>
  <si>
    <t>Move loader application to Trunk</t>
  </si>
  <si>
    <t>Minor fixes</t>
  </si>
  <si>
    <t>Fix problem where fixing &gt;= work out date</t>
  </si>
  <si>
    <t>01.1.2</t>
  </si>
  <si>
    <t>Editor - Agree requirements</t>
  </si>
  <si>
    <t>Editor - Make first implementation</t>
  </si>
  <si>
    <t>Editor - Research review 1st implementation</t>
  </si>
  <si>
    <t>01.3</t>
  </si>
  <si>
    <t>Clean up data</t>
  </si>
  <si>
    <t>Make Bond and Deal Id visible and searchable</t>
  </si>
  <si>
    <t>01.3.1</t>
  </si>
  <si>
    <t>01.3.2</t>
  </si>
  <si>
    <t>Merge duplicate ABSNet Master Trusts</t>
  </si>
  <si>
    <t>01.3.3</t>
  </si>
  <si>
    <t>Fix duplicate Deals in DealDB</t>
  </si>
  <si>
    <t>01.3.4</t>
  </si>
  <si>
    <t>Add missing deals to DealDB</t>
  </si>
  <si>
    <t>01.3.5</t>
  </si>
  <si>
    <t>01.3.6</t>
  </si>
  <si>
    <t>Provide 'clean' values for shelf, collateral and Originator</t>
  </si>
  <si>
    <t>Populate bond Index data from Bloomberg.</t>
  </si>
  <si>
    <t>New functionality</t>
  </si>
  <si>
    <t>Add CPR and CDR to predictions.</t>
  </si>
  <si>
    <t>02.2</t>
  </si>
  <si>
    <t>1-LOW</t>
  </si>
  <si>
    <t>10.1.6</t>
  </si>
  <si>
    <t>Keep an eye on blank values in Radial Bond Pricer Pos</t>
  </si>
  <si>
    <t>In 'Extrapolate', highlight if any 'current' values are zero.</t>
  </si>
  <si>
    <t>In 'Extrapolate', allow the 'Roll Rate' to be  edited.</t>
  </si>
  <si>
    <t>Small Enhancements</t>
  </si>
  <si>
    <t>03.4</t>
  </si>
  <si>
    <t>06.6</t>
  </si>
  <si>
    <t>Add new 'UserConfig' database</t>
  </si>
  <si>
    <t>Add window navigator facility to easily locate Windows</t>
  </si>
  <si>
    <t>Investigate duplicate fixings</t>
  </si>
  <si>
    <t>03.5</t>
  </si>
  <si>
    <t>Enhancements / small fixes</t>
  </si>
  <si>
    <t>Add 'All' and 'None' button to aggregate windows</t>
  </si>
  <si>
    <t>Allow 'Aggregates' list box to be widened</t>
  </si>
  <si>
    <t>11</t>
  </si>
  <si>
    <t>Admin</t>
  </si>
  <si>
    <t>11.1</t>
  </si>
  <si>
    <t>Audit</t>
  </si>
  <si>
    <t>11.1.1</t>
  </si>
  <si>
    <t>Turn audit items into plan items</t>
  </si>
  <si>
    <t>Refactor ESFData and move all loaders to trunk</t>
  </si>
  <si>
    <t>Get a global writeable shared area for logs</t>
  </si>
  <si>
    <t>04.4.4</t>
  </si>
  <si>
    <t>Specify fields to use in Level 2 Matrix</t>
  </si>
  <si>
    <t>Implement not ('!') as well as 'and' for Level 2 Matrix</t>
  </si>
  <si>
    <t>Get 'ABS Primer' and morning meeting details Mumbai</t>
  </si>
  <si>
    <t>11.1.2</t>
  </si>
  <si>
    <t>Make use of Bloomberg Bridge</t>
  </si>
  <si>
    <t>04.7.1</t>
  </si>
  <si>
    <t>Price viewer</t>
  </si>
  <si>
    <t>04.7.2</t>
  </si>
  <si>
    <t>Migrate TS to PROD database</t>
  </si>
  <si>
    <t>Price Viewer - Make first release with limited filter functionality</t>
  </si>
  <si>
    <t>Price Viewer - Separate out application</t>
  </si>
  <si>
    <t>03.6</t>
  </si>
  <si>
    <t>ABSNet data issues</t>
  </si>
  <si>
    <t>03.6.1</t>
  </si>
  <si>
    <t>Investigate and resolve issues with Italian and Dutch loans</t>
  </si>
  <si>
    <t>03.6.2</t>
  </si>
  <si>
    <t>Write detailed support notes for ABSNet</t>
  </si>
  <si>
    <t>Application to perform daily data quality checks</t>
  </si>
  <si>
    <t>Move Roll Rate Analyser to Trunk</t>
  </si>
  <si>
    <t>05.10</t>
  </si>
  <si>
    <t>Load Data</t>
  </si>
  <si>
    <t>05.10.1</t>
  </si>
  <si>
    <t>Load Apr 09 Eurosail data</t>
  </si>
  <si>
    <t>Make Fixings editable</t>
  </si>
  <si>
    <t>Component One</t>
  </si>
  <si>
    <t>07.3.1</t>
  </si>
  <si>
    <t>07.3.2</t>
  </si>
  <si>
    <t>Stop license warning box displaying</t>
  </si>
  <si>
    <t>Get eabs_p1/q1 set up for email and Fingal share access</t>
  </si>
  <si>
    <t>04.7.3</t>
  </si>
  <si>
    <t>Common GUIs</t>
  </si>
  <si>
    <t>06.7</t>
  </si>
  <si>
    <t>06.7.1</t>
  </si>
  <si>
    <t>Add Exception Dialog with mail send option</t>
  </si>
  <si>
    <t>06.7.2</t>
  </si>
  <si>
    <t>Add generic charting component</t>
  </si>
  <si>
    <t>Store 'All' intermediate calcs and useful outputs in DB</t>
  </si>
  <si>
    <t>Get sign off for batch pricing</t>
  </si>
  <si>
    <t>04.8.5</t>
  </si>
  <si>
    <t>Editor - Make first implementation - L1 Matrix</t>
  </si>
  <si>
    <t>04.7.4</t>
  </si>
  <si>
    <t>Collect comments and implement fixes</t>
  </si>
  <si>
    <t>Move aggregate definitions to UserConfig DB</t>
  </si>
  <si>
    <t>Various enhancements as specified by David</t>
  </si>
  <si>
    <t>Unused</t>
  </si>
  <si>
    <t>01.4</t>
  </si>
  <si>
    <t>Move Cashflow Generator to production</t>
  </si>
  <si>
    <t>Compliance</t>
  </si>
  <si>
    <t>11.1.3</t>
  </si>
  <si>
    <t>Set up Remedy group</t>
  </si>
  <si>
    <t>11.1.4</t>
  </si>
  <si>
    <t>Meet with DBA to determine suitable access to production database.</t>
  </si>
  <si>
    <t>Modify Radial feed to be more secure</t>
  </si>
  <si>
    <t>Write up DR plan</t>
  </si>
  <si>
    <t>11.2</t>
  </si>
  <si>
    <t>11.2.1</t>
  </si>
  <si>
    <t>Misc</t>
  </si>
  <si>
    <t>04.4.5</t>
  </si>
  <si>
    <t>04.4.6</t>
  </si>
  <si>
    <t>04.4.7</t>
  </si>
  <si>
    <t>Get SAS Installed</t>
  </si>
  <si>
    <t>Get SAS Package Released</t>
  </si>
  <si>
    <t>Get ODBC Drivers purchased</t>
  </si>
  <si>
    <t>06.1.4</t>
  </si>
  <si>
    <t>BUG - Log file limit</t>
  </si>
  <si>
    <t>03.6.3</t>
  </si>
  <si>
    <t>Complete ESFData changes for ESAIL and RMAC for Excel</t>
  </si>
  <si>
    <t>Complete ESFData changes for ESAIL and RMAC for csv</t>
  </si>
  <si>
    <t>Support</t>
  </si>
  <si>
    <t>Get familiar with ABSNetDataLoader</t>
  </si>
  <si>
    <t>Use the 'Series_ID' as the ASBNetDealID rather than the 'series_pk' in the database. - Cancelled.</t>
  </si>
  <si>
    <t>Utilities</t>
  </si>
  <si>
    <t>12</t>
  </si>
  <si>
    <t>12.1</t>
  </si>
  <si>
    <t>12.1.1</t>
  </si>
  <si>
    <t>Build log file tidy tool</t>
  </si>
  <si>
    <t>Add 2 fields to Mapping sheets and data base - not needed</t>
  </si>
  <si>
    <t>Add 8 'critical' fields to mapping sheet and database - See 5.5.1 - not needed</t>
  </si>
  <si>
    <t>Release with new interpolation and graph functionality</t>
  </si>
  <si>
    <t>Merge sub pools into main pool - can't be done</t>
  </si>
  <si>
    <t>11.2.2</t>
  </si>
  <si>
    <t>03.6.4</t>
  </si>
  <si>
    <t>Add checks to the ABSNet data loader to check for any deals missing from the feed, and to email the result to the group.</t>
  </si>
  <si>
    <t>13</t>
  </si>
  <si>
    <t>Comment Viewer</t>
  </si>
  <si>
    <t>13.1</t>
  </si>
  <si>
    <t>Initial Design and plan</t>
  </si>
  <si>
    <t>Add 'TradesOnCurrentFace' to Radial feed and get it into Totoro</t>
  </si>
  <si>
    <t>01.3.7</t>
  </si>
  <si>
    <t>01.2.10</t>
  </si>
  <si>
    <t>05.11</t>
  </si>
  <si>
    <t>14</t>
  </si>
  <si>
    <t>14.1</t>
  </si>
  <si>
    <t>Determine detailed requirements</t>
  </si>
  <si>
    <t>David</t>
  </si>
  <si>
    <t>Configure SAS backup server</t>
  </si>
  <si>
    <t>04.4.8</t>
  </si>
  <si>
    <t>Productionise Matrix Pricer Batch</t>
  </si>
  <si>
    <t>Mark</t>
  </si>
  <si>
    <t>04.4.9</t>
  </si>
  <si>
    <t>Run Matrix Pricer Batch in QA and get sign off</t>
  </si>
  <si>
    <t>Use Price viewer in QA and get sign off</t>
  </si>
  <si>
    <t>04.7.5</t>
  </si>
  <si>
    <t>Matrix Editor - Make modification as required and release</t>
  </si>
  <si>
    <t>04.8.6</t>
  </si>
  <si>
    <t>Shubh</t>
  </si>
  <si>
    <t>15</t>
  </si>
  <si>
    <t>Excel DB Transition</t>
  </si>
  <si>
    <t>Initial Plan</t>
  </si>
  <si>
    <t>Planning</t>
  </si>
  <si>
    <t>15.1</t>
  </si>
  <si>
    <t>15.1.1</t>
  </si>
  <si>
    <t>05.12</t>
  </si>
  <si>
    <t>11.2.3</t>
  </si>
  <si>
    <t>Investigate BWIC tracker</t>
  </si>
  <si>
    <t>15.1.2</t>
  </si>
  <si>
    <t>06.7.3</t>
  </si>
  <si>
    <t>Implement Plot Graph</t>
  </si>
  <si>
    <t>Add 180+ and 360+ DQ</t>
  </si>
  <si>
    <t>13.2</t>
  </si>
  <si>
    <t>Test and Release</t>
  </si>
  <si>
    <t>Add TS facility for Granite</t>
  </si>
  <si>
    <t>Access Surveillance DB from UKNC spread sheet</t>
  </si>
  <si>
    <t>04.8.7</t>
  </si>
  <si>
    <t>Redesign L2 matrix screen</t>
  </si>
  <si>
    <t>Add Kensington loans - raw data + document</t>
  </si>
  <si>
    <t>Add Resloc data - raw data + document</t>
  </si>
  <si>
    <t>Add LEEK (Britannia) loans - raw data + document</t>
  </si>
  <si>
    <t>01.2.11</t>
  </si>
  <si>
    <t>01.2.12</t>
  </si>
  <si>
    <t>Add 'to call' facility for extracting BBG cashflows</t>
  </si>
  <si>
    <t>01.2.13</t>
  </si>
  <si>
    <t>Improve error message when BBG API is not present</t>
  </si>
  <si>
    <t>01.2.14</t>
  </si>
  <si>
    <t>11.2.4</t>
  </si>
  <si>
    <t>Copy old Lehman files</t>
  </si>
  <si>
    <t>13.2.2</t>
  </si>
  <si>
    <t>13.2.1</t>
  </si>
  <si>
    <t>Take comments and modify</t>
  </si>
  <si>
    <t>13.2.3</t>
  </si>
  <si>
    <t>First Phase Release</t>
  </si>
  <si>
    <t>01.2.15</t>
  </si>
  <si>
    <t>Add ability to populate many bonds from a list of isins</t>
  </si>
  <si>
    <t>Find out why bond XS0112279616 errors on overnight load - Done. Due to BBG bridge access Corp key</t>
  </si>
  <si>
    <t>Add new fields to ESF tables 1st for ESAIL</t>
  </si>
  <si>
    <t>Danny</t>
  </si>
  <si>
    <t>04.8.9</t>
  </si>
  <si>
    <t>Price large universe of bonds for Aug month end.</t>
  </si>
  <si>
    <t>05.13</t>
  </si>
  <si>
    <t>Support Danny reviewing all existing mappings</t>
  </si>
  <si>
    <t xml:space="preserve">04.7.6 </t>
  </si>
  <si>
    <t>Enhance matrix viewer</t>
  </si>
  <si>
    <t>Add Merrill loans - raw data + document</t>
  </si>
  <si>
    <t>10.3.2</t>
  </si>
  <si>
    <t>Intra day feed to QDB</t>
  </si>
  <si>
    <t>QDB + RDM</t>
  </si>
  <si>
    <t>16</t>
  </si>
  <si>
    <t>Macro Economic Data</t>
  </si>
  <si>
    <t>16.1</t>
  </si>
  <si>
    <t>04.8.10</t>
  </si>
  <si>
    <t>Initial Plan with Ajay</t>
  </si>
  <si>
    <t>Update PlotGrapth to latest version</t>
  </si>
  <si>
    <t>09.2</t>
  </si>
  <si>
    <t>09.2.1</t>
  </si>
  <si>
    <t>Plan</t>
  </si>
  <si>
    <t>09.2.2</t>
  </si>
  <si>
    <t>Determine SP to support Deal Analyser</t>
  </si>
  <si>
    <t>09.2.3</t>
  </si>
  <si>
    <t>Generate public aggregates</t>
  </si>
  <si>
    <t>01.2.16</t>
  </si>
  <si>
    <t>Make sure time stamps in feed files are London time</t>
  </si>
  <si>
    <t>Update config GUI for comments</t>
  </si>
  <si>
    <t>06.2.3</t>
  </si>
  <si>
    <t>11.2.5</t>
  </si>
  <si>
    <t>Get dedicated PC for Danny</t>
  </si>
  <si>
    <t>10.1.7</t>
  </si>
  <si>
    <t>Radial creates new bonds automatically.</t>
  </si>
  <si>
    <t>05.14</t>
  </si>
  <si>
    <t>09.2.4</t>
  </si>
  <si>
    <t>05.15</t>
  </si>
  <si>
    <t>ESFraw</t>
  </si>
  <si>
    <t>05.15.1</t>
  </si>
  <si>
    <t>Implement ESFraw for ESAIL loader</t>
  </si>
  <si>
    <t>14.2</t>
  </si>
  <si>
    <t>Implement first version of application</t>
  </si>
  <si>
    <t>14.3</t>
  </si>
  <si>
    <t>Modify according to feedback</t>
  </si>
  <si>
    <t>16.2</t>
  </si>
  <si>
    <t>Develop app to download data to DB</t>
  </si>
  <si>
    <t>06.7.4</t>
  </si>
  <si>
    <t>Modifications to Plot Graph</t>
  </si>
  <si>
    <t>Modify LoadID and BorrowerID fields for ESAIL</t>
  </si>
  <si>
    <t>Develop first cut of SPs for Deal Analyser</t>
  </si>
  <si>
    <t>09.2.5</t>
  </si>
  <si>
    <t>Gerald</t>
  </si>
  <si>
    <t>11.2.6</t>
  </si>
  <si>
    <t>Get Intex PC moved</t>
  </si>
  <si>
    <t>Find out what ReservePct is supposed to be</t>
  </si>
  <si>
    <t>Add TS for Macro Economic Data</t>
  </si>
  <si>
    <t>Get eabs_p1/q1 set up for Internet</t>
  </si>
  <si>
    <t>Add more fields as defined by Danny</t>
  </si>
  <si>
    <t>Make Deal Analyser Handle Master Trusts</t>
  </si>
  <si>
    <t>01.2.17</t>
  </si>
  <si>
    <t>In Deals DB - Check that bonds can be built with Fingal</t>
  </si>
  <si>
    <t>01.2.18</t>
  </si>
  <si>
    <t>In Cashflow Generator - Check that bonds can be built with Fingal</t>
  </si>
  <si>
    <t>12.1.2</t>
  </si>
  <si>
    <t>Backup Prod application area to network</t>
  </si>
  <si>
    <t>11.1.5</t>
  </si>
  <si>
    <t>SP for QDB to get factor changes</t>
  </si>
  <si>
    <t>16.3</t>
  </si>
  <si>
    <t>Add Nationwide House Price Data</t>
  </si>
  <si>
    <t>Add interest rate adjustment to roll rates as specified by Zhuu Ang.</t>
  </si>
  <si>
    <t>09.3</t>
  </si>
  <si>
    <t>Loan stratification viewer</t>
  </si>
  <si>
    <t>09.3.1</t>
  </si>
  <si>
    <t>First Implementation of Loan Strats</t>
  </si>
  <si>
    <t>LEEK</t>
  </si>
  <si>
    <t>05.11.1</t>
  </si>
  <si>
    <t>05.11.2</t>
  </si>
  <si>
    <t>Complete mapping loader for LEEK</t>
  </si>
  <si>
    <t>16.4</t>
  </si>
  <si>
    <t>Move Halifax HPA data to Surveillance DB</t>
  </si>
  <si>
    <t>17</t>
  </si>
  <si>
    <t>Get New DB for Nomura Now set up</t>
  </si>
  <si>
    <t>08.10</t>
  </si>
  <si>
    <t>Autosys</t>
  </si>
  <si>
    <t>08.10.1</t>
  </si>
  <si>
    <t>Investigate Autosys feasibility on DEV</t>
  </si>
  <si>
    <t>05.12.1</t>
  </si>
  <si>
    <t>Implement mapping for Resloc</t>
  </si>
  <si>
    <t>Set up new database and permissions</t>
  </si>
  <si>
    <t>Get SAS Insight/JMP installed</t>
  </si>
  <si>
    <t>Get Support permissions on DB set up</t>
  </si>
  <si>
    <t>RESLOC</t>
  </si>
  <si>
    <t>05.12.2</t>
  </si>
  <si>
    <t>05.14.1</t>
  </si>
  <si>
    <t>05.16</t>
  </si>
  <si>
    <t>RMAC</t>
  </si>
  <si>
    <t>05.16.1</t>
  </si>
  <si>
    <t>Implement revised mapping for RMAC</t>
  </si>
  <si>
    <t>Kensington</t>
  </si>
  <si>
    <t>05.14.2</t>
  </si>
  <si>
    <t>13.2.4</t>
  </si>
  <si>
    <t>Make all Windows refresh when data is changed</t>
  </si>
  <si>
    <t>18</t>
  </si>
  <si>
    <t>Roll Rate Analyser</t>
  </si>
  <si>
    <t>18.1</t>
  </si>
  <si>
    <t>Loan level data</t>
  </si>
  <si>
    <t>15.1.3</t>
  </si>
  <si>
    <t>05.17</t>
  </si>
  <si>
    <t>ALBA</t>
  </si>
  <si>
    <t>05.17.1</t>
  </si>
  <si>
    <t>Implement revised mapping for ALBA</t>
  </si>
  <si>
    <t>Get NT Groups set up for Database access</t>
  </si>
  <si>
    <t>Figure out appropriate access controls for Server and DB</t>
  </si>
  <si>
    <t>03.5.10</t>
  </si>
  <si>
    <t>05.18</t>
  </si>
  <si>
    <t>Second level mapper</t>
  </si>
  <si>
    <t>05.18.1</t>
  </si>
  <si>
    <t>1st implementation of 2nd Level Loan Mapper</t>
  </si>
  <si>
    <t>09.3.2</t>
  </si>
  <si>
    <t>Add 'Total' bucket</t>
  </si>
  <si>
    <t>08.11</t>
  </si>
  <si>
    <t>Implement mapping for Kensington</t>
  </si>
  <si>
    <t>09.2.6</t>
  </si>
  <si>
    <t>Changes for first release</t>
  </si>
  <si>
    <t>GREAT HALL</t>
  </si>
  <si>
    <t>Add Great Hall loans -  raw + document</t>
  </si>
  <si>
    <t>Implement mapping for Great Hall</t>
  </si>
  <si>
    <t>16.5</t>
  </si>
  <si>
    <t>Add ECB Data</t>
  </si>
  <si>
    <t>16.6</t>
  </si>
  <si>
    <t>BBG Static data retrieval</t>
  </si>
  <si>
    <t>16.6.1</t>
  </si>
  <si>
    <t>16.6.2</t>
  </si>
  <si>
    <t>16.6.3</t>
  </si>
  <si>
    <t>16.6.4</t>
  </si>
  <si>
    <t>16.6.5</t>
  </si>
  <si>
    <t>Build app to retrieve BBG static data</t>
  </si>
  <si>
    <t>In 'Copy' either copy full precision or allow precision to be configured.</t>
  </si>
  <si>
    <t>Retrieve  BoE base rate</t>
  </si>
  <si>
    <t>Retrieve Historical FX rates</t>
  </si>
  <si>
    <t>Retrieve Dutch HPI data</t>
  </si>
  <si>
    <t>11.2.7</t>
  </si>
  <si>
    <t>Formulate full plan for transition</t>
  </si>
  <si>
    <t>Move to latest BBG Gateway API</t>
  </si>
  <si>
    <t>01.2.19</t>
  </si>
  <si>
    <t>16.7.1</t>
  </si>
  <si>
    <t>16.7</t>
  </si>
  <si>
    <t>16.7.2</t>
  </si>
  <si>
    <t>16.7.3</t>
  </si>
  <si>
    <t>16.7.4</t>
  </si>
  <si>
    <t>Retrieve Italy HPI data</t>
  </si>
  <si>
    <t>Retrieve Ireland HPI data</t>
  </si>
  <si>
    <t>Take comments from Peer review of Aggregate library</t>
  </si>
  <si>
    <t>03.5.12</t>
  </si>
  <si>
    <t>05.18.2</t>
  </si>
  <si>
    <t>05.11.3</t>
  </si>
  <si>
    <t>05.18.3</t>
  </si>
  <si>
    <t>RMAC Second level Mapper</t>
  </si>
  <si>
    <t>05.18.4</t>
  </si>
  <si>
    <t>ESAIL Second Level Mapper</t>
  </si>
  <si>
    <t>09.1.10</t>
  </si>
  <si>
    <t>Modify Sector Spreads SP to allow for * in Currency Field</t>
  </si>
  <si>
    <t>Load LEEK(Britannia) raw &amp; ESF data - Sept 09</t>
  </si>
  <si>
    <t>01.2.20</t>
  </si>
  <si>
    <t>Change Cashflow Generator Support email message on errors</t>
  </si>
  <si>
    <t>16.7.5</t>
  </si>
  <si>
    <t>TSP Cache Refresh</t>
  </si>
  <si>
    <t>16.6.6</t>
  </si>
  <si>
    <t>Dan</t>
  </si>
  <si>
    <t>Get SAS ETS installed.</t>
  </si>
  <si>
    <t>09.4</t>
  </si>
  <si>
    <t>RollRateAnalyser</t>
  </si>
  <si>
    <t>09.4.1</t>
  </si>
  <si>
    <t>Not started</t>
  </si>
  <si>
    <t>Get requirements for 2nd Level</t>
  </si>
  <si>
    <t>05.18.5</t>
  </si>
  <si>
    <t>09.3.3</t>
  </si>
  <si>
    <t>Make WALA and WAM in months</t>
  </si>
  <si>
    <t>09.1.11</t>
  </si>
  <si>
    <t>Load up very old Lehman spread history</t>
  </si>
  <si>
    <t>03.7</t>
  </si>
  <si>
    <t>Deal Level Delinquencies</t>
  </si>
  <si>
    <t>03.7.1</t>
  </si>
  <si>
    <t>Plan design for Deal Level Delinquencies</t>
  </si>
  <si>
    <t>01.2.09</t>
  </si>
  <si>
    <t>01.2.08</t>
  </si>
  <si>
    <t>01.2.07</t>
  </si>
  <si>
    <t>01.2.06</t>
  </si>
  <si>
    <t>01.2.05</t>
  </si>
  <si>
    <t>01.2.04</t>
  </si>
  <si>
    <t>01.2.03</t>
  </si>
  <si>
    <t>01.2.02</t>
  </si>
  <si>
    <t>01.2.01</t>
  </si>
  <si>
    <t>03.5.09</t>
  </si>
  <si>
    <t>03.5.08</t>
  </si>
  <si>
    <t>03.5.07</t>
  </si>
  <si>
    <t>03.5.06</t>
  </si>
  <si>
    <t>03.5.05</t>
  </si>
  <si>
    <t>03.5.04</t>
  </si>
  <si>
    <t>03.5.03</t>
  </si>
  <si>
    <t>03.5.02</t>
  </si>
  <si>
    <t>03.5.01</t>
  </si>
  <si>
    <t>05.01</t>
  </si>
  <si>
    <t>05.02</t>
  </si>
  <si>
    <t>05.03</t>
  </si>
  <si>
    <t>05.04</t>
  </si>
  <si>
    <t>05.05</t>
  </si>
  <si>
    <t>05.05.1</t>
  </si>
  <si>
    <t>05.05.2</t>
  </si>
  <si>
    <t>05.05.3</t>
  </si>
  <si>
    <t>05.05.4</t>
  </si>
  <si>
    <t>05.06</t>
  </si>
  <si>
    <t>05.06.1</t>
  </si>
  <si>
    <t>05.06.2</t>
  </si>
  <si>
    <t>05.07</t>
  </si>
  <si>
    <t>05.07.1</t>
  </si>
  <si>
    <t>05.07.2</t>
  </si>
  <si>
    <t>05.07.3</t>
  </si>
  <si>
    <t>05.08</t>
  </si>
  <si>
    <t>05.08.7</t>
  </si>
  <si>
    <t>05.08.8</t>
  </si>
  <si>
    <t>05.08.10</t>
  </si>
  <si>
    <t>05.09</t>
  </si>
  <si>
    <t>08.01</t>
  </si>
  <si>
    <t>08.01.1</t>
  </si>
  <si>
    <t>08.01.2</t>
  </si>
  <si>
    <t>08.01.3</t>
  </si>
  <si>
    <t>08.01.4</t>
  </si>
  <si>
    <t>08.01.5</t>
  </si>
  <si>
    <t>08.02</t>
  </si>
  <si>
    <t>08.03</t>
  </si>
  <si>
    <t>08.04.1</t>
  </si>
  <si>
    <t>08.07.1</t>
  </si>
  <si>
    <t>08.08.1</t>
  </si>
  <si>
    <t>08.09.1</t>
  </si>
  <si>
    <t>08.09.2</t>
  </si>
  <si>
    <t>08.09.3</t>
  </si>
  <si>
    <t>08.04</t>
  </si>
  <si>
    <t>08.05</t>
  </si>
  <si>
    <t>08.06</t>
  </si>
  <si>
    <t>08.07</t>
  </si>
  <si>
    <t>08.08</t>
  </si>
  <si>
    <t>08.09</t>
  </si>
  <si>
    <t>09.1.01</t>
  </si>
  <si>
    <t>09.1.02</t>
  </si>
  <si>
    <t>09.1.03</t>
  </si>
  <si>
    <t>09.1.04</t>
  </si>
  <si>
    <t>09.1.05</t>
  </si>
  <si>
    <t>09.1.06</t>
  </si>
  <si>
    <t>09.1.07</t>
  </si>
  <si>
    <t>09.1.08</t>
  </si>
  <si>
    <t>09.1.09</t>
  </si>
  <si>
    <t>01.2.21</t>
  </si>
  <si>
    <t>Make Original Ratings and Current Rating distinct</t>
  </si>
  <si>
    <t>Trade Blotter</t>
  </si>
  <si>
    <t>17.1</t>
  </si>
  <si>
    <t>Understand requirements and devise plan</t>
  </si>
  <si>
    <t>09.1.12</t>
  </si>
  <si>
    <t>Load up historical level 2 granite prices</t>
  </si>
  <si>
    <t>Retrieve 2,3,4,5 yrs GBP Swap rates</t>
  </si>
  <si>
    <t>Retrieve 1m, 3m,6m,9m,12m LIBOR and BBR rate for GBP</t>
  </si>
  <si>
    <t>04.9</t>
  </si>
  <si>
    <t>Fully productionise Matrix</t>
  </si>
  <si>
    <t>04.9.1</t>
  </si>
  <si>
    <t>Research to review Matrix and fully populate.</t>
  </si>
  <si>
    <t>04.7.7</t>
  </si>
  <si>
    <t>Add error summary report</t>
  </si>
  <si>
    <t>03.5.13</t>
  </si>
  <si>
    <t>01.2.22</t>
  </si>
  <si>
    <t>Handle the situations of bonds that have multiple ISINs</t>
  </si>
  <si>
    <t>12.2</t>
  </si>
  <si>
    <t>19</t>
  </si>
  <si>
    <t>19.1</t>
  </si>
  <si>
    <t>Totoro support for finance</t>
  </si>
  <si>
    <t>20</t>
  </si>
  <si>
    <t>20.1</t>
  </si>
  <si>
    <t>01.2.23</t>
  </si>
  <si>
    <t>Bug with roll day being 31 rather than 30</t>
  </si>
  <si>
    <t>04.10</t>
  </si>
  <si>
    <t>Key Matrix Results on bondID rather than ISIN</t>
  </si>
  <si>
    <t>04.10.2</t>
  </si>
  <si>
    <t>Modify L2 so that criteria can be edited</t>
  </si>
  <si>
    <t>P</t>
  </si>
  <si>
    <t>Row Labels</t>
  </si>
  <si>
    <t>Grand Total</t>
  </si>
  <si>
    <t>Column Labels</t>
  </si>
  <si>
    <t>(All)</t>
  </si>
  <si>
    <t>Count of Item</t>
  </si>
  <si>
    <t>15.2</t>
  </si>
  <si>
    <t>Full Transition</t>
  </si>
  <si>
    <t>15.2.1</t>
  </si>
  <si>
    <t>Create Excel Addin</t>
  </si>
  <si>
    <t>Determine initial plan</t>
  </si>
  <si>
    <t>Complete 1st version of 2nd level rules and run on prod</t>
  </si>
  <si>
    <t>02.3</t>
  </si>
  <si>
    <t>Intex tasks</t>
  </si>
  <si>
    <t>02.3.1</t>
  </si>
  <si>
    <t>Extract loan data for Paragon and EMAC</t>
  </si>
  <si>
    <t>Add Spread+Price on Viewer and Editor + add all fields to View Search</t>
  </si>
  <si>
    <t>15.3</t>
  </si>
  <si>
    <t>Static Data uploads</t>
  </si>
  <si>
    <t>15.4</t>
  </si>
  <si>
    <t>Screens + GUIs</t>
  </si>
  <si>
    <t>15.3.1</t>
  </si>
  <si>
    <t>15.3.2</t>
  </si>
  <si>
    <t>15.3.3</t>
  </si>
  <si>
    <t>15.3.4</t>
  </si>
  <si>
    <t>15.3.5</t>
  </si>
  <si>
    <t>15.3.6</t>
  </si>
  <si>
    <t>15.4.1</t>
  </si>
  <si>
    <t>15.4.2</t>
  </si>
  <si>
    <t>15.4.3</t>
  </si>
  <si>
    <t>Set up Counterparties (DealDB app)</t>
  </si>
  <si>
    <t>App to allow manual entry of aggregate loan data</t>
  </si>
  <si>
    <t>Move trigger definition and state to DB</t>
  </si>
  <si>
    <t>Add trigger definitions to Addin</t>
  </si>
  <si>
    <t>Copy deal structure to comments.</t>
  </si>
  <si>
    <t>Move Deal Transaction Participants to DB + Addin</t>
  </si>
  <si>
    <t>17.2</t>
  </si>
  <si>
    <t>Implement data cleaner</t>
  </si>
  <si>
    <t>5-HIGH</t>
  </si>
  <si>
    <t>All</t>
  </si>
  <si>
    <t>Effort (days)</t>
  </si>
  <si>
    <t>Intex verses BBG cashflow comparator to identify where default BBG cashflows are very different from Intex</t>
  </si>
  <si>
    <t>02.4</t>
  </si>
  <si>
    <t>Integrate Intex API</t>
  </si>
  <si>
    <t>03.7.2</t>
  </si>
  <si>
    <t>Implement Deal Level Delinquencies</t>
  </si>
  <si>
    <t>09.4.2</t>
  </si>
  <si>
    <t>Sum of Effort (days)</t>
  </si>
  <si>
    <t>Number of Tasks</t>
  </si>
  <si>
    <t>Sum of effort (Days)</t>
  </si>
  <si>
    <t>Set up Deal Triggers and allow state changes (DealDB app)</t>
  </si>
  <si>
    <t>17.3</t>
  </si>
  <si>
    <t>19.2</t>
  </si>
  <si>
    <t>Daily deal DB refresh</t>
  </si>
  <si>
    <t>19.3</t>
  </si>
  <si>
    <t>Loan Level data, queries and uploads</t>
  </si>
  <si>
    <t>06.8</t>
  </si>
  <si>
    <t>Application Integration</t>
  </si>
  <si>
    <t>06.8.1</t>
  </si>
  <si>
    <t>06.8.2</t>
  </si>
  <si>
    <t>19.4</t>
  </si>
  <si>
    <t>Adding bonds</t>
  </si>
  <si>
    <t>21</t>
  </si>
  <si>
    <t>Collateral Model</t>
  </si>
  <si>
    <t>21.1</t>
  </si>
  <si>
    <t>Implement and integrate</t>
  </si>
  <si>
    <t>20.2</t>
  </si>
  <si>
    <t>08.12</t>
  </si>
  <si>
    <t>11.2.8</t>
  </si>
  <si>
    <t>Management</t>
  </si>
  <si>
    <t>Tentative</t>
  </si>
  <si>
    <t>09.1.13</t>
  </si>
  <si>
    <t>09.1.14</t>
  </si>
  <si>
    <t>Make Spanish HPI available to ChartViewer SP</t>
  </si>
  <si>
    <t>Add Spanish HPI to ChartViewer menu</t>
  </si>
  <si>
    <t>09.1.15</t>
  </si>
  <si>
    <t>SP for Deal Data for NN HPI Calculator</t>
  </si>
  <si>
    <t>09.1.16</t>
  </si>
  <si>
    <t>SPs to support Bond Portfolio Pricing</t>
  </si>
  <si>
    <t>*Support is on going and is days / year</t>
  </si>
  <si>
    <t>05.16.2</t>
  </si>
  <si>
    <t>Bug with null dates coming in as 1-Jan-1970</t>
  </si>
  <si>
    <t>03.6.5</t>
  </si>
  <si>
    <t>Update ABSNet loader for latest DB and email notification</t>
  </si>
  <si>
    <t>03.8</t>
  </si>
  <si>
    <t>Credit enhancement</t>
  </si>
  <si>
    <t>03.8.1</t>
  </si>
  <si>
    <t>03.8.2</t>
  </si>
  <si>
    <t>03.8.3</t>
  </si>
  <si>
    <t>03.8.4</t>
  </si>
  <si>
    <t>03.8.5</t>
  </si>
  <si>
    <t>03.8.6</t>
  </si>
  <si>
    <t>Validate L2 matrix definitions</t>
  </si>
  <si>
    <t>Multiple L2 tier match</t>
  </si>
  <si>
    <t>Add both views of a loan to detail drill in</t>
  </si>
  <si>
    <t>Development Environment</t>
  </si>
  <si>
    <t>Use, scripted, daily build mechanism for 'trunk'</t>
  </si>
  <si>
    <t>Load up historical sector spread from old Lehman DB</t>
  </si>
  <si>
    <t>Make Plan Outlook folder shared</t>
  </si>
  <si>
    <t>Log file management</t>
  </si>
  <si>
    <t>Develop schema to hold aggregate loan data (independent of source)</t>
  </si>
  <si>
    <t>Retrieve Unemployment Rate</t>
  </si>
  <si>
    <t>Download HPI data</t>
  </si>
  <si>
    <t>Fix workout date issue of 3 bonds listed on 'Problem Bonds' Sheet</t>
  </si>
  <si>
    <t>Add function to GUI to refresh all BBG data in one go</t>
  </si>
  <si>
    <t>Make Cashflow Generate send emails upon completion</t>
  </si>
  <si>
    <t>Investigate Date error for Cashflow schedules</t>
  </si>
  <si>
    <t>Add aggregation functionality</t>
  </si>
  <si>
    <t>Make Deal Analyser use Aggregate library</t>
  </si>
  <si>
    <t>Prevent commas and semi-colons in aggregate names</t>
  </si>
  <si>
    <t>Ajay</t>
  </si>
  <si>
    <t>04.10.4</t>
  </si>
  <si>
    <t>Add 'Legal Maturity' and 'Shelf containts' as L2 criteria</t>
  </si>
  <si>
    <t>Zhuu</t>
  </si>
  <si>
    <t>01.2.24</t>
  </si>
  <si>
    <t>Populate original ratings from agencies</t>
  </si>
  <si>
    <t>Implement blotter prototype</t>
  </si>
  <si>
    <t>17.4</t>
  </si>
  <si>
    <t>Make first release of blotter for research review</t>
  </si>
  <si>
    <t>17.5</t>
  </si>
  <si>
    <t>Make first release to traders</t>
  </si>
  <si>
    <t>09.3.4</t>
  </si>
  <si>
    <t>Additional fields to be added</t>
  </si>
  <si>
    <t>16.8</t>
  </si>
  <si>
    <t>Credit Card Data</t>
  </si>
  <si>
    <t>16.8.1</t>
  </si>
  <si>
    <t>Determine Credit Card data requirements</t>
  </si>
  <si>
    <t>01.2.25</t>
  </si>
  <si>
    <t>Implement combined rating algorithm from Ajay</t>
  </si>
  <si>
    <t>01.3.8</t>
  </si>
  <si>
    <t>Add FX tables for conversions.</t>
  </si>
  <si>
    <t>01.3.9</t>
  </si>
  <si>
    <t>Add collateral currency to Deal.</t>
  </si>
  <si>
    <t>Fix Deal Issue Amount to be in currency of collateral.</t>
  </si>
  <si>
    <t>13.2.5</t>
  </si>
  <si>
    <t>Issue with seemingly missing comments</t>
  </si>
  <si>
    <t>21.2</t>
  </si>
  <si>
    <t>01.2.26</t>
  </si>
  <si>
    <t>Add Factor to Bonds in Deal DB</t>
  </si>
  <si>
    <t>16.7.6</t>
  </si>
  <si>
    <t>Fully automate Dutch HPI loading</t>
  </si>
  <si>
    <t>16.7.7</t>
  </si>
  <si>
    <t>Move Dutch HPI to Prod Nomura Now</t>
  </si>
  <si>
    <t>09.1.17</t>
  </si>
  <si>
    <t>09.1.18</t>
  </si>
  <si>
    <t>Make Dutch HPI available to ChartViewer SP</t>
  </si>
  <si>
    <t>Add Dutch HPI to ChartViewer menu</t>
  </si>
  <si>
    <t>Retrieve Spain HPI data + set schema to HPAIndexData</t>
  </si>
  <si>
    <t>Remove 'ISIN' field from pricing results.</t>
  </si>
  <si>
    <t>01.2.27</t>
  </si>
  <si>
    <t>Derive correct Pay date rule for Fingal</t>
  </si>
  <si>
    <t>04.10.6</t>
  </si>
  <si>
    <t>Add Custom attributes for L2 criteria</t>
  </si>
  <si>
    <t>01.2.28</t>
  </si>
  <si>
    <t>Add ability to vew/set custom bond attributes</t>
  </si>
  <si>
    <t>04.10.7</t>
  </si>
  <si>
    <t>Make setting Priority in L2 easier</t>
  </si>
  <si>
    <t>01.2.29</t>
  </si>
  <si>
    <t>Make the Bloomberg Gateway a service</t>
  </si>
  <si>
    <t>10.1.8</t>
  </si>
  <si>
    <t>Radial Bloomberg Bridge historic rate requests</t>
  </si>
  <si>
    <t>Michael C</t>
  </si>
  <si>
    <t>01.3.10</t>
  </si>
  <si>
    <t>Fully populate deals/bonds/cashflows</t>
  </si>
  <si>
    <t>Make Deal/ABSNet data available to TSP via SP</t>
  </si>
  <si>
    <t>01.3.11</t>
  </si>
  <si>
    <t>11.2.9</t>
  </si>
  <si>
    <t>Find a better way to show accurate loan load status info on the wiki</t>
  </si>
  <si>
    <t>01.2.30</t>
  </si>
  <si>
    <t>Bug with 'Foll' bus day convention - see XS0429125577</t>
  </si>
  <si>
    <t>05.18.6</t>
  </si>
  <si>
    <t>Add new rules for Friedel</t>
  </si>
  <si>
    <t>Deal Page</t>
  </si>
  <si>
    <t>09.5.1</t>
  </si>
  <si>
    <t>09.5</t>
  </si>
  <si>
    <t>Jon</t>
  </si>
  <si>
    <t>09.1.19</t>
  </si>
  <si>
    <t>Make spreads 'menu' part of the menu applications</t>
  </si>
  <si>
    <t>11.2.10</t>
  </si>
  <si>
    <t>Hire new person in London</t>
  </si>
  <si>
    <t>11.2.11</t>
  </si>
  <si>
    <t>Renew SAS License</t>
  </si>
  <si>
    <t>09.6</t>
  </si>
  <si>
    <t>Issuance Analysis Tool</t>
  </si>
  <si>
    <t>09.6.1</t>
  </si>
  <si>
    <t>Issuance Tool - Determine Requirements</t>
  </si>
  <si>
    <t>Deals Page - Implement New Stored procs</t>
  </si>
  <si>
    <t>Add BTL to filter on RR analyser</t>
  </si>
  <si>
    <t>Stratification tool / PALS</t>
  </si>
  <si>
    <t>14.4</t>
  </si>
  <si>
    <t>Enhancements</t>
  </si>
  <si>
    <t>14.4.1</t>
  </si>
  <si>
    <t>Add BTL flag on filter</t>
  </si>
  <si>
    <t>05.06.3</t>
  </si>
  <si>
    <t>Reload Kensington loan raw data</t>
  </si>
  <si>
    <t>01.2.31</t>
  </si>
  <si>
    <t>Modify Totoro sector mapping</t>
  </si>
  <si>
    <t>09.1.20</t>
  </si>
  <si>
    <t>Make sure all NN SPs return dealIds and bondIds only</t>
  </si>
  <si>
    <t>11.3</t>
  </si>
  <si>
    <t>Office Move</t>
  </si>
  <si>
    <t>11.3.1</t>
  </si>
  <si>
    <t>SAS Server move</t>
  </si>
  <si>
    <t>01.2.32</t>
  </si>
  <si>
    <t>Floor WAL to 6 mnths</t>
  </si>
  <si>
    <t>11.2.12</t>
  </si>
  <si>
    <t>Get Intex Desktop 4.9 packaged and released</t>
  </si>
  <si>
    <t>05.11.4</t>
  </si>
  <si>
    <t>Update LEEK mapping for changes by Danny</t>
  </si>
  <si>
    <t>Man yrs</t>
  </si>
  <si>
    <t>15.3.7</t>
  </si>
  <si>
    <t>Get Reseach to fully populate triggers in DealsDB</t>
  </si>
  <si>
    <t>02.1.3</t>
  </si>
  <si>
    <t>Download Intex Wrapper</t>
  </si>
  <si>
    <t>05.19</t>
  </si>
  <si>
    <t>EMF</t>
  </si>
  <si>
    <t>Add EMF loans -  raw + document</t>
  </si>
  <si>
    <t>Implement mapping for EMF</t>
  </si>
  <si>
    <t>05.19.1</t>
  </si>
  <si>
    <t>05.19.2</t>
  </si>
  <si>
    <t>Design Architecture and plan</t>
  </si>
  <si>
    <t>10.3.3</t>
  </si>
  <si>
    <t>RDM/QDB enhancements for ABS</t>
  </si>
  <si>
    <t>BackOffice</t>
  </si>
  <si>
    <t>Don't automatically update fixings from Bloomberg</t>
  </si>
  <si>
    <t>01.2.33</t>
  </si>
  <si>
    <t>BUG - Refresh from BBG does not populate the BBG Name for bond, example ES0347789002.</t>
  </si>
  <si>
    <t>Calyon Partnership</t>
  </si>
  <si>
    <t>16.5.1</t>
  </si>
  <si>
    <t>Automate email to Research</t>
  </si>
  <si>
    <t>08.12.1</t>
  </si>
  <si>
    <t>08.12.2</t>
  </si>
  <si>
    <t>03.8.7</t>
  </si>
  <si>
    <t>Calyon: Figure out a suitable data delivery method</t>
  </si>
  <si>
    <t>Calyon: Modify loan rule process for Calyon specific tables</t>
  </si>
  <si>
    <t>05.20</t>
  </si>
  <si>
    <t>Merrill</t>
  </si>
  <si>
    <t>05.20.1</t>
  </si>
  <si>
    <t>Check for duplicate/missing columns in file loader</t>
  </si>
  <si>
    <t>01.2.34</t>
  </si>
  <si>
    <t>Add original FX rate on bonds</t>
  </si>
  <si>
    <t>02.4.1</t>
  </si>
  <si>
    <t>02.4.2</t>
  </si>
  <si>
    <t>Implement Model Framework</t>
  </si>
  <si>
    <t>21.2.1</t>
  </si>
  <si>
    <t>21.2.2</t>
  </si>
  <si>
    <t>21.2.3</t>
  </si>
  <si>
    <t>21.2.4</t>
  </si>
  <si>
    <t>Collateral Model: Initial Design of Framework</t>
  </si>
  <si>
    <t>Collateral Model: Review and agree design</t>
  </si>
  <si>
    <t>Collateral Model: Review and agree implementation</t>
  </si>
  <si>
    <t>21.2.5</t>
  </si>
  <si>
    <t>Collateral Model: Complete implementation</t>
  </si>
  <si>
    <t>Collateral Model: First core implementation</t>
  </si>
  <si>
    <t>Intex Wrapper: Design suitable wrapper</t>
  </si>
  <si>
    <t>02.4.3</t>
  </si>
  <si>
    <t>02.4.4</t>
  </si>
  <si>
    <t>Intex Wrapper: Review and agree design</t>
  </si>
  <si>
    <t>Intex Wrapper: First core implementation</t>
  </si>
  <si>
    <t>Intex Wrapper: Review and agree implementation</t>
  </si>
  <si>
    <t>Intex Wrapper: Complete implementation</t>
  </si>
  <si>
    <t>02.4.5</t>
  </si>
  <si>
    <t>Fix 'NextFixingDate' on DealsDB and CFGenerator</t>
  </si>
  <si>
    <t>01.2.35</t>
  </si>
  <si>
    <t>CMBS - TREPP</t>
  </si>
  <si>
    <t>20.1.1</t>
  </si>
  <si>
    <t>Download Trepp data</t>
  </si>
  <si>
    <t>20.1.2</t>
  </si>
  <si>
    <t>Analyse Trepp Data</t>
  </si>
  <si>
    <t>11.1.6</t>
  </si>
  <si>
    <t>Use 'NSAM' for all changes</t>
  </si>
  <si>
    <t>11.1.7</t>
  </si>
  <si>
    <t>Change Management procedures</t>
  </si>
  <si>
    <t>Sachin</t>
  </si>
  <si>
    <t>01.2.36</t>
  </si>
  <si>
    <t>Add 'OriginalPlacement' field to bonds, i.e., private/public/other</t>
  </si>
  <si>
    <t>11.2.13</t>
  </si>
  <si>
    <t>Get Sachin all set up</t>
  </si>
  <si>
    <t>03.8.8</t>
  </si>
  <si>
    <t>Bug with fixing generation for IT0004485063 - 1st fixing is on a holiday - why?</t>
  </si>
  <si>
    <t>01.2.37</t>
  </si>
  <si>
    <t>17.6</t>
  </si>
  <si>
    <t>Need to use triggers to keep a back up of all data</t>
  </si>
  <si>
    <t>03.6.6</t>
  </si>
  <si>
    <t>Update ABSNet loader for new SENG schema</t>
  </si>
  <si>
    <t>05.17.2</t>
  </si>
  <si>
    <t>05.17.3</t>
  </si>
  <si>
    <t>Changes to ALBA Mappings</t>
  </si>
  <si>
    <t>09.2.7</t>
  </si>
  <si>
    <t>Issue with Deal+Pool Balance</t>
  </si>
  <si>
    <t>01.2.38</t>
  </si>
  <si>
    <t>Insert new Fixing Data when fixing data is missing from BBG</t>
  </si>
  <si>
    <t>09.6.2</t>
  </si>
  <si>
    <t>Issuance Tool - Implement batch</t>
  </si>
  <si>
    <t>09.6.3</t>
  </si>
  <si>
    <t>Issuance Tool - Test with Nomura Now</t>
  </si>
  <si>
    <t>09.6.4</t>
  </si>
  <si>
    <t>Issuance Tool - Release to production</t>
  </si>
  <si>
    <t>08.12.3</t>
  </si>
  <si>
    <t>Implement regular Calyon download</t>
  </si>
  <si>
    <t>01.2.39</t>
  </si>
  <si>
    <t>Add 'CPR Type' to deals to specify non-default CPR values to use in BBG for cashflow generation.</t>
  </si>
  <si>
    <t>10.1.9</t>
  </si>
  <si>
    <t>16.9</t>
  </si>
  <si>
    <t>Italian Land Registry</t>
  </si>
  <si>
    <t>16.9.1</t>
  </si>
  <si>
    <t>Italian Land Registry quick and dirty data extraction</t>
  </si>
  <si>
    <t>08.12.4</t>
  </si>
  <si>
    <t>Calyon: Ensure Kennsington data is loaded</t>
  </si>
  <si>
    <t>11.2.14</t>
  </si>
  <si>
    <t>Investigate Intex missing files</t>
  </si>
  <si>
    <t>07.4</t>
  </si>
  <si>
    <t>Linq</t>
  </si>
  <si>
    <t>07.4.1</t>
  </si>
  <si>
    <t>Various fixes for Zhuu</t>
  </si>
  <si>
    <t>22</t>
  </si>
  <si>
    <t>Support Tools</t>
  </si>
  <si>
    <t>22.1</t>
  </si>
  <si>
    <t>Generic Support Tool</t>
  </si>
  <si>
    <t>22.2</t>
  </si>
  <si>
    <t>Loan load status monitoring</t>
  </si>
  <si>
    <t>22.2.1</t>
  </si>
  <si>
    <t>22.1.1</t>
  </si>
  <si>
    <t>Generic Suppot Tool Design</t>
  </si>
  <si>
    <t>22.2.2</t>
  </si>
  <si>
    <t>Gather current load status</t>
  </si>
  <si>
    <t>22.2.3</t>
  </si>
  <si>
    <t>Support Tool - Loan load - Design</t>
  </si>
  <si>
    <t>Support Tool - Loan load - 1st Draft Implementation</t>
  </si>
  <si>
    <t>22.2.4</t>
  </si>
  <si>
    <t>22.2.5</t>
  </si>
  <si>
    <t>Support Tool - Loan load - Code Review</t>
  </si>
  <si>
    <t>Support Tool - Loan load - Full Implementation</t>
  </si>
  <si>
    <t>11.2.15</t>
  </si>
  <si>
    <t>Get more UNIX disk space</t>
  </si>
  <si>
    <t>17.7</t>
  </si>
  <si>
    <t>Trade Blotter Release 3</t>
  </si>
  <si>
    <t>23</t>
  </si>
  <si>
    <t>BBG Performance Data</t>
  </si>
  <si>
    <t>23.1</t>
  </si>
  <si>
    <t>Initial Build</t>
  </si>
  <si>
    <t>23.1.1</t>
  </si>
  <si>
    <t>Gather Requirements</t>
  </si>
  <si>
    <t>23.1.2</t>
  </si>
  <si>
    <t>Design application and database</t>
  </si>
  <si>
    <t>23.1.3</t>
  </si>
  <si>
    <t>Review design</t>
  </si>
  <si>
    <t>23.1.4</t>
  </si>
  <si>
    <t>Build first version</t>
  </si>
  <si>
    <t>Code Review</t>
  </si>
  <si>
    <t>Release to production</t>
  </si>
  <si>
    <t>23.1.5</t>
  </si>
  <si>
    <t>23.1.6</t>
  </si>
  <si>
    <t>20.1.3</t>
  </si>
  <si>
    <t>Take a one off copy of historic Trepp data from US</t>
  </si>
  <si>
    <t>02.3.2</t>
  </si>
  <si>
    <t>Get US Intex files</t>
  </si>
  <si>
    <t>17.8</t>
  </si>
  <si>
    <t>Back load old Lehman Blotter Trades</t>
  </si>
  <si>
    <t>02.5</t>
  </si>
  <si>
    <t>Intex Deal Scraper</t>
  </si>
  <si>
    <t>02.5.1</t>
  </si>
  <si>
    <t>Scraper - 1st implementation</t>
  </si>
  <si>
    <t>02.3.3</t>
  </si>
  <si>
    <t>Intex files missing</t>
  </si>
  <si>
    <t>13.2.6</t>
  </si>
  <si>
    <t>Write up wiki notes</t>
  </si>
  <si>
    <t>16.10.1</t>
  </si>
  <si>
    <t>16.10</t>
  </si>
  <si>
    <t>Normalise Rate Data</t>
  </si>
  <si>
    <t xml:space="preserve">Normalised ECB Rate Data </t>
  </si>
  <si>
    <t>16.10.2</t>
  </si>
  <si>
    <t xml:space="preserve">Normalised BBG Rate Data </t>
  </si>
  <si>
    <t>16.10.3</t>
  </si>
  <si>
    <t>16.10.4</t>
  </si>
  <si>
    <t>16.10.5</t>
  </si>
  <si>
    <t xml:space="preserve">Normalised BOE Rate Data </t>
  </si>
  <si>
    <t xml:space="preserve">Normalised Dutch HPI Rate Data </t>
  </si>
  <si>
    <t xml:space="preserve">Normalised Spanish HPI Rate Data </t>
  </si>
  <si>
    <t>11.1.8</t>
  </si>
  <si>
    <t>Design Triggers for Auditing</t>
  </si>
  <si>
    <t>07.5</t>
  </si>
  <si>
    <t>07.5.1</t>
  </si>
  <si>
    <t>07.5.2</t>
  </si>
  <si>
    <t>11.2.16</t>
  </si>
  <si>
    <t>Make peer reviews work.</t>
  </si>
  <si>
    <t>11.2.17</t>
  </si>
  <si>
    <t>Log application startup to database to show app usage</t>
  </si>
  <si>
    <t>11.2.18</t>
  </si>
  <si>
    <t>Get Research Team (India) to set up deals</t>
  </si>
  <si>
    <t>10.1.10</t>
  </si>
  <si>
    <t>Radial start up time is very slow in Mumbai</t>
  </si>
  <si>
    <t>12.1.3</t>
  </si>
  <si>
    <t>Make startup faster in Mumbai - re logging</t>
  </si>
  <si>
    <t>20.3</t>
  </si>
  <si>
    <t>Collaborate with US ABS</t>
  </si>
  <si>
    <t>20.3.1</t>
  </si>
  <si>
    <t>Plan collaboration with US</t>
  </si>
  <si>
    <t>05.21</t>
  </si>
  <si>
    <t>Loan data file handling</t>
  </si>
  <si>
    <t>05.21.1</t>
  </si>
  <si>
    <t>05.21.2</t>
  </si>
  <si>
    <t>05.21.3</t>
  </si>
  <si>
    <t>05.21.4</t>
  </si>
  <si>
    <t>11.2.19</t>
  </si>
  <si>
    <t>Get Mumbai located IT share set up for logging and other uses.</t>
  </si>
  <si>
    <t>03.8.9</t>
  </si>
  <si>
    <t>22.2.6</t>
  </si>
  <si>
    <t>Support Tool - Incorporate comments from group review</t>
  </si>
  <si>
    <t>06.1.5</t>
  </si>
  <si>
    <t>06.9</t>
  </si>
  <si>
    <t>Common.Utilities</t>
  </si>
  <si>
    <t>06.9.1</t>
  </si>
  <si>
    <t>Consider putting boilerplate startup code in Common.Utilities.</t>
  </si>
  <si>
    <t>06.9.2</t>
  </si>
  <si>
    <t>Agree common terminology (and application level class/method names) for main application classes across all applications</t>
  </si>
  <si>
    <t>Add comments functionality</t>
  </si>
  <si>
    <t>Correct date issues for LegalMaturity and First Settlement</t>
  </si>
  <si>
    <t>Make default format for DateTime in Logger to be 'dd-MMM-yyyy'</t>
  </si>
  <si>
    <t>Linq: determine appropriate usage and document</t>
  </si>
  <si>
    <t>Figure out naming convention for WinForm controls and document</t>
  </si>
  <si>
    <t>Recommend Exception usage and document</t>
  </si>
  <si>
    <t>21.2.6</t>
  </si>
  <si>
    <t>Collateral Model: Incorporate updated model coefficients</t>
  </si>
  <si>
    <t>Radial to accept a single XML file of updates for bonds</t>
  </si>
  <si>
    <t>05.17.4</t>
  </si>
  <si>
    <t>Problem with some ALBA loans between QA and Prod</t>
  </si>
  <si>
    <t>Find appropriate mechanism to download BBG data</t>
  </si>
  <si>
    <t>Bloomberg</t>
  </si>
  <si>
    <t>10.4</t>
  </si>
  <si>
    <t>10.4.1</t>
  </si>
  <si>
    <t>10.3.4</t>
  </si>
  <si>
    <t>07.5.3</t>
  </si>
  <si>
    <t>Review and acquire VS productivity tools</t>
  </si>
  <si>
    <t>24</t>
  </si>
  <si>
    <t>Client Tracker</t>
  </si>
  <si>
    <t>24.1</t>
  </si>
  <si>
    <t>24.1.1</t>
  </si>
  <si>
    <t>Mark some prices as bad</t>
  </si>
  <si>
    <t>04.10.10</t>
  </si>
  <si>
    <t>Tier by Original rating</t>
  </si>
  <si>
    <t>0-Cancelled</t>
  </si>
  <si>
    <t>09.3.5</t>
  </si>
  <si>
    <t>LTV Strat tool: Add series history data to Nomura Now</t>
  </si>
  <si>
    <t>19.5</t>
  </si>
  <si>
    <t>Ad hoc support</t>
  </si>
  <si>
    <t>19.5.1</t>
  </si>
  <si>
    <t>Extract PDF data for Friedel</t>
  </si>
  <si>
    <t>07.5.4</t>
  </si>
  <si>
    <t>Find better way to tag libraries</t>
  </si>
  <si>
    <t>Cancelled</t>
  </si>
  <si>
    <t>TaskType</t>
  </si>
  <si>
    <t>Enhancement</t>
  </si>
  <si>
    <t>NewDevelopment</t>
  </si>
  <si>
    <t>Other</t>
  </si>
  <si>
    <t>01.2.40</t>
  </si>
  <si>
    <t>Don't update bonds in CashflwoGenerator if their factor it zero</t>
  </si>
  <si>
    <t>17.9</t>
  </si>
  <si>
    <t>Make C# application to keep trade blottter data tidy</t>
  </si>
  <si>
    <t>01.3.12</t>
  </si>
  <si>
    <t>Add missing Original WAL data</t>
  </si>
  <si>
    <t>03.5.14</t>
  </si>
  <si>
    <t>Use DealId in database not BBG Deal Name</t>
  </si>
  <si>
    <t>14.4.2</t>
  </si>
  <si>
    <t>16.10.6</t>
  </si>
  <si>
    <t>16.10.7</t>
  </si>
  <si>
    <t xml:space="preserve">Normalised ECB Amount Data </t>
  </si>
  <si>
    <t xml:space="preserve">Normalised BOE Amount Data </t>
  </si>
  <si>
    <t>CE - Determine generic CE algorithm</t>
  </si>
  <si>
    <t>CE - Integrate CE with Nomura Now</t>
  </si>
  <si>
    <t>CE - Develop application to generate CE</t>
  </si>
  <si>
    <t>CE - Release CE to production</t>
  </si>
  <si>
    <t>CE - Extend CE for Master trusts</t>
  </si>
  <si>
    <t>CE - Extend CE for more esoteric deals</t>
  </si>
  <si>
    <t>CE - Release CE GUI</t>
  </si>
  <si>
    <t>CE - Release CE for Master Trusts</t>
  </si>
  <si>
    <t>CE - Incorporate comments from group review (apr 10)</t>
  </si>
  <si>
    <t>03.8.10</t>
  </si>
  <si>
    <t>CE - Implement updated algorithm as specified by Ajay</t>
  </si>
  <si>
    <t>04.10.11</t>
  </si>
  <si>
    <t>Tier by Front Pay / Back Pay</t>
  </si>
  <si>
    <t>04.10.12</t>
  </si>
  <si>
    <t>Tier by Credit Enhancement</t>
  </si>
  <si>
    <t>04.10.13</t>
  </si>
  <si>
    <t>Show additional fields on Level 3 to allow filtering/sorting</t>
  </si>
  <si>
    <t>04.10.14</t>
  </si>
  <si>
    <t>Add a new comment field for level 2 + 3 rules</t>
  </si>
  <si>
    <t>04.10.15</t>
  </si>
  <si>
    <t>Add ability to specify a 1 year WAL bucket</t>
  </si>
  <si>
    <t>19.5.2</t>
  </si>
  <si>
    <t>Extract PDF data for Friedel #2</t>
  </si>
  <si>
    <t>CE - Release CE to Prod for June conference</t>
  </si>
  <si>
    <t>22.2.7</t>
  </si>
  <si>
    <t>Support Tool - Release GUI and Batch to Prod</t>
  </si>
  <si>
    <t>Turn off feed to QDB</t>
  </si>
  <si>
    <t>01.2.41</t>
  </si>
  <si>
    <t>Represent Master Trusts in the database</t>
  </si>
  <si>
    <t>05.07.4</t>
  </si>
  <si>
    <t>Modify mappings for REM_TERM across many issuers</t>
  </si>
  <si>
    <t>0-CLOSED</t>
  </si>
  <si>
    <t>02.6</t>
  </si>
  <si>
    <t>Intex Cashflow Generator</t>
  </si>
  <si>
    <t>02.6.1</t>
  </si>
  <si>
    <t>02.6.2</t>
  </si>
  <si>
    <t>02.6.3</t>
  </si>
  <si>
    <t>CFGen: Spec out requirements for using Intex Bond Cfs</t>
  </si>
  <si>
    <t>CFGen: Design and build 1st implementation</t>
  </si>
  <si>
    <t>02.6.4</t>
  </si>
  <si>
    <t>CFGen: Review and agree implementation</t>
  </si>
  <si>
    <t>02.6.5</t>
  </si>
  <si>
    <t>CFGen: Complete first implementation</t>
  </si>
  <si>
    <t>02.6.6</t>
  </si>
  <si>
    <t>CFGen: Test in QA</t>
  </si>
  <si>
    <t>Sreevani</t>
  </si>
  <si>
    <t>11.2.20</t>
  </si>
  <si>
    <t>Get Sreevani all set up</t>
  </si>
  <si>
    <t>21.3</t>
  </si>
  <si>
    <t>Implement Matrix 2 Cashflows</t>
  </si>
  <si>
    <t>21.3.1</t>
  </si>
  <si>
    <t>21.3.2</t>
  </si>
  <si>
    <t>21.3.3</t>
  </si>
  <si>
    <t>09.7</t>
  </si>
  <si>
    <t>Bond Pricer Tool</t>
  </si>
  <si>
    <t>09.7.1</t>
  </si>
  <si>
    <t>Implement SP to provide bond level prices and analytics</t>
  </si>
  <si>
    <t>11.2.21</t>
  </si>
  <si>
    <t>Get London visit organised</t>
  </si>
  <si>
    <t>01.2.42</t>
  </si>
  <si>
    <t>Make BBG-&gt;Fingal holiday calendar mapping handle 'A$' -&gt; 'MEL,SYD' and make it extendable via the Config without need for a new release</t>
  </si>
  <si>
    <t>03.8.12</t>
  </si>
  <si>
    <t>CE - Review database tables for Deal vs Issuer after June conference</t>
  </si>
  <si>
    <t>CFGen: Complete Prototype Implementation with Wrapped API and document</t>
  </si>
  <si>
    <t>ModelCashflows: Gather requirements</t>
  </si>
  <si>
    <t>ModelCashflows: Produce initial design</t>
  </si>
  <si>
    <t>ModelCashflows: Review initial design</t>
  </si>
  <si>
    <t>20.1.4</t>
  </si>
  <si>
    <t>Automate Trepp data download</t>
  </si>
  <si>
    <t>(Multiple Items)</t>
  </si>
  <si>
    <t>03.6.7</t>
  </si>
  <si>
    <t>13.2.7</t>
  </si>
  <si>
    <t>Make Comment Date and Author visible on the comment window itself.</t>
  </si>
  <si>
    <t>Clean up ABS Net Log and other fixes</t>
  </si>
  <si>
    <t>11.2.22a</t>
  </si>
  <si>
    <t>Set goals for 2010_2011</t>
  </si>
  <si>
    <t>11.2.22b</t>
  </si>
  <si>
    <t>11.2.22c</t>
  </si>
  <si>
    <t>11.2.22d</t>
  </si>
  <si>
    <t>16.6.7</t>
  </si>
  <si>
    <t>Various fixes to BoE downloader</t>
  </si>
  <si>
    <t>01.2.43</t>
  </si>
  <si>
    <t>Make DealsDB and Cfgen handle bonds that genuinely have no ISIN</t>
  </si>
  <si>
    <t>20.1.5</t>
  </si>
  <si>
    <t>Take regular copies of Trepp download data</t>
  </si>
  <si>
    <t>12.3</t>
  </si>
  <si>
    <t>Views on Database</t>
  </si>
  <si>
    <t>12.3.1</t>
  </si>
  <si>
    <t>Add 'Bonds' View</t>
  </si>
  <si>
    <t>01.2.44</t>
  </si>
  <si>
    <t>Issue pasting ISIN etc for new bonds</t>
  </si>
  <si>
    <t>01.2.45</t>
  </si>
  <si>
    <t>Investigate Fingal build errors</t>
  </si>
  <si>
    <t>01.2.46</t>
  </si>
  <si>
    <t>Deals DB changes for Master Trusts</t>
  </si>
  <si>
    <t>12.4</t>
  </si>
  <si>
    <t>Excel addin for database access</t>
  </si>
  <si>
    <t>12.4.1</t>
  </si>
  <si>
    <t>Create addin for simple field retrieval</t>
  </si>
  <si>
    <t>Maintenance</t>
  </si>
  <si>
    <t>04.10.01</t>
  </si>
  <si>
    <t>04.10.03</t>
  </si>
  <si>
    <t>04.10.05</t>
  </si>
  <si>
    <t>04.10.08</t>
  </si>
  <si>
    <t>04.10.09</t>
  </si>
  <si>
    <t>01.2.47</t>
  </si>
  <si>
    <t>Investigate BBG gateway retries</t>
  </si>
  <si>
    <t>03.8.11</t>
  </si>
  <si>
    <t>08.01.6</t>
  </si>
  <si>
    <t>Better SAS Tools</t>
  </si>
  <si>
    <t>05.05.6</t>
  </si>
  <si>
    <t>Add two more fields to ESF_Static</t>
  </si>
  <si>
    <t>05.05.5</t>
  </si>
  <si>
    <t>Modify schema names in 'Loan' database.</t>
  </si>
  <si>
    <t>07.5.6</t>
  </si>
  <si>
    <t>Investigate applicability of WPF</t>
  </si>
  <si>
    <t>24.1.2</t>
  </si>
  <si>
    <t>ClientTracker: Gather requirements</t>
  </si>
  <si>
    <t>ClientTracker: Initial Design</t>
  </si>
  <si>
    <t>ClientTracker: Review Design</t>
  </si>
  <si>
    <t>ClientTracker: Implement and Test</t>
  </si>
  <si>
    <t>ClientTracker: Review Implementation</t>
  </si>
  <si>
    <t>ClientTracker: Final changes and testing</t>
  </si>
  <si>
    <t>ClientTracker: Release</t>
  </si>
  <si>
    <t>24.1.3</t>
  </si>
  <si>
    <t>24.1.4</t>
  </si>
  <si>
    <t>24.1.5</t>
  </si>
  <si>
    <t>24.1.6</t>
  </si>
  <si>
    <t>24.1.7</t>
  </si>
  <si>
    <t>04.10.16</t>
  </si>
  <si>
    <t>Review Matrix Pricing changes</t>
  </si>
  <si>
    <t>04.10.17</t>
  </si>
  <si>
    <t>Release Matrix Pricing changes</t>
  </si>
  <si>
    <t>04.10.18</t>
  </si>
  <si>
    <t>Test and UAT all changes</t>
  </si>
  <si>
    <t>11.2.23</t>
  </si>
  <si>
    <t>All non WIG goals agreed by all team members and Neil and Yogesh</t>
  </si>
  <si>
    <t>17.7.1</t>
  </si>
  <si>
    <t>TradeBlotter3: Agree items to include in release</t>
  </si>
  <si>
    <t>17.7.2</t>
  </si>
  <si>
    <t>17.7.3</t>
  </si>
  <si>
    <t>TradeBlotter3: Implement changes</t>
  </si>
  <si>
    <t>TradeBlotter3: Test changes</t>
  </si>
  <si>
    <t>TradeBlotter3: Review changes</t>
  </si>
  <si>
    <t>TradeBlotter3: Final changes and testing</t>
  </si>
  <si>
    <t>TradeBlotter3: Make release</t>
  </si>
  <si>
    <t>17.7.4</t>
  </si>
  <si>
    <t>17.7.6</t>
  </si>
  <si>
    <t>17.7.5</t>
  </si>
  <si>
    <t>OnProject</t>
  </si>
  <si>
    <t>21.3.4</t>
  </si>
  <si>
    <t>ModelCashflows: First Implementation</t>
  </si>
  <si>
    <t>ModelCashflows: Review Implementation</t>
  </si>
  <si>
    <t>ModelCashflows: Complete Implementation</t>
  </si>
  <si>
    <t>ModelCashflows: Team review</t>
  </si>
  <si>
    <t>ModelCashflows: Modifications for comments</t>
  </si>
  <si>
    <t>ModelCashflows: UAT Testing</t>
  </si>
  <si>
    <t>ModelCashflows: Complete</t>
  </si>
  <si>
    <t>21.3.5</t>
  </si>
  <si>
    <t>21.3.6</t>
  </si>
  <si>
    <t>21.3.7</t>
  </si>
  <si>
    <t>21.3.8</t>
  </si>
  <si>
    <t>21.3.9</t>
  </si>
  <si>
    <t>21.3.10</t>
  </si>
  <si>
    <t>16.7.8</t>
  </si>
  <si>
    <t>Fix Spanish HPI load for data format change</t>
  </si>
  <si>
    <t>ExpectDate</t>
  </si>
  <si>
    <t>Effort</t>
  </si>
  <si>
    <t>Main Person</t>
  </si>
  <si>
    <t>(5) Collateral Model Library #1</t>
  </si>
  <si>
    <t>(9) MatrixPricingEnhancements</t>
  </si>
  <si>
    <t>(10) DealsDBEnhancements</t>
  </si>
  <si>
    <t>(11) ClientTrackerFirstVersion</t>
  </si>
  <si>
    <t>(-) Mumbai Goals complete</t>
  </si>
  <si>
    <t>(12) Trade Blotter Enhancements Release 3</t>
  </si>
  <si>
    <t>(13) Model Cashflow generation Library #1</t>
  </si>
  <si>
    <t>(14) Spanish HPI Loader</t>
  </si>
  <si>
    <t>(16) Integrate GUI applications</t>
  </si>
  <si>
    <t>21.4</t>
  </si>
  <si>
    <t>First Model 2 Intex application</t>
  </si>
  <si>
    <t>21.4.1</t>
  </si>
  <si>
    <t>Model2Intex: Define requirements</t>
  </si>
  <si>
    <t>Intex cdu+pss files generator</t>
  </si>
  <si>
    <t>IntexCduPss: Define requirements</t>
  </si>
  <si>
    <t>IntexCduPss: Design</t>
  </si>
  <si>
    <t>IntexCduPss: Review Design</t>
  </si>
  <si>
    <t>IntexCduPss: Implement</t>
  </si>
  <si>
    <t>IntexCduPss: Review Implementation</t>
  </si>
  <si>
    <t>IntexCduPss: Complete</t>
  </si>
  <si>
    <t>21.4.2</t>
  </si>
  <si>
    <t>21.4.3</t>
  </si>
  <si>
    <t>21.4.4</t>
  </si>
  <si>
    <t>21.4.5</t>
  </si>
  <si>
    <t>21.4.6</t>
  </si>
  <si>
    <t>21.5</t>
  </si>
  <si>
    <t>21.5.1</t>
  </si>
  <si>
    <t>21.5.2</t>
  </si>
  <si>
    <t>21.5.3</t>
  </si>
  <si>
    <t>21.5.4</t>
  </si>
  <si>
    <t>21.5.5</t>
  </si>
  <si>
    <t>Model2Intex: Design</t>
  </si>
  <si>
    <t>Model2Intex: Review Design</t>
  </si>
  <si>
    <t>Model2Intex: Implement</t>
  </si>
  <si>
    <t>Model2Intex: Review Implementation</t>
  </si>
  <si>
    <t>Model2Intex: UAT Testing</t>
  </si>
  <si>
    <t>Model2Intex: Modifications for comments</t>
  </si>
  <si>
    <t>Model2Intex: Complete</t>
  </si>
  <si>
    <t>21.5.6</t>
  </si>
  <si>
    <t>21.5.7</t>
  </si>
  <si>
    <t>21.5.8</t>
  </si>
  <si>
    <t>21.5.9</t>
  </si>
  <si>
    <t>07.2.1</t>
  </si>
  <si>
    <t>07.2.2</t>
  </si>
  <si>
    <t>Schema save: Requirements</t>
  </si>
  <si>
    <t>06.10</t>
  </si>
  <si>
    <t>06.10.1</t>
  </si>
  <si>
    <t>06.10.2</t>
  </si>
  <si>
    <t>06.10.3</t>
  </si>
  <si>
    <t>21.2.7</t>
  </si>
  <si>
    <t>Collateral Model: UAT - Backtesting</t>
  </si>
  <si>
    <t>04.10.19</t>
  </si>
  <si>
    <t>Remove un-needed fields from MatrixPricing.Results</t>
  </si>
  <si>
    <t>16.11</t>
  </si>
  <si>
    <t>Spanish Covered Bond Repo Rates</t>
  </si>
  <si>
    <t>16.11.1</t>
  </si>
  <si>
    <t>16.11.2</t>
  </si>
  <si>
    <t>16.11.3</t>
  </si>
  <si>
    <t>ES Repo Rates: Define Requirements</t>
  </si>
  <si>
    <t>ES Repo Rates: Design and implement</t>
  </si>
  <si>
    <t>16.11.4</t>
  </si>
  <si>
    <t>ES Repo Rates: Review</t>
  </si>
  <si>
    <t>16.11.5</t>
  </si>
  <si>
    <t>ES Repo Rates: Release</t>
  </si>
  <si>
    <t>11.4</t>
  </si>
  <si>
    <t>06.11</t>
  </si>
  <si>
    <t>Misc Library Tasks</t>
  </si>
  <si>
    <t>06.11.1</t>
  </si>
  <si>
    <t>Develop SVN client library</t>
  </si>
  <si>
    <t>Server move from NoHo to new DC</t>
  </si>
  <si>
    <t>Unified loan tape load tools</t>
  </si>
  <si>
    <t>06.3.3</t>
  </si>
  <si>
    <t>Make DealsDbOOLayer easier to use in applications</t>
  </si>
  <si>
    <t>Roll Rate Analyser on Nomura Now</t>
  </si>
  <si>
    <t>04.10.20</t>
  </si>
  <si>
    <t>Three fixes proposed by Ruth.</t>
  </si>
  <si>
    <t>PerformanceData Library</t>
  </si>
  <si>
    <t>PerformanceDataLib: Requirements</t>
  </si>
  <si>
    <t>PerformanceDataLib: 1st Implementation</t>
  </si>
  <si>
    <t>PerformanceDataLib: Review</t>
  </si>
  <si>
    <t>03.8.13</t>
  </si>
  <si>
    <t>CE - Make use of PerformanceDataLib</t>
  </si>
  <si>
    <t>23.1.7</t>
  </si>
  <si>
    <t>Make use of PerformanceData Lib</t>
  </si>
  <si>
    <t>07.5.7</t>
  </si>
  <si>
    <t>Find a good way to patch applications reliably</t>
  </si>
  <si>
    <t>06.9.3</t>
  </si>
  <si>
    <t>Implement a replacement for 'CommandLineParser' that is more robusts and logs the command line.</t>
  </si>
  <si>
    <t>19.5.3</t>
  </si>
  <si>
    <t>Extract PDF data for Danny</t>
  </si>
  <si>
    <t>04.10.21</t>
  </si>
  <si>
    <t>Invert concept of FrontPay + BackPay</t>
  </si>
  <si>
    <t>04.10.22</t>
  </si>
  <si>
    <t>Modify windows sizes so that all columns are displayed</t>
  </si>
  <si>
    <t>04.10.23</t>
  </si>
  <si>
    <t>Make sure the same columns appear for Levels 1, 2 &amp; 3 between Matrix Editor and Viewer.</t>
  </si>
  <si>
    <t>MatrixPricingEnhancements #3</t>
  </si>
  <si>
    <t>04.10.24</t>
  </si>
  <si>
    <t>04.10.25</t>
  </si>
  <si>
    <t>04.10.26</t>
  </si>
  <si>
    <t>ES Repo Rates: Build and release simple app to download files</t>
  </si>
  <si>
    <t>05.21.5</t>
  </si>
  <si>
    <t>05.21.6</t>
  </si>
  <si>
    <t>05.21.7</t>
  </si>
  <si>
    <t>LoanHandling: Define loan data file handling procedure.</t>
  </si>
  <si>
    <t>LoanHandling: First release with just ALBA</t>
  </si>
  <si>
    <t>LoanHandling: Full release for all loaders</t>
  </si>
  <si>
    <t>LoanHandling: Design schema and library</t>
  </si>
  <si>
    <t>LoanHandling: Modify each loader to conform to procedure.</t>
  </si>
  <si>
    <t>LoanHandling: Modify RMAC loader to use C1 Excel component</t>
  </si>
  <si>
    <t>LoanHandling: Team Review and incorporate comments</t>
  </si>
  <si>
    <t>NoHo Migration: Develop plan</t>
  </si>
  <si>
    <t>11.2.24</t>
  </si>
  <si>
    <t>Get SAS Management Console Packaged</t>
  </si>
  <si>
    <t>06.8.3</t>
  </si>
  <si>
    <t>06.8.4</t>
  </si>
  <si>
    <t>06.8.5</t>
  </si>
  <si>
    <t>06.8.6</t>
  </si>
  <si>
    <t>Add 'Adjusted months in arrears' as an option to RR analyser</t>
  </si>
  <si>
    <t>05.20.2</t>
  </si>
  <si>
    <t>Add new field to Merrill Raw</t>
  </si>
  <si>
    <t>05.18.7</t>
  </si>
  <si>
    <t>Add new Kensington rules for Danny</t>
  </si>
  <si>
    <t>Loan Rate and FX data from QDB</t>
  </si>
  <si>
    <t>01.3.13</t>
  </si>
  <si>
    <t>Remove duplicate Deals and Bonds</t>
  </si>
  <si>
    <t>Kundan</t>
  </si>
  <si>
    <t>11.2.25</t>
  </si>
  <si>
    <t>Make NSAM2 tickets work</t>
  </si>
  <si>
    <t>04.10.27</t>
  </si>
  <si>
    <t>Add ability to specify yields</t>
  </si>
  <si>
    <t>03.8.14</t>
  </si>
  <si>
    <t>CE - Design override GUI</t>
  </si>
  <si>
    <t>Automatically generate aggregate loan data where possible</t>
  </si>
  <si>
    <t>16.12</t>
  </si>
  <si>
    <t>QDB Rate Loader</t>
  </si>
  <si>
    <t>16.12.1</t>
  </si>
  <si>
    <t>QDB Rates: Requirements and Design</t>
  </si>
  <si>
    <t>05.06.4</t>
  </si>
  <si>
    <t>Modify Kensington load rules for Danny</t>
  </si>
  <si>
    <t>Add Buy to Let to filter (duplicate)</t>
  </si>
  <si>
    <t>Re-implement raw data aggregation - duplicate (5.17.3)</t>
  </si>
  <si>
    <t>Ensure sufficient documentation for all apps</t>
  </si>
  <si>
    <t>19.5.4</t>
  </si>
  <si>
    <t>Extract PDF data for Reneesh</t>
  </si>
  <si>
    <t>11.5</t>
  </si>
  <si>
    <t>Improve Documentation Quality</t>
  </si>
  <si>
    <t>DocQual: Agree Requirements for Batch Apps</t>
  </si>
  <si>
    <t>DocQual: Agree Requirements for GUI Apps</t>
  </si>
  <si>
    <t>DocQual: Agree Requirements for Libraries</t>
  </si>
  <si>
    <t>DocQual: Implement plan for improving doc quality</t>
  </si>
  <si>
    <t>11.5.1a</t>
  </si>
  <si>
    <t>11.5.1b</t>
  </si>
  <si>
    <t>11.5.2a</t>
  </si>
  <si>
    <t>11.5.2b</t>
  </si>
  <si>
    <t>11.5.3a</t>
  </si>
  <si>
    <t>11.5.3b</t>
  </si>
  <si>
    <t>11.5.4a</t>
  </si>
  <si>
    <t>11.5.4b</t>
  </si>
  <si>
    <t>Improve document quality</t>
  </si>
  <si>
    <t>Sachin+Sreevani</t>
  </si>
  <si>
    <t>09.4.3</t>
  </si>
  <si>
    <t>09.4.4</t>
  </si>
  <si>
    <t>09.4.5</t>
  </si>
  <si>
    <t>09.4.6</t>
  </si>
  <si>
    <t>NN RRA: Review Design</t>
  </si>
  <si>
    <t>NN RRA: Implement RR Analyser cache</t>
  </si>
  <si>
    <t>NN RRA: UAT</t>
  </si>
  <si>
    <t>NN RRA: Code review</t>
  </si>
  <si>
    <t>NN RRA: Release</t>
  </si>
  <si>
    <t>NN RRA: Initial requirements &amp; design</t>
  </si>
  <si>
    <t>Automate version control (svn) of SQL Server objects (schema) (duplicate 7.2.2)</t>
  </si>
  <si>
    <t>07.2.3</t>
  </si>
  <si>
    <t>Schema save: Code review</t>
  </si>
  <si>
    <t>07.2.4</t>
  </si>
  <si>
    <t>Schema save: Release</t>
  </si>
  <si>
    <t>Schema save: Build and test</t>
  </si>
  <si>
    <t>Schema save to SVN</t>
  </si>
  <si>
    <t>11.2.26</t>
  </si>
  <si>
    <t>07.1.1</t>
  </si>
  <si>
    <t>07.1.2</t>
  </si>
  <si>
    <t>Daily trunk testing</t>
  </si>
  <si>
    <t>Gather dependancy information</t>
  </si>
  <si>
    <t>04.10.28</t>
  </si>
  <si>
    <t>Correct WAL calculation</t>
  </si>
  <si>
    <t>10.5</t>
  </si>
  <si>
    <t>10.5.1</t>
  </si>
  <si>
    <t>BBG Rates: Requirements</t>
  </si>
  <si>
    <t>10.5.2</t>
  </si>
  <si>
    <t>BBG Rates: Design</t>
  </si>
  <si>
    <t>10.5.3</t>
  </si>
  <si>
    <t>BBG Rates: Design Review</t>
  </si>
  <si>
    <t>10.5.4</t>
  </si>
  <si>
    <t>BBG Rates: Implement</t>
  </si>
  <si>
    <t>BBG Rates: Code Review</t>
  </si>
  <si>
    <t>BBG Rates: Test and Release</t>
  </si>
  <si>
    <t>10.5.5</t>
  </si>
  <si>
    <t>10.5.6</t>
  </si>
  <si>
    <t>04.10.29</t>
  </si>
  <si>
    <t>Partial Release</t>
  </si>
  <si>
    <t>25</t>
  </si>
  <si>
    <t>Markit</t>
  </si>
  <si>
    <t>25.1</t>
  </si>
  <si>
    <t>First Markit Price Feed</t>
  </si>
  <si>
    <t>25.1.1</t>
  </si>
  <si>
    <t>Market1: Understand requirements</t>
  </si>
  <si>
    <t>Market1: Design</t>
  </si>
  <si>
    <t>Market1: Implement</t>
  </si>
  <si>
    <t>Market1: Release</t>
  </si>
  <si>
    <t>25.1.2</t>
  </si>
  <si>
    <t>25.1.3</t>
  </si>
  <si>
    <t>25.1.4</t>
  </si>
  <si>
    <t>25.1.5</t>
  </si>
  <si>
    <t>25.1.6</t>
  </si>
  <si>
    <t>Market1: Test</t>
  </si>
  <si>
    <t>Market1: Review</t>
  </si>
  <si>
    <t>19.5.5</t>
  </si>
  <si>
    <t>Develop generic loan PDF file parsing approach</t>
  </si>
  <si>
    <t>05.21.8</t>
  </si>
  <si>
    <t>05.21.9</t>
  </si>
  <si>
    <t>05.21.10</t>
  </si>
  <si>
    <t>05.21.11</t>
  </si>
  <si>
    <t>05.21.12</t>
  </si>
  <si>
    <t>LoanHandling: RMAC loader change, review,release</t>
  </si>
  <si>
    <t>LoanHandling: ESAIL loader change, review,release</t>
  </si>
  <si>
    <t>LoanHandling: Kennsington loader change, review,release</t>
  </si>
  <si>
    <t>LoanHandling: Merrill loader change, review,release</t>
  </si>
  <si>
    <t>LoanHandling: LEEK loader change, review,release</t>
  </si>
  <si>
    <t>05.18.8</t>
  </si>
  <si>
    <t>Add new Kensington 2nd Lien rules for Danny</t>
  </si>
  <si>
    <t>11.2.27</t>
  </si>
  <si>
    <t>Renew Easysoft licenses</t>
  </si>
  <si>
    <t>17.10</t>
  </si>
  <si>
    <t>17.10.1</t>
  </si>
  <si>
    <t>Fix boolean filters for ReadOnly Users</t>
  </si>
  <si>
    <t>11.4.2</t>
  </si>
  <si>
    <t>NoHo Migration: Get VM and user accounts set up</t>
  </si>
  <si>
    <t>08.09.4</t>
  </si>
  <si>
    <t>Get EasySoft ODBC drivers renewed</t>
  </si>
  <si>
    <t>26</t>
  </si>
  <si>
    <t>Bloomberg data feed</t>
  </si>
  <si>
    <t>26.1</t>
  </si>
  <si>
    <t>Replacement security data feed</t>
  </si>
  <si>
    <t>26.1.1</t>
  </si>
  <si>
    <t>BBG Feed: Gather requirements</t>
  </si>
  <si>
    <t>BBG Feed: Prototype feed process</t>
  </si>
  <si>
    <t>26.1.2</t>
  </si>
  <si>
    <t>03.8.15</t>
  </si>
  <si>
    <t>CE - Improve email logging and avoid issuing as a Warning</t>
  </si>
  <si>
    <t>04.10.30</t>
  </si>
  <si>
    <t>Refactor DoTierMapLookup()</t>
  </si>
  <si>
    <t>06.7.5</t>
  </si>
  <si>
    <t>Developer a GUI 'attachments' element and add to  TradeBlotter and  ClientTracker</t>
  </si>
  <si>
    <t>02.6.7</t>
  </si>
  <si>
    <t>CFGen: Stand alone version for Aus RMBS</t>
  </si>
  <si>
    <t>17.10.2</t>
  </si>
  <si>
    <t>Fix (or remove) 'Bonds not in DB' report</t>
  </si>
  <si>
    <t>17.10.3</t>
  </si>
  <si>
    <t>Make existing three reports more flexible.</t>
  </si>
  <si>
    <t>11.2.28</t>
  </si>
  <si>
    <t>Meet up with Martin Price</t>
  </si>
  <si>
    <t>12.5</t>
  </si>
  <si>
    <t>12.5.1</t>
  </si>
  <si>
    <t>Sheduled job to set DB permissions and refresh Indices</t>
  </si>
  <si>
    <t>07.5.8</t>
  </si>
  <si>
    <t>06.4.2</t>
  </si>
  <si>
    <t>Find a better way to populate C# objects from DB</t>
  </si>
  <si>
    <t>06.4.3a</t>
  </si>
  <si>
    <t>06.4.3b</t>
  </si>
  <si>
    <t>Find better way to use C# objects with GUI controls</t>
  </si>
  <si>
    <t>11.2.29</t>
  </si>
  <si>
    <t>Get desk for Parth</t>
  </si>
  <si>
    <t>01.2.48</t>
  </si>
  <si>
    <t>Make POOL_ID mapping via a link table</t>
  </si>
  <si>
    <t>11.4.3</t>
  </si>
  <si>
    <t>NoHo Migration: Project Office Tasks</t>
  </si>
  <si>
    <t>11.2.30</t>
  </si>
  <si>
    <t>Get PurifyPlus license for Paresh</t>
  </si>
  <si>
    <t>01.2.49</t>
  </si>
  <si>
    <t>Use BBG Dynamic cashflows</t>
  </si>
  <si>
    <t>27</t>
  </si>
  <si>
    <t>Totoro Reconciliation</t>
  </si>
  <si>
    <t>27.1</t>
  </si>
  <si>
    <t>Gather requirements</t>
  </si>
  <si>
    <t>28</t>
  </si>
  <si>
    <t>Inventory Viewer</t>
  </si>
  <si>
    <t>28.1</t>
  </si>
  <si>
    <t>Juan</t>
  </si>
  <si>
    <t>07.5.9</t>
  </si>
  <si>
    <t>Determine correct usage for task branches</t>
  </si>
  <si>
    <t>Extend Release Manager for Review branches</t>
  </si>
  <si>
    <t>11.2.31</t>
  </si>
  <si>
    <t>Get Parth fully set up</t>
  </si>
  <si>
    <t>11.2.32</t>
  </si>
  <si>
    <t>Develop plan for Parth</t>
  </si>
  <si>
    <t>11.2.33</t>
  </si>
  <si>
    <t>Figure out scope and priority for Power PT Monthly summary</t>
  </si>
  <si>
    <t>09.8</t>
  </si>
  <si>
    <t>09.8.1</t>
  </si>
  <si>
    <t>Use Autosys to link to Nomura Now jobs for cache refreshes</t>
  </si>
  <si>
    <t>24.2</t>
  </si>
  <si>
    <t>24.2.1</t>
  </si>
  <si>
    <t>Fix Client Data Filter issue and set EntryDate to null for duplicates</t>
  </si>
  <si>
    <t>11.4.4</t>
  </si>
  <si>
    <t>Price monitor</t>
  </si>
  <si>
    <t>29</t>
  </si>
  <si>
    <t>29.1</t>
  </si>
  <si>
    <t>(Compare Blotter and matrix/markit prices and alert)</t>
  </si>
  <si>
    <t>17.10.4</t>
  </si>
  <si>
    <t>Trade Blotter Release 5</t>
  </si>
  <si>
    <t>08.13</t>
  </si>
  <si>
    <t>Database management</t>
  </si>
  <si>
    <t>08.13.1</t>
  </si>
  <si>
    <t>10.6</t>
  </si>
  <si>
    <t>10.6.1</t>
  </si>
  <si>
    <t>Find a way to handle Fingal Exceptions</t>
  </si>
  <si>
    <t>01.2.50</t>
  </si>
  <si>
    <t>Fix bugs for Ajay</t>
  </si>
  <si>
    <t>Trader Runs to Bloomberg</t>
  </si>
  <si>
    <t>30</t>
  </si>
  <si>
    <t>30.1</t>
  </si>
  <si>
    <t>First Build</t>
  </si>
  <si>
    <t>30.1.1</t>
  </si>
  <si>
    <t>29.1.1</t>
  </si>
  <si>
    <t>Parth</t>
  </si>
  <si>
    <t>NoHo Migration: DR test before migration</t>
  </si>
  <si>
    <t>11.4.5</t>
  </si>
  <si>
    <t>NoHo Migration: Database migration</t>
  </si>
  <si>
    <t>NoHo migration</t>
  </si>
  <si>
    <t>31</t>
  </si>
  <si>
    <t>31.1</t>
  </si>
  <si>
    <t>31.1.1</t>
  </si>
  <si>
    <t>01.2.51</t>
  </si>
  <si>
    <t>Cashflow generator to not report errors on bonds where the current factor is now zero, and to send them to radial.</t>
  </si>
  <si>
    <t>01.2.52</t>
  </si>
  <si>
    <t>Cashflow generator should not report warning when everything is fine</t>
  </si>
  <si>
    <t>Remove dependancy on DealsDbDataAccessLayer from DealsDB App - replace with DealsDbOOLayer.</t>
  </si>
  <si>
    <t>01.2.53</t>
  </si>
  <si>
    <t>08.14</t>
  </si>
  <si>
    <t>Environment</t>
  </si>
  <si>
    <t>08.14.1</t>
  </si>
  <si>
    <t>Slow Mumbai network issue</t>
  </si>
  <si>
    <t>06.12</t>
  </si>
  <si>
    <t>SVN Wrapper library</t>
  </si>
  <si>
    <t>06.12.1</t>
  </si>
  <si>
    <t>Modify to take svn login credentials from config</t>
  </si>
  <si>
    <t>Daily Book Marking for MIS (AVR)</t>
  </si>
  <si>
    <t>31.2</t>
  </si>
  <si>
    <t>View historic AVR prices for any bond.</t>
  </si>
  <si>
    <t>31.2.1</t>
  </si>
  <si>
    <t>26.1.3</t>
  </si>
  <si>
    <t>BBG Feed: Investigate using BBG Accessor for application usage</t>
  </si>
  <si>
    <t>11.4.1b</t>
  </si>
  <si>
    <t>11.4.1a</t>
  </si>
  <si>
    <t>(15) Integrate Intex Deal Models with Cashflow Generator (Aus RMBS)</t>
  </si>
  <si>
    <t>21.5.10</t>
  </si>
  <si>
    <t>Model2Intex: Final review</t>
  </si>
  <si>
    <t>Model2Intex: Initial Team review</t>
  </si>
  <si>
    <t>Sourcing Bloomberg Data correctly</t>
  </si>
  <si>
    <t>LTV Strat tool time series</t>
  </si>
  <si>
    <t>16.12.2</t>
  </si>
  <si>
    <t>16.12.3</t>
  </si>
  <si>
    <t>16.12.5</t>
  </si>
  <si>
    <t>QDB Rates: Implement</t>
  </si>
  <si>
    <t>QDB Rates: Review</t>
  </si>
  <si>
    <t>QDB Rates: Release</t>
  </si>
  <si>
    <t>QDB Rates: UAT</t>
  </si>
  <si>
    <t>16.12.4</t>
  </si>
  <si>
    <t>First Model2Intex integration - GUI for Strategy</t>
  </si>
  <si>
    <t>AVR project</t>
  </si>
  <si>
    <t>17.10.5</t>
  </si>
  <si>
    <t>31.1.2</t>
  </si>
  <si>
    <t>SaveOpeningRuns: Gather requirements</t>
  </si>
  <si>
    <t>30.1.2</t>
  </si>
  <si>
    <t>AVR: Gather requirements</t>
  </si>
  <si>
    <t>SaveOpeningRuns: Build app to save runs from email</t>
  </si>
  <si>
    <t>30.2</t>
  </si>
  <si>
    <t>GUI App to allow runs to be entered and edited.</t>
  </si>
  <si>
    <t>30.2.1</t>
  </si>
  <si>
    <t>OpeningRunsGUI: Design</t>
  </si>
  <si>
    <t>30.2.2</t>
  </si>
  <si>
    <t>OpeningRunsGUI: Implement</t>
  </si>
  <si>
    <t>Blotter: Add CoverPx functionality</t>
  </si>
  <si>
    <t>AVR: Design application</t>
  </si>
  <si>
    <t>06.13</t>
  </si>
  <si>
    <t>Fingal Wrapper</t>
  </si>
  <si>
    <t>06.13.1</t>
  </si>
  <si>
    <t>Move Fingal functions in Common.Utilities to Fingal Wrapper</t>
  </si>
  <si>
    <t>06.13.2</t>
  </si>
  <si>
    <t>06.13.3</t>
  </si>
  <si>
    <t>Remove exception class 'ABSFingalProxyWrapperException'</t>
  </si>
  <si>
    <t>Consider save Fingal Market to our DB rather than to file.</t>
  </si>
  <si>
    <t>06.13.4</t>
  </si>
  <si>
    <t>Consider using 'new' Fingal .Net API.</t>
  </si>
  <si>
    <t>06.13.5</t>
  </si>
  <si>
    <t>Add PaymentPriority to Matrix Pricing</t>
  </si>
  <si>
    <t>01.2.54</t>
  </si>
  <si>
    <t>01.2.55</t>
  </si>
  <si>
    <t>Add 'OriginalPaymentPriority’ for each bond</t>
  </si>
  <si>
    <t>04.10.31</t>
  </si>
  <si>
    <t>04.10.32</t>
  </si>
  <si>
    <t>Add 'Bulk upload' functionality to L3 on Matrix GUI, to allow many isins to be set easily by users.</t>
  </si>
  <si>
    <t>Get ODBCConfig working again</t>
  </si>
  <si>
    <t>11.2.34</t>
  </si>
  <si>
    <t>16.5.2</t>
  </si>
  <si>
    <t>Add ECB lending data</t>
  </si>
  <si>
    <t>UK Prime page for Nomura Now</t>
  </si>
  <si>
    <t>09.8.2</t>
  </si>
  <si>
    <t>Gather requirements and make plan for UK Prime Page</t>
  </si>
  <si>
    <t>04.10.33</t>
  </si>
  <si>
    <t>Implement a regression test mechanism</t>
  </si>
  <si>
    <t>25.2</t>
  </si>
  <si>
    <t>Fully Automate Markit Price Feed</t>
  </si>
  <si>
    <t>25.2.1</t>
  </si>
  <si>
    <t>19.5.6</t>
  </si>
  <si>
    <t>Intex deals are out of date</t>
  </si>
  <si>
    <t>Add 'UnitTest' for FingalLoader project for CodeBaseChecker</t>
  </si>
  <si>
    <t>04.10.34</t>
  </si>
  <si>
    <t>Add unit tests to UnitTest project for CodeBaseChecker</t>
  </si>
  <si>
    <t>21.6</t>
  </si>
  <si>
    <t>21.6.1</t>
  </si>
  <si>
    <t>07.2.5</t>
  </si>
  <si>
    <t>Make schema saver figure out it's own environment and only save the schema for the environment that it is running for,</t>
  </si>
  <si>
    <t>19.5.7</t>
  </si>
  <si>
    <t xml:space="preserve">Download INE population statistics </t>
  </si>
  <si>
    <t>16.9.2</t>
  </si>
  <si>
    <t>Productionise Italian Land Registry Downloader</t>
  </si>
  <si>
    <t>08.14.2</t>
  </si>
  <si>
    <t>Remove all mention of specific environments from the registry/environment variables.</t>
  </si>
  <si>
    <t>06.9.4</t>
  </si>
  <si>
    <t>Make an exception be thrown if databases from more than one server are accessed, except in special circumstances.</t>
  </si>
  <si>
    <t>06.9.5</t>
  </si>
  <si>
    <t>Modify Environment Helper so that is returns an enum for the environment (throws if it is ambiguous), also a new method to return the EnvironmentDescription as a string.</t>
  </si>
  <si>
    <t>IntegrationService: Design integration mechanisms</t>
  </si>
  <si>
    <t>IntegrationService:Build integration architecture</t>
  </si>
  <si>
    <t>IntegrationService:Incorporate into Trade Blotter, CommentViewer and DealAnalyser</t>
  </si>
  <si>
    <t>IntegrationService:Testing and UAT</t>
  </si>
  <si>
    <t>IntegrationService:Code review and resulting changes</t>
  </si>
  <si>
    <t>IntegrationService:Release to production</t>
  </si>
  <si>
    <t>01.2.56</t>
  </si>
  <si>
    <t>Add Warning when saving a bond if FX rate is not set</t>
  </si>
  <si>
    <t>Add Cashflow generation source field for each bond</t>
  </si>
  <si>
    <t>06.13.6</t>
  </si>
  <si>
    <t>Modify Fingal Market File name for date format 'YYYYMMDD'</t>
  </si>
  <si>
    <t>06.3.4</t>
  </si>
  <si>
    <t>Make database calls retry 3 times upon a deadlock</t>
  </si>
  <si>
    <t>16.7.9</t>
  </si>
  <si>
    <t>16.7.10</t>
  </si>
  <si>
    <t>Elaborate wiki for Spanish INE download data</t>
  </si>
  <si>
    <t>Elabortate log contents for Spanish INE download data</t>
  </si>
  <si>
    <t>06.13.7</t>
  </si>
  <si>
    <t>Change Fingal wrapper interface so that it does not return any values of type 'object'</t>
  </si>
  <si>
    <t>Infrastructure</t>
  </si>
  <si>
    <t>32</t>
  </si>
  <si>
    <t>Mid/Back office data source</t>
  </si>
  <si>
    <t>32.1</t>
  </si>
  <si>
    <t>Formulate plan</t>
  </si>
  <si>
    <t>32.1.1</t>
  </si>
  <si>
    <t>Define approach</t>
  </si>
  <si>
    <t>32.1.2</t>
  </si>
  <si>
    <t>Produce detailed plan</t>
  </si>
  <si>
    <t>30.1.3</t>
  </si>
  <si>
    <t>Fixes to OpeningRuns App</t>
  </si>
  <si>
    <t>08.01.7</t>
  </si>
  <si>
    <t>SAS EG looses connections for Danny</t>
  </si>
  <si>
    <t>01.3.14</t>
  </si>
  <si>
    <t>Various DealsDB clean up for end of 2010 Outlook report</t>
  </si>
  <si>
    <t>07.5.10</t>
  </si>
  <si>
    <t>Get dataservers for QA and Stage</t>
  </si>
  <si>
    <t>07.1.3</t>
  </si>
  <si>
    <t>Make trunk build cleanly with CodeBaseChecker</t>
  </si>
  <si>
    <t>Nei</t>
  </si>
  <si>
    <t>Coordinate moving jobs to Autosys</t>
  </si>
  <si>
    <t>11.2.35</t>
  </si>
  <si>
    <t>Get Intex 5.0.0.6 packaged and released</t>
  </si>
  <si>
    <t>11.2.36</t>
  </si>
  <si>
    <t>Get PurifyPlus packaged</t>
  </si>
  <si>
    <t>07.5.11</t>
  </si>
  <si>
    <t>Get individual dev data server for Mumbai</t>
  </si>
  <si>
    <t>04.10.35</t>
  </si>
  <si>
    <t>Make 'businessDate' the actual COB date, not the run date</t>
  </si>
  <si>
    <t>Scenario Rate Provider</t>
  </si>
  <si>
    <t>ScenarioRateProvider: Define requirements and plan</t>
  </si>
  <si>
    <t>21.6.2</t>
  </si>
  <si>
    <t>ScenarioRateProvider: Design interface to model</t>
  </si>
  <si>
    <t>21.6.3</t>
  </si>
  <si>
    <t>ScenarioRateProvider: Implement database only scenarios</t>
  </si>
  <si>
    <t>05.22</t>
  </si>
  <si>
    <t>Loan Replines from PDFs</t>
  </si>
  <si>
    <t>05.22.1</t>
  </si>
  <si>
    <t>Understand requirements</t>
  </si>
  <si>
    <t>Add 'OriginalPaymentPriority’ functionality</t>
  </si>
  <si>
    <t>08.08.2</t>
  </si>
  <si>
    <t>Have permissions to run commands such as 'sp_who'</t>
  </si>
  <si>
    <t>Have permissions to run commands such as 'sp_who' and to kill processes</t>
  </si>
  <si>
    <t>07.5.12</t>
  </si>
  <si>
    <t>08.08.3</t>
  </si>
  <si>
    <t>07.5.13</t>
  </si>
  <si>
    <t>GetQuantify working</t>
  </si>
  <si>
    <t>07.2.6</t>
  </si>
  <si>
    <t>Make scripter produce SQL scripts that can be directly run on the server without modification.</t>
  </si>
  <si>
    <t>07.5.14</t>
  </si>
  <si>
    <t>Move to Firm SVN repository rather than Radial</t>
  </si>
  <si>
    <t>Date</t>
  </si>
  <si>
    <t>21.7</t>
  </si>
  <si>
    <t>21.7.1</t>
  </si>
  <si>
    <t>Performance problem on David's machine</t>
  </si>
  <si>
    <t>21.5.11</t>
  </si>
  <si>
    <t>08.08.4</t>
  </si>
  <si>
    <t>SAS loses connections to database</t>
  </si>
  <si>
    <t>08.10.3</t>
  </si>
  <si>
    <t>08.08.5</t>
  </si>
  <si>
    <t>Get Support Rota working</t>
  </si>
  <si>
    <t>Parmendra</t>
  </si>
  <si>
    <t>01.3.15</t>
  </si>
  <si>
    <t>Find a way to get Fixed (BBG Corp Key) bonds set up in our database.</t>
  </si>
  <si>
    <t>05.18.9</t>
  </si>
  <si>
    <t>Implement rules for Resloc</t>
  </si>
  <si>
    <t>26.1.4</t>
  </si>
  <si>
    <t>BBG Feed: Develop feed processes</t>
  </si>
  <si>
    <t>Feed 2 Market: Requirements and Design</t>
  </si>
  <si>
    <t>25.3</t>
  </si>
  <si>
    <t>Price feed from Markit</t>
  </si>
  <si>
    <t>Feed From Market: Requirements and Design</t>
  </si>
  <si>
    <t>Feed From Market: Develop</t>
  </si>
  <si>
    <t>Feed From Market: Test</t>
  </si>
  <si>
    <t>Feed From Market: Review</t>
  </si>
  <si>
    <t>Feed From Market: Release</t>
  </si>
  <si>
    <t>Feed From Market: Back populate missing data</t>
  </si>
  <si>
    <t>25.3.1</t>
  </si>
  <si>
    <t>25.3.2</t>
  </si>
  <si>
    <t>25.3.3</t>
  </si>
  <si>
    <t>25.3.4</t>
  </si>
  <si>
    <t>25.3.5</t>
  </si>
  <si>
    <t>25.3.6</t>
  </si>
  <si>
    <t>25.2.2</t>
  </si>
  <si>
    <t>25.2.3</t>
  </si>
  <si>
    <t>25.2.5</t>
  </si>
  <si>
    <t>25.2.4</t>
  </si>
  <si>
    <t>Feed 2 Market: Develop</t>
  </si>
  <si>
    <t>Feed 2 Market: Test</t>
  </si>
  <si>
    <t>Feed 2 Market: Review</t>
  </si>
  <si>
    <t>Feed 2 Market: Release</t>
  </si>
  <si>
    <t>Handle margin step ups</t>
  </si>
  <si>
    <t>01.2.57</t>
  </si>
  <si>
    <t>Represent bond margin step ups in the DealsDB</t>
  </si>
  <si>
    <t>01.2.58</t>
  </si>
  <si>
    <t>01.2.59</t>
  </si>
  <si>
    <t>Produce spec for XML changes to Radial for margin step ups</t>
  </si>
  <si>
    <t>Modify feed to Radial to include margin step ups</t>
  </si>
  <si>
    <t>10.1.11</t>
  </si>
  <si>
    <t>Radial to handle margin step ups</t>
  </si>
  <si>
    <t>04.10.36</t>
  </si>
  <si>
    <t>Matrix Pricer to handle Margin Step ups</t>
  </si>
  <si>
    <t>Model2Intex: Implement Loan Compression/Aggregation for performance</t>
  </si>
  <si>
    <t>21.5.12</t>
  </si>
  <si>
    <t>Model2Intex: Enable scenarios</t>
  </si>
  <si>
    <t>21.7.2</t>
  </si>
  <si>
    <t>Presentation to Mumbai Management team</t>
  </si>
  <si>
    <t>31.1.3</t>
  </si>
  <si>
    <t>Figure out a better support approach for production support</t>
  </si>
  <si>
    <t>AVR: Code Review</t>
  </si>
  <si>
    <t>31.1.4</t>
  </si>
  <si>
    <t>AVR: User Testing</t>
  </si>
  <si>
    <t>18.1.10</t>
  </si>
  <si>
    <t>18.1.09</t>
  </si>
  <si>
    <t>18.1.08</t>
  </si>
  <si>
    <t>18.1.07</t>
  </si>
  <si>
    <t>18.1.06</t>
  </si>
  <si>
    <t>18.1.05</t>
  </si>
  <si>
    <t>18.1.04</t>
  </si>
  <si>
    <t>18.1.03</t>
  </si>
  <si>
    <t>18.1.02</t>
  </si>
  <si>
    <t>18.1.01</t>
  </si>
  <si>
    <t>RRA Enhancements from Danny</t>
  </si>
  <si>
    <t>07.6</t>
  </si>
  <si>
    <t>Database Management</t>
  </si>
  <si>
    <t>07.6.1</t>
  </si>
  <si>
    <t>Get Weekly copy of Prod to Stage DB in place</t>
  </si>
  <si>
    <t>07.6.2</t>
  </si>
  <si>
    <t>Get easy way to copy Prod to QA + DEV on demand</t>
  </si>
  <si>
    <t>08.10.4</t>
  </si>
  <si>
    <t>Review Autosys setup</t>
  </si>
  <si>
    <t>09.8.3</t>
  </si>
  <si>
    <t>Back load Granite AAA prices</t>
  </si>
  <si>
    <t>05.18.10</t>
  </si>
  <si>
    <t>Implement rule changes form Danny</t>
  </si>
  <si>
    <t>06.9.6</t>
  </si>
  <si>
    <t>Find a way to determine the Current Business Date for batch jobs</t>
  </si>
  <si>
    <t>22.3</t>
  </si>
  <si>
    <t>Effective Loan loading</t>
  </si>
  <si>
    <t>22.3.1</t>
  </si>
  <si>
    <t>Determine how to make loan loading monitoring effective</t>
  </si>
  <si>
    <t>01.2.60</t>
  </si>
  <si>
    <t>Handle Deal re-issuance</t>
  </si>
  <si>
    <t>06.11.2</t>
  </si>
  <si>
    <t>Allow ABSConfig to save to DB</t>
  </si>
  <si>
    <t>14.4.3</t>
  </si>
  <si>
    <t>Enhancements suggested by Danny</t>
  </si>
  <si>
    <t>09.3.6</t>
  </si>
  <si>
    <t>Respond to Danny's comments</t>
  </si>
  <si>
    <t>04.10.37</t>
  </si>
  <si>
    <t>Fix WAL calculation problem</t>
  </si>
  <si>
    <t>03.6.8</t>
  </si>
  <si>
    <t>08.01.8</t>
  </si>
  <si>
    <t>Investigate JMP upgrade</t>
  </si>
  <si>
    <t>08.10.2a</t>
  </si>
  <si>
    <t>08.10.2b</t>
  </si>
  <si>
    <t>08.10.2c</t>
  </si>
  <si>
    <t>04.10.38</t>
  </si>
  <si>
    <t>Allow bulk upload for L3 Matrix data on GUI</t>
  </si>
  <si>
    <t>01.2.61</t>
  </si>
  <si>
    <t>Enable Deals DB to hold more complex assumption for generating Intex Cashflows (to be spec'ed by Zhuu)</t>
  </si>
  <si>
    <t>01.2.62</t>
  </si>
  <si>
    <t>Deals DB and Cashflow generator to generate Intex Cashflows with complex assumptions</t>
  </si>
  <si>
    <t>08.10.5</t>
  </si>
  <si>
    <t>Figure out how Autosys scripts can be placed into SVN</t>
  </si>
  <si>
    <t>02.5.2</t>
  </si>
  <si>
    <t>Expand scraper for Reneesh</t>
  </si>
  <si>
    <t>Reneesh</t>
  </si>
  <si>
    <t>11.5.5</t>
  </si>
  <si>
    <t>Document SP more fully SPs used by Nomura Now</t>
  </si>
  <si>
    <t>31.1.5</t>
  </si>
  <si>
    <t>AVR: Release</t>
  </si>
  <si>
    <t>06.14</t>
  </si>
  <si>
    <t>BBS Wrapper</t>
  </si>
  <si>
    <t>Make BBS library retry is it fails</t>
  </si>
  <si>
    <t>06.14.1</t>
  </si>
  <si>
    <t>26.1.5</t>
  </si>
  <si>
    <t xml:space="preserve">BBG Feed: Release to Production </t>
  </si>
  <si>
    <t>23.2</t>
  </si>
  <si>
    <t>Modify to use the BBG QDB Bond Feed</t>
  </si>
  <si>
    <t>23.2.1</t>
  </si>
  <si>
    <t>Use the BBG QDB Bond Feed</t>
  </si>
  <si>
    <t>23.2.2</t>
  </si>
  <si>
    <t>Review and release</t>
  </si>
  <si>
    <t>01.5</t>
  </si>
  <si>
    <t>Cashflow Generator</t>
  </si>
  <si>
    <t>01.5.1</t>
  </si>
  <si>
    <t>Modify to be able to use QDB BBG data</t>
  </si>
  <si>
    <t>08.13.2</t>
  </si>
  <si>
    <t>Remove old DB connection strings from Config DB</t>
  </si>
  <si>
    <t>11.2.37</t>
  </si>
  <si>
    <t>Get databases rebooted for trace flags</t>
  </si>
  <si>
    <t>11.2.38</t>
  </si>
  <si>
    <t>Get travel to Mumbai arranged</t>
  </si>
  <si>
    <t>04.10.39</t>
  </si>
  <si>
    <t>Normalise Matrix Pricing Results data</t>
  </si>
  <si>
    <t>21.1.1</t>
  </si>
  <si>
    <t>21.1.2</t>
  </si>
  <si>
    <t>Manage first trunk/production release</t>
  </si>
  <si>
    <t>01.6</t>
  </si>
  <si>
    <t>DealsDB GUI</t>
  </si>
  <si>
    <t>01.6.1</t>
  </si>
  <si>
    <t>DealsDB GUI for Middle Office Use</t>
  </si>
  <si>
    <t>30.1.4</t>
  </si>
  <si>
    <t>Opening Runs Code Review</t>
  </si>
  <si>
    <t>07.1.4</t>
  </si>
  <si>
    <t>Move Code Base Checker to Stage</t>
  </si>
  <si>
    <t>Daily maintainance of Indices and permissions and others</t>
  </si>
  <si>
    <t>22.3.2</t>
  </si>
  <si>
    <t>EffectiveLoanLoading: Modifications to DashBoard GUI and batch</t>
  </si>
  <si>
    <t>01.6.2</t>
  </si>
  <si>
    <t>Make DealsDB GUI data entry more robust</t>
  </si>
  <si>
    <t>08.13.3</t>
  </si>
  <si>
    <t>Remove all environment specific data from Config DB</t>
  </si>
  <si>
    <t>08.10.6</t>
  </si>
  <si>
    <t>Make Autosys Stage deployment more streamlined</t>
  </si>
  <si>
    <t>Modify loader to cope with shared and varing POOL data - No need, since it incrementally adds pool data if it is missing</t>
  </si>
  <si>
    <t>03.6.9</t>
  </si>
  <si>
    <t>Bad pool performance data for HMI 2006-1X</t>
  </si>
  <si>
    <t>Get Ajay's team set up with the Deals DB</t>
  </si>
  <si>
    <t>First Prod Release</t>
  </si>
  <si>
    <t>21.7.3a</t>
  </si>
  <si>
    <t>21.7.3b</t>
  </si>
  <si>
    <t>11.2.39</t>
  </si>
  <si>
    <t>Renew SAS License 2011</t>
  </si>
  <si>
    <t>Set up autosys accounts</t>
  </si>
  <si>
    <t>01.1.3</t>
  </si>
  <si>
    <t>Set up Prod Users</t>
  </si>
  <si>
    <t>08.07.2</t>
  </si>
  <si>
    <t>16.5.3</t>
  </si>
  <si>
    <t>ECB Data</t>
  </si>
  <si>
    <t>Initial download</t>
  </si>
  <si>
    <t>20.1.6</t>
  </si>
</sst>
</file>

<file path=xl/styles.xml><?xml version="1.0" encoding="utf-8"?>
<styleSheet xmlns="http://schemas.openxmlformats.org/spreadsheetml/2006/main">
  <numFmts count="5">
    <numFmt numFmtId="164" formatCode="dd/mmm/yyyy"/>
    <numFmt numFmtId="165" formatCode="[$-409]d\-mmm\-yy;@"/>
    <numFmt numFmtId="166" formatCode="0.0"/>
    <numFmt numFmtId="167" formatCode="#0.0;\-#0.0;"/>
    <numFmt numFmtId="168" formatCode="dd\-mmm\-yy;dd\-mmm\-yy;"/>
  </numFmts>
  <fonts count="7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b/>
      <sz val="12"/>
      <name val="Arial"/>
      <family val="2"/>
    </font>
    <font>
      <i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165" fontId="0" fillId="0" borderId="0"/>
  </cellStyleXfs>
  <cellXfs count="84">
    <xf numFmtId="165" fontId="0" fillId="0" borderId="0" xfId="0"/>
    <xf numFmtId="165" fontId="0" fillId="0" borderId="0" xfId="0" applyAlignment="1">
      <alignment vertical="top"/>
    </xf>
    <xf numFmtId="165" fontId="2" fillId="0" borderId="0" xfId="0" applyFont="1" applyFill="1" applyAlignment="1">
      <alignment vertical="top"/>
    </xf>
    <xf numFmtId="165" fontId="3" fillId="0" borderId="0" xfId="0" applyFont="1"/>
    <xf numFmtId="49" fontId="3" fillId="0" borderId="0" xfId="0" applyNumberFormat="1" applyFont="1" applyAlignment="1">
      <alignment vertical="top"/>
    </xf>
    <xf numFmtId="165" fontId="3" fillId="0" borderId="0" xfId="0" applyFont="1" applyFill="1" applyAlignment="1">
      <alignment vertical="top"/>
    </xf>
    <xf numFmtId="165" fontId="3" fillId="0" borderId="0" xfId="0" applyNumberFormat="1" applyFont="1" applyAlignment="1">
      <alignment vertical="top"/>
    </xf>
    <xf numFmtId="165" fontId="3" fillId="0" borderId="0" xfId="0" applyFont="1" applyAlignment="1">
      <alignment vertical="top"/>
    </xf>
    <xf numFmtId="1" fontId="3" fillId="0" borderId="0" xfId="0" applyNumberFormat="1" applyFont="1" applyFill="1" applyAlignment="1">
      <alignment horizontal="center" vertical="top"/>
    </xf>
    <xf numFmtId="165" fontId="3" fillId="0" borderId="0" xfId="0" applyFont="1" applyFill="1" applyAlignment="1">
      <alignment vertical="top" wrapText="1"/>
    </xf>
    <xf numFmtId="15" fontId="3" fillId="0" borderId="0" xfId="0" applyNumberFormat="1" applyFont="1" applyFill="1" applyAlignment="1">
      <alignment horizontal="center" vertical="top"/>
    </xf>
    <xf numFmtId="15" fontId="3" fillId="0" borderId="0" xfId="0" applyNumberFormat="1" applyFont="1" applyAlignment="1">
      <alignment vertical="top"/>
    </xf>
    <xf numFmtId="1" fontId="3" fillId="0" borderId="0" xfId="0" applyNumberFormat="1" applyFont="1" applyAlignment="1">
      <alignment horizontal="center" vertical="top"/>
    </xf>
    <xf numFmtId="165" fontId="3" fillId="2" borderId="0" xfId="0" applyFont="1" applyFill="1" applyAlignment="1">
      <alignment vertical="top"/>
    </xf>
    <xf numFmtId="165" fontId="3" fillId="2" borderId="0" xfId="0" applyFont="1" applyFill="1" applyAlignment="1">
      <alignment vertical="top" wrapText="1"/>
    </xf>
    <xf numFmtId="15" fontId="3" fillId="2" borderId="0" xfId="0" applyNumberFormat="1" applyFont="1" applyFill="1" applyAlignment="1">
      <alignment horizontal="center" vertical="top"/>
    </xf>
    <xf numFmtId="165" fontId="3" fillId="0" borderId="0" xfId="0" applyNumberFormat="1" applyFont="1" applyAlignment="1">
      <alignment horizontal="center" vertical="top"/>
    </xf>
    <xf numFmtId="165" fontId="3" fillId="0" borderId="0" xfId="0" applyNumberFormat="1" applyFont="1" applyFill="1" applyAlignment="1">
      <alignment horizontal="center" vertical="top"/>
    </xf>
    <xf numFmtId="14" fontId="3" fillId="0" borderId="0" xfId="0" applyNumberFormat="1" applyFont="1" applyAlignment="1">
      <alignment vertical="top"/>
    </xf>
    <xf numFmtId="165" fontId="0" fillId="0" borderId="0" xfId="0" pivotButton="1"/>
    <xf numFmtId="165" fontId="0" fillId="0" borderId="0" xfId="0" applyAlignment="1">
      <alignment horizontal="left"/>
    </xf>
    <xf numFmtId="165" fontId="0" fillId="0" borderId="0" xfId="0" applyNumberFormat="1"/>
    <xf numFmtId="15" fontId="3" fillId="0" borderId="0" xfId="0" applyNumberFormat="1" applyFont="1" applyFill="1" applyAlignment="1">
      <alignment vertical="top"/>
    </xf>
    <xf numFmtId="166" fontId="2" fillId="0" borderId="0" xfId="0" applyNumberFormat="1" applyFont="1" applyFill="1" applyAlignment="1">
      <alignment vertical="top"/>
    </xf>
    <xf numFmtId="165" fontId="0" fillId="3" borderId="0" xfId="0" applyFill="1" applyAlignment="1">
      <alignment vertical="top"/>
    </xf>
    <xf numFmtId="166" fontId="0" fillId="3" borderId="0" xfId="0" applyNumberFormat="1" applyFill="1" applyAlignment="1">
      <alignment vertical="top"/>
    </xf>
    <xf numFmtId="15" fontId="0" fillId="3" borderId="0" xfId="0" applyNumberFormat="1" applyFill="1" applyAlignment="1">
      <alignment vertical="top"/>
    </xf>
    <xf numFmtId="15" fontId="3" fillId="3" borderId="0" xfId="0" applyNumberFormat="1" applyFont="1" applyFill="1" applyAlignment="1">
      <alignment vertical="top"/>
    </xf>
    <xf numFmtId="166" fontId="3" fillId="3" borderId="0" xfId="0" applyNumberFormat="1" applyFont="1" applyFill="1" applyAlignment="1">
      <alignment vertical="top"/>
    </xf>
    <xf numFmtId="49" fontId="2" fillId="3" borderId="0" xfId="0" applyNumberFormat="1" applyFont="1" applyFill="1" applyAlignment="1">
      <alignment vertical="top"/>
    </xf>
    <xf numFmtId="165" fontId="2" fillId="0" borderId="0" xfId="0" applyFont="1" applyFill="1" applyAlignment="1">
      <alignment vertical="top" wrapText="1"/>
    </xf>
    <xf numFmtId="15" fontId="0" fillId="0" borderId="0" xfId="0" applyNumberFormat="1" applyFill="1" applyAlignment="1">
      <alignment horizontal="center" vertical="top"/>
    </xf>
    <xf numFmtId="164" fontId="0" fillId="0" borderId="0" xfId="0" applyNumberFormat="1" applyFill="1" applyAlignment="1">
      <alignment vertical="top"/>
    </xf>
    <xf numFmtId="165" fontId="0" fillId="0" borderId="0" xfId="0" applyFill="1" applyAlignment="1">
      <alignment horizontal="left" vertical="top"/>
    </xf>
    <xf numFmtId="15" fontId="0" fillId="0" borderId="0" xfId="0" applyNumberFormat="1" applyFill="1" applyAlignment="1">
      <alignment horizontal="left" vertical="top"/>
    </xf>
    <xf numFmtId="49" fontId="0" fillId="3" borderId="0" xfId="0" quotePrefix="1" applyNumberFormat="1" applyFill="1" applyAlignment="1">
      <alignment vertical="top"/>
    </xf>
    <xf numFmtId="165" fontId="5" fillId="0" borderId="0" xfId="0" applyFont="1" applyAlignment="1">
      <alignment vertical="top" wrapText="1"/>
    </xf>
    <xf numFmtId="15" fontId="0" fillId="2" borderId="0" xfId="0" applyNumberFormat="1" applyFill="1" applyAlignment="1">
      <alignment horizontal="center" vertical="top"/>
    </xf>
    <xf numFmtId="164" fontId="0" fillId="2" borderId="0" xfId="0" applyNumberFormat="1" applyFill="1" applyAlignment="1">
      <alignment vertical="top"/>
    </xf>
    <xf numFmtId="165" fontId="0" fillId="2" borderId="0" xfId="0" applyFill="1" applyAlignment="1">
      <alignment horizontal="left" vertical="top"/>
    </xf>
    <xf numFmtId="15" fontId="0" fillId="2" borderId="0" xfId="0" applyNumberFormat="1" applyFill="1" applyAlignment="1">
      <alignment horizontal="left" vertical="top"/>
    </xf>
    <xf numFmtId="49" fontId="3" fillId="3" borderId="0" xfId="0" quotePrefix="1" applyNumberFormat="1" applyFont="1" applyFill="1" applyAlignment="1">
      <alignment vertical="top"/>
    </xf>
    <xf numFmtId="165" fontId="0" fillId="0" borderId="0" xfId="0" applyAlignment="1">
      <alignment vertical="top" wrapText="1"/>
    </xf>
    <xf numFmtId="49" fontId="3" fillId="3" borderId="0" xfId="0" applyNumberFormat="1" applyFont="1" applyFill="1" applyAlignment="1">
      <alignment vertical="top"/>
    </xf>
    <xf numFmtId="165" fontId="3" fillId="0" borderId="0" xfId="0" applyFont="1" applyAlignment="1">
      <alignment vertical="top" wrapText="1"/>
    </xf>
    <xf numFmtId="165" fontId="4" fillId="0" borderId="0" xfId="0" applyFont="1" applyAlignment="1">
      <alignment vertical="top" wrapText="1"/>
    </xf>
    <xf numFmtId="49" fontId="0" fillId="3" borderId="0" xfId="0" applyNumberFormat="1" applyFill="1" applyAlignment="1">
      <alignment vertical="top"/>
    </xf>
    <xf numFmtId="165" fontId="2" fillId="0" borderId="0" xfId="0" applyFont="1" applyAlignment="1">
      <alignment vertical="top" wrapText="1"/>
    </xf>
    <xf numFmtId="167" fontId="3" fillId="0" borderId="0" xfId="0" applyNumberFormat="1" applyFont="1" applyFill="1" applyAlignment="1">
      <alignment horizontal="center" vertical="top"/>
    </xf>
    <xf numFmtId="167" fontId="3" fillId="2" borderId="0" xfId="0" applyNumberFormat="1" applyFont="1" applyFill="1" applyAlignment="1">
      <alignment horizontal="center" vertical="top"/>
    </xf>
    <xf numFmtId="165" fontId="5" fillId="0" borderId="0" xfId="0" applyFont="1"/>
    <xf numFmtId="165" fontId="6" fillId="0" borderId="0" xfId="0" applyNumberFormat="1" applyFont="1" applyAlignment="1">
      <alignment vertical="top"/>
    </xf>
    <xf numFmtId="15" fontId="0" fillId="0" borderId="0" xfId="0" applyNumberFormat="1"/>
    <xf numFmtId="165" fontId="0" fillId="0" borderId="0" xfId="0" applyNumberFormat="1" applyAlignment="1">
      <alignment vertical="top"/>
    </xf>
    <xf numFmtId="168" fontId="0" fillId="0" borderId="0" xfId="0" applyNumberFormat="1" applyAlignment="1">
      <alignment vertical="top"/>
    </xf>
    <xf numFmtId="168" fontId="0" fillId="2" borderId="0" xfId="0" applyNumberFormat="1" applyFill="1" applyAlignment="1">
      <alignment horizontal="left" vertical="top"/>
    </xf>
    <xf numFmtId="165" fontId="4" fillId="0" borderId="0" xfId="0" applyFont="1" applyAlignment="1">
      <alignment vertical="top"/>
    </xf>
    <xf numFmtId="1" fontId="3" fillId="0" borderId="0" xfId="0" applyNumberFormat="1" applyFont="1" applyFill="1" applyAlignment="1">
      <alignment vertical="top"/>
    </xf>
    <xf numFmtId="1" fontId="0" fillId="0" borderId="0" xfId="0" applyNumberFormat="1" applyAlignment="1">
      <alignment vertical="top"/>
    </xf>
    <xf numFmtId="1" fontId="3" fillId="0" borderId="0" xfId="0" applyNumberFormat="1" applyFont="1" applyFill="1" applyAlignment="1">
      <alignment horizontal="left" vertical="top"/>
    </xf>
    <xf numFmtId="1" fontId="3" fillId="0" borderId="0" xfId="0" applyNumberFormat="1" applyFont="1" applyAlignment="1">
      <alignment vertical="top"/>
    </xf>
    <xf numFmtId="1" fontId="3" fillId="0" borderId="0" xfId="0" applyNumberFormat="1" applyFont="1" applyAlignment="1">
      <alignment horizontal="left" vertical="top"/>
    </xf>
    <xf numFmtId="2" fontId="0" fillId="0" borderId="0" xfId="0" applyNumberFormat="1"/>
    <xf numFmtId="2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0" fillId="0" borderId="0" xfId="0" applyNumberFormat="1"/>
    <xf numFmtId="0" fontId="3" fillId="0" borderId="0" xfId="0" applyNumberFormat="1" applyFont="1"/>
    <xf numFmtId="0" fontId="0" fillId="0" borderId="0" xfId="0" applyNumberFormat="1" applyAlignment="1">
      <alignment horizontal="left"/>
    </xf>
    <xf numFmtId="49" fontId="2" fillId="0" borderId="0" xfId="0" applyNumberFormat="1" applyFont="1" applyAlignment="1">
      <alignment vertical="top"/>
    </xf>
    <xf numFmtId="165" fontId="3" fillId="2" borderId="0" xfId="0" applyFont="1" applyFill="1" applyAlignment="1">
      <alignment horizontal="center" vertical="top"/>
    </xf>
    <xf numFmtId="0" fontId="3" fillId="2" borderId="0" xfId="0" applyNumberFormat="1" applyFont="1" applyFill="1" applyAlignment="1">
      <alignment horizontal="center" vertical="top"/>
    </xf>
    <xf numFmtId="0" fontId="3" fillId="2" borderId="1" xfId="0" applyNumberFormat="1" applyFont="1" applyFill="1" applyBorder="1" applyAlignment="1">
      <alignment horizontal="center" vertical="top"/>
    </xf>
    <xf numFmtId="165" fontId="3" fillId="2" borderId="1" xfId="0" applyFont="1" applyFill="1" applyBorder="1" applyAlignment="1">
      <alignment vertical="top"/>
    </xf>
    <xf numFmtId="165" fontId="3" fillId="2" borderId="1" xfId="0" applyFont="1" applyFill="1" applyBorder="1" applyAlignment="1">
      <alignment vertical="top" wrapText="1"/>
    </xf>
    <xf numFmtId="49" fontId="3" fillId="0" borderId="1" xfId="0" applyNumberFormat="1" applyFont="1" applyBorder="1" applyAlignment="1">
      <alignment vertical="top"/>
    </xf>
    <xf numFmtId="165" fontId="2" fillId="0" borderId="0" xfId="0" applyFont="1" applyAlignment="1">
      <alignment vertical="top"/>
    </xf>
    <xf numFmtId="165" fontId="2" fillId="0" borderId="0" xfId="0" applyFont="1" applyAlignment="1">
      <alignment horizontal="center" vertical="top"/>
    </xf>
    <xf numFmtId="165" fontId="0" fillId="0" borderId="1" xfId="0" applyBorder="1" applyAlignment="1">
      <alignment vertical="top"/>
    </xf>
    <xf numFmtId="165" fontId="0" fillId="0" borderId="1" xfId="0" applyBorder="1" applyAlignment="1">
      <alignment horizontal="center" vertical="top"/>
    </xf>
    <xf numFmtId="165" fontId="0" fillId="0" borderId="1" xfId="0" applyBorder="1" applyAlignment="1">
      <alignment vertical="top" wrapText="1"/>
    </xf>
    <xf numFmtId="165" fontId="0" fillId="0" borderId="0" xfId="0" applyAlignment="1">
      <alignment horizontal="center" vertical="top"/>
    </xf>
    <xf numFmtId="165" fontId="3" fillId="0" borderId="1" xfId="0" applyFont="1" applyBorder="1" applyAlignment="1">
      <alignment vertical="top"/>
    </xf>
    <xf numFmtId="165" fontId="6" fillId="0" borderId="0" xfId="0" applyFont="1" applyAlignment="1">
      <alignment vertical="top" wrapText="1"/>
    </xf>
    <xf numFmtId="49" fontId="3" fillId="0" borderId="0" xfId="0" applyNumberFormat="1" applyFont="1" applyFill="1" applyAlignment="1">
      <alignment vertical="top"/>
    </xf>
  </cellXfs>
  <cellStyles count="1">
    <cellStyle name="Normal" xfId="0" builtinId="0"/>
  </cellStyles>
  <dxfs count="263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pivotSource>
    <c:name>[WorkList.xlsm]Summary!PivotTable1</c:name>
    <c:fmtId val="3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Summary!$B$4:$B$5</c:f>
              <c:strCache>
                <c:ptCount val="1"/>
                <c:pt idx="0">
                  <c:v>Tentative</c:v>
                </c:pt>
              </c:strCache>
            </c:strRef>
          </c:tx>
          <c:cat>
            <c:strRef>
              <c:f>Summary!$A$6:$A$11</c:f>
              <c:strCache>
                <c:ptCount val="5"/>
                <c:pt idx="0">
                  <c:v>1-LOW</c:v>
                </c:pt>
                <c:pt idx="1">
                  <c:v>2-LOW</c:v>
                </c:pt>
                <c:pt idx="2">
                  <c:v>3-MED</c:v>
                </c:pt>
                <c:pt idx="3">
                  <c:v>4-HIGH</c:v>
                </c:pt>
                <c:pt idx="4">
                  <c:v>5-HIGH</c:v>
                </c:pt>
              </c:strCache>
            </c:strRef>
          </c:cat>
          <c:val>
            <c:numRef>
              <c:f>Summary!$B$6:$B$11</c:f>
              <c:numCache>
                <c:formatCode>0.00</c:formatCode>
                <c:ptCount val="5"/>
                <c:pt idx="1">
                  <c:v>3</c:v>
                </c:pt>
                <c:pt idx="2">
                  <c:v>1</c:v>
                </c:pt>
              </c:numCache>
            </c:numRef>
          </c:val>
        </c:ser>
        <c:ser>
          <c:idx val="1"/>
          <c:order val="1"/>
          <c:tx>
            <c:strRef>
              <c:f>Summary!$C$4:$C$5</c:f>
              <c:strCache>
                <c:ptCount val="1"/>
                <c:pt idx="0">
                  <c:v>Not Started</c:v>
                </c:pt>
              </c:strCache>
            </c:strRef>
          </c:tx>
          <c:cat>
            <c:strRef>
              <c:f>Summary!$A$6:$A$11</c:f>
              <c:strCache>
                <c:ptCount val="5"/>
                <c:pt idx="0">
                  <c:v>1-LOW</c:v>
                </c:pt>
                <c:pt idx="1">
                  <c:v>2-LOW</c:v>
                </c:pt>
                <c:pt idx="2">
                  <c:v>3-MED</c:v>
                </c:pt>
                <c:pt idx="3">
                  <c:v>4-HIGH</c:v>
                </c:pt>
                <c:pt idx="4">
                  <c:v>5-HIGH</c:v>
                </c:pt>
              </c:strCache>
            </c:strRef>
          </c:cat>
          <c:val>
            <c:numRef>
              <c:f>Summary!$C$6:$C$11</c:f>
              <c:numCache>
                <c:formatCode>0.00</c:formatCode>
                <c:ptCount val="5"/>
                <c:pt idx="0">
                  <c:v>20</c:v>
                </c:pt>
                <c:pt idx="1">
                  <c:v>37</c:v>
                </c:pt>
                <c:pt idx="2">
                  <c:v>65</c:v>
                </c:pt>
                <c:pt idx="3">
                  <c:v>22</c:v>
                </c:pt>
                <c:pt idx="4">
                  <c:v>2</c:v>
                </c:pt>
              </c:numCache>
            </c:numRef>
          </c:val>
        </c:ser>
        <c:ser>
          <c:idx val="2"/>
          <c:order val="2"/>
          <c:tx>
            <c:strRef>
              <c:f>Summary!$D$4:$D$5</c:f>
              <c:strCache>
                <c:ptCount val="1"/>
                <c:pt idx="0">
                  <c:v>In Progress</c:v>
                </c:pt>
              </c:strCache>
            </c:strRef>
          </c:tx>
          <c:cat>
            <c:strRef>
              <c:f>Summary!$A$6:$A$11</c:f>
              <c:strCache>
                <c:ptCount val="5"/>
                <c:pt idx="0">
                  <c:v>1-LOW</c:v>
                </c:pt>
                <c:pt idx="1">
                  <c:v>2-LOW</c:v>
                </c:pt>
                <c:pt idx="2">
                  <c:v>3-MED</c:v>
                </c:pt>
                <c:pt idx="3">
                  <c:v>4-HIGH</c:v>
                </c:pt>
                <c:pt idx="4">
                  <c:v>5-HIGH</c:v>
                </c:pt>
              </c:strCache>
            </c:strRef>
          </c:cat>
          <c:val>
            <c:numRef>
              <c:f>Summary!$D$6:$D$11</c:f>
              <c:numCache>
                <c:formatCode>0.00</c:formatCode>
                <c:ptCount val="5"/>
                <c:pt idx="1">
                  <c:v>4</c:v>
                </c:pt>
                <c:pt idx="2">
                  <c:v>18</c:v>
                </c:pt>
                <c:pt idx="3">
                  <c:v>19</c:v>
                </c:pt>
                <c:pt idx="4">
                  <c:v>8</c:v>
                </c:pt>
              </c:numCache>
            </c:numRef>
          </c:val>
        </c:ser>
        <c:ser>
          <c:idx val="3"/>
          <c:order val="3"/>
          <c:tx>
            <c:strRef>
              <c:f>Summary!$E$4:$E$5</c:f>
              <c:strCache>
                <c:ptCount val="1"/>
                <c:pt idx="0">
                  <c:v>Support</c:v>
                </c:pt>
              </c:strCache>
            </c:strRef>
          </c:tx>
          <c:cat>
            <c:strRef>
              <c:f>Summary!$A$6:$A$11</c:f>
              <c:strCache>
                <c:ptCount val="5"/>
                <c:pt idx="0">
                  <c:v>1-LOW</c:v>
                </c:pt>
                <c:pt idx="1">
                  <c:v>2-LOW</c:v>
                </c:pt>
                <c:pt idx="2">
                  <c:v>3-MED</c:v>
                </c:pt>
                <c:pt idx="3">
                  <c:v>4-HIGH</c:v>
                </c:pt>
                <c:pt idx="4">
                  <c:v>5-HIGH</c:v>
                </c:pt>
              </c:strCache>
            </c:strRef>
          </c:cat>
          <c:val>
            <c:numRef>
              <c:f>Summary!$E$6:$E$11</c:f>
              <c:numCache>
                <c:formatCode>0.00</c:formatCode>
                <c:ptCount val="5"/>
                <c:pt idx="1">
                  <c:v>1</c:v>
                </c:pt>
                <c:pt idx="3">
                  <c:v>2</c:v>
                </c:pt>
              </c:numCache>
            </c:numRef>
          </c:val>
        </c:ser>
        <c:axId val="522780032"/>
        <c:axId val="325837952"/>
      </c:barChart>
      <c:catAx>
        <c:axId val="522780032"/>
        <c:scaling>
          <c:orientation val="minMax"/>
        </c:scaling>
        <c:axPos val="b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325837952"/>
        <c:crosses val="autoZero"/>
        <c:auto val="1"/>
        <c:lblAlgn val="ctr"/>
        <c:lblOffset val="100"/>
      </c:catAx>
      <c:valAx>
        <c:axId val="325837952"/>
        <c:scaling>
          <c:orientation val="minMax"/>
        </c:scaling>
        <c:axPos val="l"/>
        <c:majorGridlines/>
        <c:numFmt formatCode="0.00" sourceLinked="1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522780032"/>
        <c:crosses val="autoZero"/>
        <c:crossBetween val="between"/>
      </c:valAx>
    </c:plotArea>
    <c:legend>
      <c:legendPos val="r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pivotSource>
    <c:name>[WorkList.xlsm]Summary!PivotTable2</c:name>
    <c:fmtId val="0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267402472126882"/>
          <c:y val="5.1400554097404488E-2"/>
          <c:w val="0.66777688045406824"/>
          <c:h val="0.79822506561679785"/>
        </c:manualLayout>
      </c:layout>
      <c:barChart>
        <c:barDir val="col"/>
        <c:grouping val="clustered"/>
        <c:ser>
          <c:idx val="0"/>
          <c:order val="0"/>
          <c:tx>
            <c:strRef>
              <c:f>Summary!$I$4:$I$5</c:f>
              <c:strCache>
                <c:ptCount val="1"/>
                <c:pt idx="0">
                  <c:v>Tentative</c:v>
                </c:pt>
              </c:strCache>
            </c:strRef>
          </c:tx>
          <c:cat>
            <c:strRef>
              <c:f>Summary!$H$6:$H$11</c:f>
              <c:strCache>
                <c:ptCount val="5"/>
                <c:pt idx="0">
                  <c:v>1-LOW</c:v>
                </c:pt>
                <c:pt idx="1">
                  <c:v>2-LOW</c:v>
                </c:pt>
                <c:pt idx="2">
                  <c:v>3-MED</c:v>
                </c:pt>
                <c:pt idx="3">
                  <c:v>4-HIGH</c:v>
                </c:pt>
                <c:pt idx="4">
                  <c:v>5-HIGH</c:v>
                </c:pt>
              </c:strCache>
            </c:strRef>
          </c:cat>
          <c:val>
            <c:numRef>
              <c:f>Summary!$I$6:$I$11</c:f>
              <c:numCache>
                <c:formatCode>0.00</c:formatCode>
                <c:ptCount val="5"/>
                <c:pt idx="1">
                  <c:v>47</c:v>
                </c:pt>
                <c:pt idx="2">
                  <c:v>180</c:v>
                </c:pt>
              </c:numCache>
            </c:numRef>
          </c:val>
        </c:ser>
        <c:ser>
          <c:idx val="1"/>
          <c:order val="1"/>
          <c:tx>
            <c:strRef>
              <c:f>Summary!$J$4:$J$5</c:f>
              <c:strCache>
                <c:ptCount val="1"/>
                <c:pt idx="0">
                  <c:v>Not Started</c:v>
                </c:pt>
              </c:strCache>
            </c:strRef>
          </c:tx>
          <c:cat>
            <c:strRef>
              <c:f>Summary!$H$6:$H$11</c:f>
              <c:strCache>
                <c:ptCount val="5"/>
                <c:pt idx="0">
                  <c:v>1-LOW</c:v>
                </c:pt>
                <c:pt idx="1">
                  <c:v>2-LOW</c:v>
                </c:pt>
                <c:pt idx="2">
                  <c:v>3-MED</c:v>
                </c:pt>
                <c:pt idx="3">
                  <c:v>4-HIGH</c:v>
                </c:pt>
                <c:pt idx="4">
                  <c:v>5-HIGH</c:v>
                </c:pt>
              </c:strCache>
            </c:strRef>
          </c:cat>
          <c:val>
            <c:numRef>
              <c:f>Summary!$J$6:$J$11</c:f>
              <c:numCache>
                <c:formatCode>0.00</c:formatCode>
                <c:ptCount val="5"/>
                <c:pt idx="0">
                  <c:v>71.5</c:v>
                </c:pt>
                <c:pt idx="1">
                  <c:v>94.5</c:v>
                </c:pt>
                <c:pt idx="2">
                  <c:v>130.5</c:v>
                </c:pt>
                <c:pt idx="3">
                  <c:v>30.7</c:v>
                </c:pt>
                <c:pt idx="4">
                  <c:v>5.0999999999999996</c:v>
                </c:pt>
              </c:numCache>
            </c:numRef>
          </c:val>
        </c:ser>
        <c:ser>
          <c:idx val="2"/>
          <c:order val="2"/>
          <c:tx>
            <c:strRef>
              <c:f>Summary!$K$4:$K$5</c:f>
              <c:strCache>
                <c:ptCount val="1"/>
                <c:pt idx="0">
                  <c:v>In Progress</c:v>
                </c:pt>
              </c:strCache>
            </c:strRef>
          </c:tx>
          <c:cat>
            <c:strRef>
              <c:f>Summary!$H$6:$H$11</c:f>
              <c:strCache>
                <c:ptCount val="5"/>
                <c:pt idx="0">
                  <c:v>1-LOW</c:v>
                </c:pt>
                <c:pt idx="1">
                  <c:v>2-LOW</c:v>
                </c:pt>
                <c:pt idx="2">
                  <c:v>3-MED</c:v>
                </c:pt>
                <c:pt idx="3">
                  <c:v>4-HIGH</c:v>
                </c:pt>
                <c:pt idx="4">
                  <c:v>5-HIGH</c:v>
                </c:pt>
              </c:strCache>
            </c:strRef>
          </c:cat>
          <c:val>
            <c:numRef>
              <c:f>Summary!$K$6:$K$11</c:f>
              <c:numCache>
                <c:formatCode>0.00</c:formatCode>
                <c:ptCount val="5"/>
                <c:pt idx="1">
                  <c:v>17</c:v>
                </c:pt>
                <c:pt idx="2">
                  <c:v>55</c:v>
                </c:pt>
                <c:pt idx="3">
                  <c:v>53.5</c:v>
                </c:pt>
                <c:pt idx="4">
                  <c:v>17.5</c:v>
                </c:pt>
              </c:numCache>
            </c:numRef>
          </c:val>
        </c:ser>
        <c:ser>
          <c:idx val="3"/>
          <c:order val="3"/>
          <c:tx>
            <c:strRef>
              <c:f>Summary!$L$4:$L$5</c:f>
              <c:strCache>
                <c:ptCount val="1"/>
                <c:pt idx="0">
                  <c:v>Support</c:v>
                </c:pt>
              </c:strCache>
            </c:strRef>
          </c:tx>
          <c:cat>
            <c:strRef>
              <c:f>Summary!$H$6:$H$11</c:f>
              <c:strCache>
                <c:ptCount val="5"/>
                <c:pt idx="0">
                  <c:v>1-LOW</c:v>
                </c:pt>
                <c:pt idx="1">
                  <c:v>2-LOW</c:v>
                </c:pt>
                <c:pt idx="2">
                  <c:v>3-MED</c:v>
                </c:pt>
                <c:pt idx="3">
                  <c:v>4-HIGH</c:v>
                </c:pt>
                <c:pt idx="4">
                  <c:v>5-HIGH</c:v>
                </c:pt>
              </c:strCache>
            </c:strRef>
          </c:cat>
          <c:val>
            <c:numRef>
              <c:f>Summary!$L$6:$L$11</c:f>
              <c:numCache>
                <c:formatCode>0.00</c:formatCode>
                <c:ptCount val="5"/>
                <c:pt idx="1">
                  <c:v>0.5</c:v>
                </c:pt>
                <c:pt idx="3">
                  <c:v>78</c:v>
                </c:pt>
              </c:numCache>
            </c:numRef>
          </c:val>
        </c:ser>
        <c:axId val="326158976"/>
        <c:axId val="326164864"/>
      </c:barChart>
      <c:catAx>
        <c:axId val="326158976"/>
        <c:scaling>
          <c:orientation val="minMax"/>
        </c:scaling>
        <c:axPos val="b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326164864"/>
        <c:crosses val="autoZero"/>
        <c:auto val="1"/>
        <c:lblAlgn val="ctr"/>
        <c:lblOffset val="100"/>
      </c:catAx>
      <c:valAx>
        <c:axId val="326164864"/>
        <c:scaling>
          <c:orientation val="minMax"/>
        </c:scaling>
        <c:axPos val="l"/>
        <c:majorGridlines/>
        <c:numFmt formatCode="0.00" sourceLinked="1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326158976"/>
        <c:crosses val="autoZero"/>
        <c:crossBetween val="between"/>
      </c:valAx>
    </c:plotArea>
    <c:legend>
      <c:legendPos val="r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pivotSource>
    <c:name>[WorkList.xlsm]Summary!PivotTable3</c:name>
    <c:fmtId val="0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Summary!$B$37:$B$38</c:f>
              <c:strCache>
                <c:ptCount val="1"/>
                <c:pt idx="0">
                  <c:v>In Progress</c:v>
                </c:pt>
              </c:strCache>
            </c:strRef>
          </c:tx>
          <c:cat>
            <c:strRef>
              <c:f>Summary!$A$39:$A$42</c:f>
              <c:strCache>
                <c:ptCount val="3"/>
                <c:pt idx="0">
                  <c:v>3-MED</c:v>
                </c:pt>
                <c:pt idx="1">
                  <c:v>4-HIGH</c:v>
                </c:pt>
                <c:pt idx="2">
                  <c:v>5-HIGH</c:v>
                </c:pt>
              </c:strCache>
            </c:strRef>
          </c:cat>
          <c:val>
            <c:numRef>
              <c:f>Summary!$B$39:$B$42</c:f>
              <c:numCache>
                <c:formatCode>0.00</c:formatCode>
                <c:ptCount val="3"/>
                <c:pt idx="0">
                  <c:v>4</c:v>
                </c:pt>
                <c:pt idx="1">
                  <c:v>4</c:v>
                </c:pt>
                <c:pt idx="2">
                  <c:v>1</c:v>
                </c:pt>
              </c:numCache>
            </c:numRef>
          </c:val>
        </c:ser>
        <c:ser>
          <c:idx val="1"/>
          <c:order val="1"/>
          <c:tx>
            <c:strRef>
              <c:f>Summary!$C$37:$C$38</c:f>
              <c:strCache>
                <c:ptCount val="1"/>
                <c:pt idx="0">
                  <c:v>Not Started</c:v>
                </c:pt>
              </c:strCache>
            </c:strRef>
          </c:tx>
          <c:cat>
            <c:strRef>
              <c:f>Summary!$A$39:$A$42</c:f>
              <c:strCache>
                <c:ptCount val="3"/>
                <c:pt idx="0">
                  <c:v>3-MED</c:v>
                </c:pt>
                <c:pt idx="1">
                  <c:v>4-HIGH</c:v>
                </c:pt>
                <c:pt idx="2">
                  <c:v>5-HIGH</c:v>
                </c:pt>
              </c:strCache>
            </c:strRef>
          </c:cat>
          <c:val>
            <c:numRef>
              <c:f>Summary!$C$39:$C$42</c:f>
              <c:numCache>
                <c:formatCode>0.00</c:formatCode>
                <c:ptCount val="3"/>
                <c:pt idx="0">
                  <c:v>28</c:v>
                </c:pt>
                <c:pt idx="1">
                  <c:v>27</c:v>
                </c:pt>
              </c:numCache>
            </c:numRef>
          </c:val>
        </c:ser>
        <c:axId val="326170112"/>
        <c:axId val="326357760"/>
      </c:barChart>
      <c:catAx>
        <c:axId val="326170112"/>
        <c:scaling>
          <c:orientation val="minMax"/>
        </c:scaling>
        <c:axPos val="b"/>
        <c:tickLblPos val="nextTo"/>
        <c:crossAx val="326357760"/>
        <c:crosses val="autoZero"/>
        <c:auto val="1"/>
        <c:lblAlgn val="ctr"/>
        <c:lblOffset val="100"/>
      </c:catAx>
      <c:valAx>
        <c:axId val="326357760"/>
        <c:scaling>
          <c:orientation val="minMax"/>
        </c:scaling>
        <c:axPos val="l"/>
        <c:majorGridlines/>
        <c:numFmt formatCode="0.00" sourceLinked="1"/>
        <c:tickLblPos val="nextTo"/>
        <c:crossAx val="326170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pivotSource>
    <c:name>[WorkList.xlsm]Summary!PivotTable4</c:name>
    <c:fmtId val="2"/>
  </c:pivotSource>
  <c:chart>
    <c:title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Summary!$B$48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Summary!$A$49:$A$51</c:f>
              <c:strCache>
                <c:ptCount val="2"/>
                <c:pt idx="0">
                  <c:v>Enhancement</c:v>
                </c:pt>
                <c:pt idx="1">
                  <c:v>NewDevelopment</c:v>
                </c:pt>
              </c:strCache>
            </c:strRef>
          </c:cat>
          <c:val>
            <c:numRef>
              <c:f>Summary!$B$49:$B$51</c:f>
              <c:numCache>
                <c:formatCode>0.00</c:formatCode>
                <c:ptCount val="2"/>
                <c:pt idx="0">
                  <c:v>42</c:v>
                </c:pt>
                <c:pt idx="1">
                  <c:v>82</c:v>
                </c:pt>
              </c:numCache>
            </c:numRef>
          </c:val>
        </c:ser>
        <c:axId val="326410240"/>
        <c:axId val="326411776"/>
      </c:barChart>
      <c:catAx>
        <c:axId val="326410240"/>
        <c:scaling>
          <c:orientation val="minMax"/>
        </c:scaling>
        <c:axPos val="b"/>
        <c:tickLblPos val="nextTo"/>
        <c:crossAx val="326411776"/>
        <c:crosses val="autoZero"/>
        <c:auto val="1"/>
        <c:lblAlgn val="ctr"/>
        <c:lblOffset val="100"/>
      </c:catAx>
      <c:valAx>
        <c:axId val="326411776"/>
        <c:scaling>
          <c:orientation val="minMax"/>
        </c:scaling>
        <c:axPos val="l"/>
        <c:majorGridlines/>
        <c:numFmt formatCode="0.00" sourceLinked="1"/>
        <c:tickLblPos val="nextTo"/>
        <c:crossAx val="326410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US"/>
              <a:t>Man yrs outstanding</a:t>
            </a:r>
          </a:p>
        </c:rich>
      </c:tx>
      <c:layout>
        <c:manualLayout>
          <c:xMode val="edge"/>
          <c:yMode val="edge"/>
          <c:x val="0.18301377952755921"/>
          <c:y val="2.7777777777778019E-2"/>
        </c:manualLayout>
      </c:layout>
    </c:title>
    <c:plotArea>
      <c:layout/>
      <c:scatterChart>
        <c:scatterStyle val="lineMarker"/>
        <c:ser>
          <c:idx val="0"/>
          <c:order val="0"/>
          <c:tx>
            <c:strRef>
              <c:f>Summary!$AE$1</c:f>
              <c:strCache>
                <c:ptCount val="1"/>
                <c:pt idx="0">
                  <c:v>Man yrs</c:v>
                </c:pt>
              </c:strCache>
            </c:strRef>
          </c:tx>
          <c:spPr>
            <a:ln w="28575">
              <a:noFill/>
            </a:ln>
          </c:spPr>
          <c:xVal>
            <c:numRef>
              <c:f>Summary!$AD$2:$AD$74</c:f>
              <c:numCache>
                <c:formatCode>[$-409]d\-mmm\-yy;@</c:formatCode>
                <c:ptCount val="73"/>
                <c:pt idx="5">
                  <c:v>40154</c:v>
                </c:pt>
                <c:pt idx="13">
                  <c:v>40200</c:v>
                </c:pt>
                <c:pt idx="21">
                  <c:v>40205</c:v>
                </c:pt>
                <c:pt idx="29">
                  <c:v>40240</c:v>
                </c:pt>
                <c:pt idx="37">
                  <c:v>40291</c:v>
                </c:pt>
                <c:pt idx="45">
                  <c:v>40353</c:v>
                </c:pt>
                <c:pt idx="53">
                  <c:v>40394</c:v>
                </c:pt>
                <c:pt idx="61">
                  <c:v>40406</c:v>
                </c:pt>
                <c:pt idx="69">
                  <c:v>40521</c:v>
                </c:pt>
              </c:numCache>
            </c:numRef>
          </c:xVal>
          <c:yVal>
            <c:numRef>
              <c:f>Summary!$AE$2:$AE$74</c:f>
              <c:numCache>
                <c:formatCode>General</c:formatCode>
                <c:ptCount val="73"/>
                <c:pt idx="5">
                  <c:v>3.9818000000000002</c:v>
                </c:pt>
                <c:pt idx="13">
                  <c:v>4.1268000000000002</c:v>
                </c:pt>
                <c:pt idx="21">
                  <c:v>4.0667999999999997</c:v>
                </c:pt>
                <c:pt idx="29">
                  <c:v>4.1028000000000002</c:v>
                </c:pt>
                <c:pt idx="37">
                  <c:v>3.2948000000000004</c:v>
                </c:pt>
                <c:pt idx="45">
                  <c:v>3.3108</c:v>
                </c:pt>
                <c:pt idx="53">
                  <c:v>3.1508000000000003</c:v>
                </c:pt>
                <c:pt idx="61">
                  <c:v>3.0640000000000001</c:v>
                </c:pt>
                <c:pt idx="69">
                  <c:v>3.1232000000000002</c:v>
                </c:pt>
              </c:numCache>
            </c:numRef>
          </c:yVal>
        </c:ser>
        <c:axId val="326427776"/>
        <c:axId val="326429312"/>
      </c:scatterChart>
      <c:valAx>
        <c:axId val="326427776"/>
        <c:scaling>
          <c:orientation val="minMax"/>
          <c:max val="40600"/>
          <c:min val="40100"/>
        </c:scaling>
        <c:axPos val="b"/>
        <c:numFmt formatCode="d\-mmm\-yy;@" sourceLinked="0"/>
        <c:tickLblPos val="nextTo"/>
        <c:crossAx val="326429312"/>
        <c:crosses val="autoZero"/>
        <c:crossBetween val="midCat"/>
      </c:valAx>
      <c:valAx>
        <c:axId val="326429312"/>
        <c:scaling>
          <c:orientation val="minMax"/>
        </c:scaling>
        <c:axPos val="l"/>
        <c:majorGridlines/>
        <c:numFmt formatCode="General" sourceLinked="1"/>
        <c:tickLblPos val="nextTo"/>
        <c:crossAx val="326427776"/>
        <c:crosses val="autoZero"/>
        <c:crossBetween val="midCat"/>
      </c:valAx>
    </c:plotArea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397249</xdr:colOff>
      <xdr:row>0</xdr:row>
      <xdr:rowOff>107016</xdr:rowOff>
    </xdr:from>
    <xdr:to>
      <xdr:col>20</xdr:col>
      <xdr:colOff>492500</xdr:colOff>
      <xdr:row>13</xdr:row>
      <xdr:rowOff>45384</xdr:rowOff>
    </xdr:to>
    <xdr:sp macro="" textlink="">
      <xdr:nvSpPr>
        <xdr:cNvPr id="4112" name="Text Box 16"/>
        <xdr:cNvSpPr txBox="1">
          <a:spLocks noChangeArrowheads="1"/>
        </xdr:cNvSpPr>
      </xdr:nvSpPr>
      <xdr:spPr bwMode="auto">
        <a:xfrm>
          <a:off x="16892308" y="107016"/>
          <a:ext cx="2515721" cy="214592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Ctrl-S = Sort by Priority, When, Item</a:t>
          </a:r>
        </a:p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Ctrl-P = Sort by PriorityValue, Status Date</a:t>
          </a:r>
        </a:p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Ctrl-M = Sort by Item</a:t>
          </a:r>
        </a:p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Ctrl-W = sort by Who, Priority</a:t>
          </a:r>
        </a:p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Ctrl-R = sort by Area, Priority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12</xdr:row>
      <xdr:rowOff>9525</xdr:rowOff>
    </xdr:from>
    <xdr:to>
      <xdr:col>5</xdr:col>
      <xdr:colOff>704850</xdr:colOff>
      <xdr:row>29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209549</xdr:colOff>
      <xdr:row>12</xdr:row>
      <xdr:rowOff>47625</xdr:rowOff>
    </xdr:from>
    <xdr:to>
      <xdr:col>13</xdr:col>
      <xdr:colOff>761999</xdr:colOff>
      <xdr:row>29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266700</xdr:colOff>
      <xdr:row>32</xdr:row>
      <xdr:rowOff>57150</xdr:rowOff>
    </xdr:from>
    <xdr:to>
      <xdr:col>10</xdr:col>
      <xdr:colOff>1</xdr:colOff>
      <xdr:row>43</xdr:row>
      <xdr:rowOff>123825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19050</xdr:colOff>
      <xdr:row>44</xdr:row>
      <xdr:rowOff>142875</xdr:rowOff>
    </xdr:from>
    <xdr:to>
      <xdr:col>10</xdr:col>
      <xdr:colOff>390525</xdr:colOff>
      <xdr:row>61</xdr:row>
      <xdr:rowOff>133350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209550</xdr:colOff>
      <xdr:row>1</xdr:row>
      <xdr:rowOff>0</xdr:rowOff>
    </xdr:from>
    <xdr:to>
      <xdr:col>37</xdr:col>
      <xdr:colOff>323850</xdr:colOff>
      <xdr:row>17</xdr:row>
      <xdr:rowOff>152400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0.04687</cdr:y>
    </cdr:from>
    <cdr:to>
      <cdr:x>0.07906</cdr:x>
      <cdr:y>0.16667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28587"/>
          <a:ext cx="352425" cy="3286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GB" sz="800"/>
            <a:t>Man</a:t>
          </a:r>
        </a:p>
        <a:p xmlns:a="http://schemas.openxmlformats.org/drawingml/2006/main">
          <a:r>
            <a:rPr lang="en-GB" sz="800"/>
            <a:t>days</a:t>
          </a:r>
        </a:p>
      </cdr:txBody>
    </cdr:sp>
  </cdr:relSizeAnchor>
  <cdr:relSizeAnchor xmlns:cdr="http://schemas.openxmlformats.org/drawingml/2006/chartDrawing">
    <cdr:from>
      <cdr:x>0.77991</cdr:x>
      <cdr:y>0.86458</cdr:y>
    </cdr:from>
    <cdr:to>
      <cdr:x>0.90812</cdr:x>
      <cdr:y>0.94444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3476625" y="2371725"/>
          <a:ext cx="57150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800"/>
            <a:t>Priority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eil Marrison" refreshedDate="40394.443939467594" createdVersion="3" refreshedVersion="3" minRefreshableVersion="3" recordCount="484">
  <cacheSource type="worksheet">
    <worksheetSource ref="A1:O526" sheet="TaskPlan"/>
  </cacheSource>
  <cacheFields count="15">
    <cacheField name="Item" numFmtId="0">
      <sharedItems/>
    </cacheField>
    <cacheField name="Who" numFmtId="165">
      <sharedItems count="21">
        <s v="Zhuu"/>
        <s v="Unassigned"/>
        <s v="Sreevani"/>
        <s v="Shubh"/>
        <s v="Sachin"/>
        <s v="Ruth"/>
        <s v="RDM"/>
        <s v="Pramendra"/>
        <s v="Paresh"/>
        <s v="Neil"/>
        <s v="Fingal" u="1"/>
        <s v="Gerald" u="1"/>
        <s v="David S" u="1"/>
        <s v="Ajay" u="1"/>
        <s v="David C" u="1"/>
        <s v="All" u="1"/>
        <s v="Friedel" u="1"/>
        <s v="Dan Balsom" u="1"/>
        <s v="BackOffice" u="1"/>
        <s v="Michael C" u="1"/>
        <s v="Duncan" u="1"/>
      </sharedItems>
    </cacheField>
    <cacheField name="Priority" numFmtId="0">
      <sharedItems count="8">
        <s v="4-HIGH"/>
        <s v="2-LOW"/>
        <s v="3-MED"/>
        <s v="1-LOW"/>
        <s v="0-Cancelled"/>
        <s v="0-Closed"/>
        <s v="5-HIGH"/>
        <s v="0-Close" u="1"/>
      </sharedItems>
    </cacheField>
    <cacheField name="Due Date" numFmtId="0">
      <sharedItems containsNonDate="0" containsDate="1" containsString="0" containsBlank="1" minDate="2010-03-20T00:00:00" maxDate="2010-10-01T00:00:00"/>
    </cacheField>
    <cacheField name="Mark" numFmtId="1">
      <sharedItems containsString="0" containsBlank="1" containsNumber="1" containsInteger="1" minValue="1" maxValue="1"/>
    </cacheField>
    <cacheField name="Area" numFmtId="165">
      <sharedItems/>
    </cacheField>
    <cacheField name="Description" numFmtId="165">
      <sharedItems/>
    </cacheField>
    <cacheField name="Required By" numFmtId="165">
      <sharedItems containsDate="1" containsMixedTypes="1" minDate="1899-12-30T00:00:00" maxDate="1899-12-31T00:00:00"/>
    </cacheField>
    <cacheField name="Data Added" numFmtId="15">
      <sharedItems containsSemiMixedTypes="0" containsNonDate="0" containsDate="1" containsString="0" minDate="2009-04-08T00:00:00" maxDate="2010-08-05T00:00:00"/>
    </cacheField>
    <cacheField name="Effort (days)" numFmtId="167">
      <sharedItems containsSemiMixedTypes="0" containsString="0" containsNumber="1" minValue="0" maxValue="180"/>
    </cacheField>
    <cacheField name="TaskType" numFmtId="167">
      <sharedItems containsBlank="1" containsMixedTypes="1" containsNumber="1" containsInteger="1" minValue="0" maxValue="0" count="7">
        <s v="Other"/>
        <s v="NewDevelopment"/>
        <s v="Enhancement"/>
        <s v="Maintenance"/>
        <n v="0"/>
        <s v="Support"/>
        <m/>
      </sharedItems>
    </cacheField>
    <cacheField name="Status" numFmtId="0">
      <sharedItems containsBlank="1" count="7">
        <s v="In Progress"/>
        <s v="Not Started"/>
        <s v="Tentative"/>
        <s v="Cancelled"/>
        <s v="Closed"/>
        <m/>
        <s v="Support"/>
      </sharedItems>
    </cacheField>
    <cacheField name="StatusDate" numFmtId="165">
      <sharedItems containsSemiMixedTypes="0" containsNonDate="0" containsDate="1" containsString="0" minDate="2009-04-21T00:00:00" maxDate="2010-08-05T00:00:00"/>
    </cacheField>
    <cacheField name="P" numFmtId="1">
      <sharedItems containsSemiMixedTypes="0" containsString="0" containsNumber="1" containsInteger="1" minValue="0" maxValue="5"/>
    </cacheField>
    <cacheField name="PriorityValue" numFmtId="1">
      <sharedItems containsMixedTypes="1" containsNumber="1" containsInteger="1" minValue="0" maxValue="46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eil Marrison" refreshedDate="40521.578671296294" createdVersion="3" refreshedVersion="3" minRefreshableVersion="3" recordCount="710">
  <cacheSource type="worksheet">
    <worksheetSource ref="A1:O1048576" sheet="TaskPlan"/>
  </cacheSource>
  <cacheFields count="15">
    <cacheField name="Item" numFmtId="49">
      <sharedItems containsBlank="1"/>
    </cacheField>
    <cacheField name="Who" numFmtId="165">
      <sharedItems containsBlank="1" count="27">
        <s v="Zhuu"/>
        <s v="Unassigned"/>
        <s v="Sreevani"/>
        <s v="Shubh"/>
        <s v="Sachin"/>
        <s v="Ruth"/>
        <s v="RDM"/>
        <s v="Pramendra"/>
        <s v="Parth"/>
        <s v="Paresh"/>
        <s v="Neil"/>
        <s v="Michael C"/>
        <s v="Kundan"/>
        <s v="Gerald"/>
        <s v="Friedel"/>
        <s v="Fingal"/>
        <s v="Duncan"/>
        <s v="David S"/>
        <s v="David C"/>
        <s v="Danny"/>
        <s v="Dan Balsom"/>
        <s v="BackOffice"/>
        <s v="All"/>
        <s v="Ajay"/>
        <m/>
        <s v="NewJoiner-London" u="1"/>
        <s v="NewJoiner" u="1"/>
      </sharedItems>
    </cacheField>
    <cacheField name="Priority" numFmtId="0">
      <sharedItems containsBlank="1" count="12">
        <s v="4-HIGH"/>
        <s v="3-MED"/>
        <s v="2-LOW"/>
        <s v="1-LOW"/>
        <s v="0-Closed"/>
        <s v="0-Cancelled"/>
        <s v="5-HIGH"/>
        <m/>
        <s v="2-MED" u="1"/>
        <s v="0-Close" u="1"/>
        <s v="3-HIGH" u="1"/>
        <s v="0-NA" u="1"/>
      </sharedItems>
    </cacheField>
    <cacheField name="Due Date" numFmtId="0">
      <sharedItems containsNonDate="0" containsDate="1" containsString="0" containsBlank="1" minDate="2010-03-20T00:00:00" maxDate="2010-12-01T00:00:00"/>
    </cacheField>
    <cacheField name="Mark" numFmtId="1">
      <sharedItems containsString="0" containsBlank="1" containsNumber="1" containsInteger="1" minValue="1" maxValue="1"/>
    </cacheField>
    <cacheField name="Area" numFmtId="165">
      <sharedItems containsBlank="1"/>
    </cacheField>
    <cacheField name="Description" numFmtId="165">
      <sharedItems containsBlank="1"/>
    </cacheField>
    <cacheField name="Required By" numFmtId="165">
      <sharedItems containsBlank="1"/>
    </cacheField>
    <cacheField name="Data Added" numFmtId="15">
      <sharedItems containsNonDate="0" containsDate="1" containsString="0" containsBlank="1" minDate="2009-04-08T00:00:00" maxDate="2010-12-10T00:00:00"/>
    </cacheField>
    <cacheField name="Effort (days)" numFmtId="167">
      <sharedItems containsString="0" containsBlank="1" containsNumber="1" minValue="0" maxValue="180"/>
    </cacheField>
    <cacheField name="TaskType" numFmtId="167">
      <sharedItems containsBlank="1" containsMixedTypes="1" containsNumber="1" containsInteger="1" minValue="0" maxValue="0"/>
    </cacheField>
    <cacheField name="Status" numFmtId="0">
      <sharedItems containsBlank="1" count="8">
        <s v="In Progress"/>
        <s v="Not Started"/>
        <s v="Tentative"/>
        <s v="Closed"/>
        <s v="Cancelled"/>
        <s v="Support"/>
        <m/>
        <s v="On going" u="1"/>
      </sharedItems>
    </cacheField>
    <cacheField name="StatusDate" numFmtId="165">
      <sharedItems containsNonDate="0" containsDate="1" containsString="0" containsBlank="1" minDate="2009-04-07T00:00:00" maxDate="2010-12-10T00:00:00"/>
    </cacheField>
    <cacheField name="P" numFmtId="1">
      <sharedItems containsString="0" containsBlank="1" containsNumber="1" containsInteger="1" minValue="0" maxValue="5"/>
    </cacheField>
    <cacheField name="PriorityValue" numFmtId="1">
      <sharedItems containsString="0" containsBlank="1" containsNumber="1" containsInteger="1" minValue="0" maxValue="78"/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Neil Marrison" refreshedDate="40521.579367129627" createdVersion="3" refreshedVersion="3" minRefreshableVersion="3" recordCount="710">
  <cacheSource type="worksheet">
    <worksheetSource ref="A1:L1048576" sheet="TaskPlan"/>
  </cacheSource>
  <cacheFields count="12">
    <cacheField name="Item" numFmtId="49">
      <sharedItems containsBlank="1"/>
    </cacheField>
    <cacheField name="Who" numFmtId="165">
      <sharedItems containsBlank="1" count="27">
        <s v="Zhuu"/>
        <s v="Unassigned"/>
        <s v="Sreevani"/>
        <s v="Shubh"/>
        <s v="Sachin"/>
        <s v="Ruth"/>
        <s v="RDM"/>
        <s v="Pramendra"/>
        <s v="Parth"/>
        <s v="Paresh"/>
        <s v="Neil"/>
        <s v="Michael C"/>
        <s v="Kundan"/>
        <s v="Gerald"/>
        <s v="Friedel"/>
        <s v="Fingal"/>
        <s v="Duncan"/>
        <s v="David S"/>
        <s v="David C"/>
        <s v="Danny"/>
        <s v="Dan Balsom"/>
        <s v="BackOffice"/>
        <s v="All"/>
        <s v="Ajay"/>
        <m/>
        <s v="NewJoiner-London" u="1"/>
        <s v="NewJoiner" u="1"/>
      </sharedItems>
    </cacheField>
    <cacheField name="Priority" numFmtId="0">
      <sharedItems containsBlank="1" count="11">
        <s v="4-HIGH"/>
        <s v="3-MED"/>
        <s v="2-LOW"/>
        <s v="1-LOW"/>
        <s v="0-Closed"/>
        <s v="0-Cancelled"/>
        <s v="5-HIGH"/>
        <m/>
        <s v="0-Close" u="1"/>
        <s v="3-HIGH" u="1"/>
        <s v="0-TENTATIVE" u="1"/>
      </sharedItems>
    </cacheField>
    <cacheField name="Due Date" numFmtId="0">
      <sharedItems containsNonDate="0" containsDate="1" containsString="0" containsBlank="1" minDate="2010-03-20T00:00:00" maxDate="2010-12-01T00:00:00"/>
    </cacheField>
    <cacheField name="Mark" numFmtId="1">
      <sharedItems containsString="0" containsBlank="1" containsNumber="1" containsInteger="1" minValue="1" maxValue="1"/>
    </cacheField>
    <cacheField name="Area" numFmtId="165">
      <sharedItems containsBlank="1"/>
    </cacheField>
    <cacheField name="Description" numFmtId="165">
      <sharedItems containsBlank="1"/>
    </cacheField>
    <cacheField name="Required By" numFmtId="165">
      <sharedItems containsBlank="1"/>
    </cacheField>
    <cacheField name="Data Added" numFmtId="15">
      <sharedItems containsNonDate="0" containsDate="1" containsString="0" containsBlank="1" minDate="2009-04-08T00:00:00" maxDate="2010-12-10T00:00:00"/>
    </cacheField>
    <cacheField name="Effort (days)" numFmtId="167">
      <sharedItems containsString="0" containsBlank="1" containsNumber="1" minValue="0" maxValue="180"/>
    </cacheField>
    <cacheField name="TaskType" numFmtId="167">
      <sharedItems containsBlank="1" containsMixedTypes="1" containsNumber="1" containsInteger="1" minValue="0" maxValue="0"/>
    </cacheField>
    <cacheField name="Status" numFmtId="0">
      <sharedItems containsBlank="1" count="8">
        <s v="In Progress"/>
        <s v="Not Started"/>
        <s v="Tentative"/>
        <s v="Closed"/>
        <s v="Cancelled"/>
        <s v="Support"/>
        <m/>
        <s v="On going" u="1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4">
  <r>
    <s v="04.9.1"/>
    <x v="0"/>
    <x v="0"/>
    <m/>
    <n v="1"/>
    <s v="Matrix Pricing Application"/>
    <s v="Research to review Matrix and fully populate."/>
    <s v="David Covey"/>
    <d v="2009-10-28T00:00:00"/>
    <n v="4"/>
    <x v="0"/>
    <x v="0"/>
    <d v="2010-04-23T00:00:00"/>
    <n v="4"/>
    <n v="13"/>
  </r>
  <r>
    <s v="12.4.1"/>
    <x v="1"/>
    <x v="0"/>
    <m/>
    <m/>
    <s v="Utilities"/>
    <s v="Create addin for simple field retrieval"/>
    <d v="1899-12-30T00:00:00"/>
    <d v="2010-06-09T00:00:00"/>
    <n v="3"/>
    <x v="1"/>
    <x v="1"/>
    <d v="2010-06-09T00:00:00"/>
    <n v="4"/>
    <n v="13"/>
  </r>
  <r>
    <s v="05.08.10"/>
    <x v="1"/>
    <x v="0"/>
    <m/>
    <m/>
    <s v="Loan level data"/>
    <s v="Add Buy to Let to filter"/>
    <s v="David Covey"/>
    <d v="2009-09-10T00:00:00"/>
    <n v="2"/>
    <x v="1"/>
    <x v="1"/>
    <d v="2010-04-15T00:00:00"/>
    <n v="4"/>
    <n v="13"/>
  </r>
  <r>
    <s v="12.1.3"/>
    <x v="1"/>
    <x v="0"/>
    <m/>
    <m/>
    <s v="Utilities"/>
    <s v="Make startup faster in Mumbai - re logging"/>
    <s v="Neil"/>
    <d v="2010-04-06T00:00:00"/>
    <n v="1.5"/>
    <x v="2"/>
    <x v="1"/>
    <d v="2010-04-15T00:00:00"/>
    <n v="4"/>
    <n v="13"/>
  </r>
  <r>
    <s v="03.8.13"/>
    <x v="1"/>
    <x v="1"/>
    <m/>
    <m/>
    <s v="Deal Analyser"/>
    <s v="CE - Make use of PerformanceDataLib"/>
    <s v="Ruth"/>
    <d v="2010-07-28T00:00:00"/>
    <n v="1"/>
    <x v="2"/>
    <x v="1"/>
    <d v="2010-07-28T00:00:00"/>
    <n v="2"/>
    <n v="2"/>
  </r>
  <r>
    <s v="23.1.7"/>
    <x v="1"/>
    <x v="1"/>
    <m/>
    <m/>
    <s v="BBG Performance Data"/>
    <s v="Make use of PerformanceData Lib"/>
    <s v="Ruth"/>
    <d v="2010-07-28T00:00:00"/>
    <n v="1"/>
    <x v="2"/>
    <x v="1"/>
    <d v="2010-07-28T00:00:00"/>
    <n v="2"/>
    <n v="2"/>
  </r>
  <r>
    <s v="16.11.4"/>
    <x v="1"/>
    <x v="2"/>
    <m/>
    <m/>
    <s v="Macro Economic Data"/>
    <s v="ES Repo Rates: Review"/>
    <s v="Friedel"/>
    <d v="2010-07-05T00:00:00"/>
    <n v="1"/>
    <x v="1"/>
    <x v="1"/>
    <d v="2010-07-05T00:00:00"/>
    <n v="3"/>
    <n v="2"/>
  </r>
  <r>
    <s v="16.11.5"/>
    <x v="1"/>
    <x v="2"/>
    <m/>
    <m/>
    <s v="Macro Economic Data"/>
    <s v="ES Repo Rates: Release"/>
    <s v="Friedel"/>
    <d v="2010-07-05T00:00:00"/>
    <n v="1"/>
    <x v="1"/>
    <x v="1"/>
    <d v="2010-07-05T00:00:00"/>
    <n v="3"/>
    <n v="2"/>
  </r>
  <r>
    <s v="01.2.46"/>
    <x v="1"/>
    <x v="1"/>
    <m/>
    <m/>
    <s v="Deals Database"/>
    <s v="Deals DB changes for Master Trusts"/>
    <s v="Neil"/>
    <d v="2010-06-09T00:00:00"/>
    <n v="3"/>
    <x v="2"/>
    <x v="1"/>
    <d v="2010-06-11T00:00:00"/>
    <n v="2"/>
    <n v="2"/>
  </r>
  <r>
    <s v="16.4"/>
    <x v="1"/>
    <x v="2"/>
    <m/>
    <m/>
    <s v="Macro Economic Data"/>
    <s v="Move Halifax HPA data to Surveillance DB"/>
    <s v="Neil"/>
    <d v="2009-09-01T00:00:00"/>
    <n v="2"/>
    <x v="2"/>
    <x v="1"/>
    <d v="2010-05-27T00:00:00"/>
    <n v="3"/>
    <n v="2"/>
  </r>
  <r>
    <s v="02.6.2"/>
    <x v="1"/>
    <x v="2"/>
    <m/>
    <m/>
    <s v="Intex"/>
    <s v="CFGen: Spec out requirements for using Intex Bond Cfs"/>
    <s v="Zhuu"/>
    <d v="2010-05-12T00:00:00"/>
    <n v="2"/>
    <x v="1"/>
    <x v="1"/>
    <d v="2010-05-12T00:00:00"/>
    <n v="3"/>
    <n v="2"/>
  </r>
  <r>
    <s v="02.6.3"/>
    <x v="1"/>
    <x v="2"/>
    <m/>
    <m/>
    <s v="Intex"/>
    <s v="CFGen: Design and build 1st implementation"/>
    <s v="Neil"/>
    <d v="2010-05-12T00:00:00"/>
    <n v="5"/>
    <x v="1"/>
    <x v="1"/>
    <d v="2010-05-12T00:00:00"/>
    <n v="3"/>
    <n v="2"/>
  </r>
  <r>
    <s v="02.6.4"/>
    <x v="1"/>
    <x v="2"/>
    <m/>
    <m/>
    <s v="Intex"/>
    <s v="CFGen: Review and agree implementation"/>
    <s v="Neil"/>
    <d v="2010-05-12T00:00:00"/>
    <n v="2"/>
    <x v="1"/>
    <x v="1"/>
    <d v="2010-05-12T00:00:00"/>
    <n v="3"/>
    <n v="2"/>
  </r>
  <r>
    <s v="02.6.5"/>
    <x v="1"/>
    <x v="2"/>
    <m/>
    <m/>
    <s v="Intex"/>
    <s v="CFGen: Complete first implementation"/>
    <s v="Neil"/>
    <d v="2010-05-12T00:00:00"/>
    <n v="10"/>
    <x v="1"/>
    <x v="1"/>
    <d v="2010-05-12T00:00:00"/>
    <n v="3"/>
    <n v="2"/>
  </r>
  <r>
    <s v="02.6.6"/>
    <x v="1"/>
    <x v="2"/>
    <m/>
    <m/>
    <s v="Intex"/>
    <s v="CFGen: Test in QA"/>
    <s v="Neil"/>
    <d v="2010-05-12T00:00:00"/>
    <n v="5"/>
    <x v="1"/>
    <x v="1"/>
    <d v="2010-05-12T00:00:00"/>
    <n v="3"/>
    <n v="2"/>
  </r>
  <r>
    <s v="01.2.41"/>
    <x v="1"/>
    <x v="2"/>
    <m/>
    <m/>
    <s v="Deals Database"/>
    <s v="Represent Master Trusts in the database"/>
    <s v="Neil"/>
    <d v="2010-05-06T00:00:00"/>
    <n v="3"/>
    <x v="2"/>
    <x v="1"/>
    <d v="2010-05-06T00:00:00"/>
    <n v="3"/>
    <n v="2"/>
  </r>
  <r>
    <s v="09.3.5"/>
    <x v="1"/>
    <x v="1"/>
    <m/>
    <m/>
    <s v="Nomura Now"/>
    <s v="LTV Strat tool: Add series history data to Nomura Now"/>
    <s v="David Covey"/>
    <d v="2010-04-20T00:00:00"/>
    <n v="7"/>
    <x v="1"/>
    <x v="1"/>
    <d v="2010-04-20T00:00:00"/>
    <n v="2"/>
    <n v="2"/>
  </r>
  <r>
    <s v="01.2.03"/>
    <x v="1"/>
    <x v="3"/>
    <m/>
    <m/>
    <s v="Deals Database"/>
    <s v="Add window navigator facility to easily locate Windows"/>
    <s v="Neil"/>
    <d v="2009-05-21T00:00:00"/>
    <n v="3"/>
    <x v="2"/>
    <x v="1"/>
    <d v="2010-04-15T00:00:00"/>
    <n v="1"/>
    <n v="2"/>
  </r>
  <r>
    <s v="01.2.27"/>
    <x v="1"/>
    <x v="3"/>
    <m/>
    <m/>
    <s v="Deals Database"/>
    <s v="Derive correct Pay date rule for Fingal"/>
    <s v="Neil"/>
    <d v="2009-12-15T00:00:00"/>
    <n v="2"/>
    <x v="2"/>
    <x v="1"/>
    <d v="2010-04-15T00:00:00"/>
    <n v="1"/>
    <n v="2"/>
  </r>
  <r>
    <s v="01.2.28"/>
    <x v="1"/>
    <x v="1"/>
    <m/>
    <m/>
    <s v="Deals Database"/>
    <s v="Add ability to vew/set custom bond attributes"/>
    <s v="Neil"/>
    <d v="2009-12-16T00:00:00"/>
    <n v="2"/>
    <x v="1"/>
    <x v="1"/>
    <d v="2010-04-15T00:00:00"/>
    <n v="2"/>
    <n v="2"/>
  </r>
  <r>
    <s v="01.2.29"/>
    <x v="1"/>
    <x v="3"/>
    <m/>
    <m/>
    <s v="Deals Database"/>
    <s v="Make the Bloomberg Gateway a service"/>
    <s v="Pramendra"/>
    <d v="2009-12-21T00:00:00"/>
    <n v="2"/>
    <x v="1"/>
    <x v="1"/>
    <d v="2010-04-15T00:00:00"/>
    <n v="1"/>
    <n v="2"/>
  </r>
  <r>
    <s v="01.3.9"/>
    <x v="1"/>
    <x v="1"/>
    <m/>
    <m/>
    <s v="Deals Database"/>
    <s v="Fix Deal Issue Amount to be in currency of collateral."/>
    <s v="Neil"/>
    <d v="2009-12-07T00:00:00"/>
    <n v="2"/>
    <x v="3"/>
    <x v="1"/>
    <d v="2010-04-15T00:00:00"/>
    <n v="2"/>
    <n v="2"/>
  </r>
  <r>
    <s v="02.2"/>
    <x v="1"/>
    <x v="1"/>
    <m/>
    <m/>
    <s v="Intex"/>
    <s v="Intex verses BBG cashflow comparator to identify where default BBG cashflows are very different from Intex"/>
    <s v="David Covey"/>
    <d v="2009-11-18T00:00:00"/>
    <n v="45"/>
    <x v="1"/>
    <x v="2"/>
    <d v="2010-04-15T00:00:00"/>
    <n v="2"/>
    <n v="2"/>
  </r>
  <r>
    <s v="03.6.4"/>
    <x v="1"/>
    <x v="1"/>
    <m/>
    <m/>
    <s v="Deal Analyser"/>
    <s v="Add checks to the ABSNet data loader to check for any deals missing from the feed, and to email the result to the group."/>
    <s v="Neil"/>
    <d v="2009-07-07T00:00:00"/>
    <n v="4"/>
    <x v="2"/>
    <x v="1"/>
    <d v="2010-04-15T00:00:00"/>
    <n v="2"/>
    <n v="2"/>
  </r>
  <r>
    <s v="03.7.1"/>
    <x v="1"/>
    <x v="3"/>
    <m/>
    <m/>
    <s v="Deal Analyser"/>
    <s v="Plan design for Deal Level Delinquencies"/>
    <s v="Danny"/>
    <d v="2009-10-19T00:00:00"/>
    <n v="1"/>
    <x v="1"/>
    <x v="1"/>
    <d v="2010-04-15T00:00:00"/>
    <n v="1"/>
    <n v="2"/>
  </r>
  <r>
    <s v="03.7.2"/>
    <x v="1"/>
    <x v="1"/>
    <m/>
    <m/>
    <s v="Deal Analyser"/>
    <s v="Implement Deal Level Delinquencies"/>
    <s v="Danny"/>
    <d v="2009-11-18T00:00:00"/>
    <n v="5"/>
    <x v="1"/>
    <x v="1"/>
    <d v="2010-04-15T00:00:00"/>
    <n v="2"/>
    <n v="2"/>
  </r>
  <r>
    <s v="04.7.7"/>
    <x v="1"/>
    <x v="3"/>
    <m/>
    <m/>
    <s v="Matrix Pricing Application"/>
    <s v="Add error summary report"/>
    <s v="Neil"/>
    <d v="2009-10-28T00:00:00"/>
    <n v="2"/>
    <x v="1"/>
    <x v="1"/>
    <d v="2010-04-15T00:00:00"/>
    <n v="1"/>
    <n v="2"/>
  </r>
  <r>
    <s v="05.16.2"/>
    <x v="1"/>
    <x v="2"/>
    <m/>
    <m/>
    <s v="Loan level data"/>
    <s v="Bug with null dates coming in as 1-Jan-1970"/>
    <s v="Danny"/>
    <d v="2009-11-25T00:00:00"/>
    <n v="0.5"/>
    <x v="3"/>
    <x v="1"/>
    <d v="2010-04-15T00:00:00"/>
    <n v="3"/>
    <n v="2"/>
  </r>
  <r>
    <s v="06.9.1"/>
    <x v="1"/>
    <x v="2"/>
    <m/>
    <m/>
    <s v="Shared application components "/>
    <s v="Consider putting boilerplate startup code in Common.Utilities."/>
    <s v="Neil"/>
    <d v="2010-04-13T00:00:00"/>
    <n v="1"/>
    <x v="2"/>
    <x v="1"/>
    <d v="2010-04-15T00:00:00"/>
    <n v="3"/>
    <n v="2"/>
  </r>
  <r>
    <s v="07.1"/>
    <x v="1"/>
    <x v="3"/>
    <m/>
    <m/>
    <s v="Development Environment"/>
    <s v="Use, scripted, daily build mechanism for 'trunk'"/>
    <s v="Neil"/>
    <d v="2009-04-08T00:00:00"/>
    <n v="3"/>
    <x v="2"/>
    <x v="0"/>
    <d v="2010-04-15T00:00:00"/>
    <n v="1"/>
    <n v="2"/>
  </r>
  <r>
    <s v="08.09.3"/>
    <x v="1"/>
    <x v="2"/>
    <m/>
    <m/>
    <s v="Production Environment"/>
    <s v="Get NT Groups set up for Database access"/>
    <s v="Neil"/>
    <d v="2009-09-18T00:00:00"/>
    <n v="3"/>
    <x v="2"/>
    <x v="1"/>
    <d v="2010-04-15T00:00:00"/>
    <n v="3"/>
    <n v="2"/>
  </r>
  <r>
    <s v="08.10.1"/>
    <x v="1"/>
    <x v="2"/>
    <m/>
    <m/>
    <s v="Production Environment"/>
    <s v="Investigate Autosys feasibility on DEV"/>
    <s v="Neil"/>
    <d v="2009-09-04T00:00:00"/>
    <n v="2"/>
    <x v="2"/>
    <x v="1"/>
    <d v="2010-04-15T00:00:00"/>
    <n v="3"/>
    <n v="2"/>
  </r>
  <r>
    <s v="11.2.17"/>
    <x v="1"/>
    <x v="2"/>
    <m/>
    <m/>
    <s v="Admin"/>
    <s v="Log application startup to database to show app usage"/>
    <s v="Neil"/>
    <d v="2010-04-06T00:00:00"/>
    <n v="1"/>
    <x v="1"/>
    <x v="1"/>
    <d v="2010-04-15T00:00:00"/>
    <n v="3"/>
    <n v="2"/>
  </r>
  <r>
    <s v="14.4.1"/>
    <x v="1"/>
    <x v="2"/>
    <m/>
    <m/>
    <s v="Stratification tool / PALS"/>
    <s v="Add BTL flag on filter"/>
    <s v="David"/>
    <d v="2010-01-18T00:00:00"/>
    <n v="1"/>
    <x v="1"/>
    <x v="1"/>
    <d v="2010-04-15T00:00:00"/>
    <n v="3"/>
    <n v="2"/>
  </r>
  <r>
    <s v="16.5.1"/>
    <x v="1"/>
    <x v="2"/>
    <m/>
    <m/>
    <s v="Macro Economic Data"/>
    <s v="Automate email to Research"/>
    <s v="Neil"/>
    <d v="2010-02-01T00:00:00"/>
    <n v="3"/>
    <x v="2"/>
    <x v="1"/>
    <d v="2010-04-15T00:00:00"/>
    <n v="3"/>
    <n v="2"/>
  </r>
  <r>
    <s v="20.2"/>
    <x v="1"/>
    <x v="2"/>
    <m/>
    <m/>
    <s v="CMBS - TREPP"/>
    <s v="Implement and integrate"/>
    <s v="David Covey"/>
    <d v="2009-11-18T00:00:00"/>
    <n v="180"/>
    <x v="1"/>
    <x v="2"/>
    <d v="2010-04-15T00:00:00"/>
    <n v="3"/>
    <n v="2"/>
  </r>
  <r>
    <s v="17.8"/>
    <x v="1"/>
    <x v="1"/>
    <m/>
    <m/>
    <s v="Trade Blotter"/>
    <s v="Back load old Lehman Blotter Trades"/>
    <s v="Shubh"/>
    <d v="2010-03-16T00:00:00"/>
    <n v="5"/>
    <x v="0"/>
    <x v="1"/>
    <d v="2010-03-16T00:00:00"/>
    <n v="2"/>
    <n v="2"/>
  </r>
  <r>
    <s v="10.2.1"/>
    <x v="1"/>
    <x v="3"/>
    <m/>
    <m/>
    <s v="Radial / Totoro / Other"/>
    <s v="Get Radial/Totoro to handle irregular schedules"/>
    <s v="Neil"/>
    <d v="2009-04-14T00:00:00"/>
    <n v="10"/>
    <x v="2"/>
    <x v="1"/>
    <d v="2010-03-02T00:00:00"/>
    <n v="1"/>
    <n v="2"/>
  </r>
  <r>
    <s v="10.2.2"/>
    <x v="1"/>
    <x v="3"/>
    <m/>
    <m/>
    <s v="Radial / Totoro / Other"/>
    <s v="Find how Totoro can correctly represent step ups"/>
    <s v="Friedel"/>
    <d v="2009-04-29T00:00:00"/>
    <n v="10"/>
    <x v="2"/>
    <x v="1"/>
    <d v="2010-03-02T00:00:00"/>
    <n v="1"/>
    <n v="2"/>
  </r>
  <r>
    <s v="11.2.3"/>
    <x v="1"/>
    <x v="3"/>
    <m/>
    <m/>
    <s v="Admin"/>
    <s v="Investigate BWIC tracker"/>
    <s v="David"/>
    <d v="2009-07-30T00:00:00"/>
    <n v="2"/>
    <x v="1"/>
    <x v="1"/>
    <d v="2010-03-02T00:00:00"/>
    <n v="1"/>
    <n v="2"/>
  </r>
  <r>
    <s v="11.2.4"/>
    <x v="1"/>
    <x v="3"/>
    <m/>
    <m/>
    <s v="Admin"/>
    <s v="Copy old Lehman files"/>
    <s v="Danny"/>
    <d v="2009-08-28T00:00:00"/>
    <n v="1"/>
    <x v="1"/>
    <x v="1"/>
    <d v="2010-03-02T00:00:00"/>
    <n v="1"/>
    <n v="2"/>
  </r>
  <r>
    <s v="16.7.5"/>
    <x v="1"/>
    <x v="3"/>
    <m/>
    <m/>
    <s v="Macro Economic Data"/>
    <s v="TSP Cache Refresh"/>
    <s v="Pramendra"/>
    <d v="2009-10-12T00:00:00"/>
    <n v="3"/>
    <x v="2"/>
    <x v="1"/>
    <d v="2010-03-02T00:00:00"/>
    <n v="1"/>
    <n v="2"/>
  </r>
  <r>
    <s v="08.11"/>
    <x v="1"/>
    <x v="1"/>
    <m/>
    <m/>
    <s v="Production Environment"/>
    <s v="Figure out appropriate access controls for Server and DB"/>
    <s v="Neil"/>
    <d v="2009-09-18T00:00:00"/>
    <n v="1"/>
    <x v="2"/>
    <x v="1"/>
    <d v="2009-12-08T00:00:00"/>
    <n v="2"/>
    <n v="2"/>
  </r>
  <r>
    <s v="05.08.8"/>
    <x v="1"/>
    <x v="4"/>
    <m/>
    <m/>
    <s v="Loan level data"/>
    <s v="Complete ESFData changes for ESAIL and RMAC for Excel"/>
    <s v="Neil"/>
    <d v="2009-06-23T00:00:00"/>
    <n v="0"/>
    <x v="4"/>
    <x v="3"/>
    <d v="2010-06-23T00:00:00"/>
    <n v="0"/>
    <n v="0"/>
  </r>
  <r>
    <s v="01.2.42"/>
    <x v="2"/>
    <x v="2"/>
    <d v="2010-06-20T00:00:00"/>
    <m/>
    <s v="Deals Database"/>
    <s v="Make BBG-&gt;Fingal holiday calendar mapping handle 'A$' -&gt; 'MEL,SYD' and make it extendable via the Config without need for a new release"/>
    <s v="Neil"/>
    <d v="2010-05-27T00:00:00"/>
    <n v="2"/>
    <x v="2"/>
    <x v="4"/>
    <d v="2010-06-24T00:00:00"/>
    <n v="3"/>
    <n v="21"/>
  </r>
  <r>
    <s v="01.2.44"/>
    <x v="2"/>
    <x v="2"/>
    <d v="2010-06-20T00:00:00"/>
    <m/>
    <s v="Deals Database"/>
    <s v="Issue pasting ISIN etc for new bonds"/>
    <s v="Neil"/>
    <d v="2010-06-08T00:00:00"/>
    <n v="1"/>
    <x v="3"/>
    <x v="4"/>
    <d v="2010-06-24T00:00:00"/>
    <n v="3"/>
    <n v="21"/>
  </r>
  <r>
    <s v="06.1.5"/>
    <x v="2"/>
    <x v="2"/>
    <d v="2010-06-20T00:00:00"/>
    <m/>
    <s v="Shared application components "/>
    <s v="Make default format for DateTime in Logger to be 'dd-MMM-yyyy'"/>
    <s v="Neil"/>
    <d v="2010-04-15T00:00:00"/>
    <n v="1"/>
    <x v="2"/>
    <x v="4"/>
    <d v="2010-06-24T00:00:00"/>
    <n v="3"/>
    <n v="21"/>
  </r>
  <r>
    <s v="24.1.4"/>
    <x v="2"/>
    <x v="2"/>
    <d v="2010-07-12T00:00:00"/>
    <m/>
    <s v="Client Tracker"/>
    <s v="ClientTracker: Implement and Test"/>
    <s v="Neil"/>
    <d v="2010-06-24T00:00:00"/>
    <n v="8"/>
    <x v="1"/>
    <x v="0"/>
    <d v="2010-07-14T00:00:00"/>
    <n v="3"/>
    <n v="15"/>
  </r>
  <r>
    <s v="24.1.6"/>
    <x v="2"/>
    <x v="2"/>
    <d v="2010-07-15T00:00:00"/>
    <m/>
    <s v="Client Tracker"/>
    <s v="ClientTracker: Final changes and testing"/>
    <s v="Neil"/>
    <d v="2010-06-24T00:00:00"/>
    <n v="3"/>
    <x v="1"/>
    <x v="1"/>
    <d v="2010-06-24T00:00:00"/>
    <n v="3"/>
    <n v="15"/>
  </r>
  <r>
    <s v="24.1.7"/>
    <x v="2"/>
    <x v="2"/>
    <d v="2010-07-20T00:00:00"/>
    <m/>
    <s v="Client Tracker"/>
    <s v="ClientTracker: Release"/>
    <s v="Neil"/>
    <d v="2010-06-24T00:00:00"/>
    <n v="1"/>
    <x v="1"/>
    <x v="1"/>
    <d v="2010-07-29T00:00:00"/>
    <n v="3"/>
    <n v="13"/>
  </r>
  <r>
    <s v="01.2.47"/>
    <x v="2"/>
    <x v="2"/>
    <m/>
    <m/>
    <s v="Deals Database"/>
    <s v="Investigate BBG gateway retries"/>
    <s v="Neil"/>
    <d v="2010-06-10T00:00:00"/>
    <n v="1"/>
    <x v="3"/>
    <x v="1"/>
    <d v="2010-06-24T00:00:00"/>
    <n v="3"/>
    <n v="2"/>
  </r>
  <r>
    <s v="01.2.43"/>
    <x v="2"/>
    <x v="2"/>
    <m/>
    <m/>
    <s v="Deals Database"/>
    <s v="Make DealsDB and Cfgen handle bonds that genuinely have no ISIN"/>
    <s v="Neil"/>
    <d v="2010-06-07T00:00:00"/>
    <n v="1"/>
    <x v="2"/>
    <x v="1"/>
    <d v="2010-06-09T00:00:00"/>
    <n v="3"/>
    <n v="2"/>
  </r>
  <r>
    <s v="03.6.7"/>
    <x v="2"/>
    <x v="2"/>
    <m/>
    <m/>
    <s v="Deal Analyser"/>
    <s v="Clean up ABS Net Log and other fixes"/>
    <d v="1899-12-30T00:00:00"/>
    <d v="2010-06-07T00:00:00"/>
    <n v="2"/>
    <x v="3"/>
    <x v="1"/>
    <d v="2010-06-01T00:00:00"/>
    <n v="3"/>
    <n v="2"/>
  </r>
  <r>
    <s v="20.1.5"/>
    <x v="2"/>
    <x v="2"/>
    <m/>
    <m/>
    <s v="CMBS - TREPP"/>
    <s v="Automate Trepp data download"/>
    <s v="Neil"/>
    <d v="2010-06-08T00:00:00"/>
    <n v="7"/>
    <x v="1"/>
    <x v="1"/>
    <d v="2010-05-27T00:00:00"/>
    <n v="3"/>
    <n v="2"/>
  </r>
  <r>
    <s v="07.5.6"/>
    <x v="2"/>
    <x v="5"/>
    <d v="2010-06-25T00:00:00"/>
    <m/>
    <s v="Development Environment"/>
    <s v="Investigate applicability of WPF"/>
    <s v="Neil"/>
    <d v="2010-06-24T00:00:00"/>
    <n v="2"/>
    <x v="0"/>
    <x v="4"/>
    <d v="2010-07-14T00:00:00"/>
    <n v="0"/>
    <n v="0"/>
  </r>
  <r>
    <s v="24.1.1"/>
    <x v="2"/>
    <x v="5"/>
    <d v="2010-06-23T00:00:00"/>
    <m/>
    <s v="Client Tracker"/>
    <s v="ClientTracker: Gather requirements"/>
    <s v="Zhuu"/>
    <d v="2010-06-24T00:00:00"/>
    <n v="1"/>
    <x v="1"/>
    <x v="4"/>
    <d v="2010-07-14T00:00:00"/>
    <n v="0"/>
    <n v="0"/>
  </r>
  <r>
    <s v="24.1.2"/>
    <x v="2"/>
    <x v="5"/>
    <d v="2010-06-29T00:00:00"/>
    <m/>
    <s v="Client Tracker"/>
    <s v="ClientTracker: Initial Design"/>
    <s v="Neil"/>
    <d v="2010-06-24T00:00:00"/>
    <n v="3"/>
    <x v="1"/>
    <x v="4"/>
    <d v="2010-07-14T00:00:00"/>
    <n v="0"/>
    <n v="0"/>
  </r>
  <r>
    <s v="01.3.5"/>
    <x v="3"/>
    <x v="1"/>
    <m/>
    <m/>
    <s v="Deals Database"/>
    <s v="Provide 'clean' values for shelf, collateral and Originator"/>
    <s v="Research"/>
    <d v="2009-05-12T00:00:00"/>
    <n v="2"/>
    <x v="0"/>
    <x v="0"/>
    <d v="2010-04-15T00:00:00"/>
    <n v="2"/>
    <n v="2"/>
  </r>
  <r>
    <s v="01.3.3"/>
    <x v="3"/>
    <x v="5"/>
    <m/>
    <m/>
    <s v="Deals Database"/>
    <s v="Fix duplicate Deals in DealDB"/>
    <s v="Research"/>
    <d v="2009-05-12T00:00:00"/>
    <n v="4"/>
    <x v="4"/>
    <x v="4"/>
    <d v="2010-05-05T00:00:00"/>
    <n v="0"/>
    <n v="0"/>
  </r>
  <r>
    <s v="01.3.4"/>
    <x v="3"/>
    <x v="5"/>
    <m/>
    <m/>
    <s v="Deals Database"/>
    <s v="Add missing deals to DealDB"/>
    <s v="Research"/>
    <d v="2009-05-12T00:00:00"/>
    <n v="0"/>
    <x v="4"/>
    <x v="4"/>
    <d v="2010-05-05T00:00:00"/>
    <n v="0"/>
    <n v="0"/>
  </r>
  <r>
    <s v="04.8.6"/>
    <x v="3"/>
    <x v="5"/>
    <m/>
    <m/>
    <s v="Matrix Pricing Application"/>
    <s v="Validate L2 matrix definitions"/>
    <s v="David Covey"/>
    <d v="2009-12-01T00:00:00"/>
    <n v="0"/>
    <x v="4"/>
    <x v="4"/>
    <d v="2009-07-31T00:00:00"/>
    <n v="0"/>
    <n v="0"/>
  </r>
  <r>
    <s v="07.5.2"/>
    <x v="4"/>
    <x v="0"/>
    <d v="2010-04-08T00:00:00"/>
    <m/>
    <s v="Development Environment"/>
    <s v="Recommend Exception usage and document"/>
    <s v="Neil"/>
    <d v="2010-04-15T00:00:00"/>
    <n v="0.5"/>
    <x v="2"/>
    <x v="1"/>
    <d v="2010-04-23T00:00:00"/>
    <n v="4"/>
    <n v="46"/>
  </r>
  <r>
    <s v="18.1.8"/>
    <x v="4"/>
    <x v="0"/>
    <d v="2010-08-08T00:00:00"/>
    <m/>
    <s v="Roll Rate Analyser"/>
    <s v="Add BTL to filter on RR analyser"/>
    <s v="David"/>
    <d v="2010-01-18T00:00:00"/>
    <n v="2"/>
    <x v="1"/>
    <x v="1"/>
    <d v="2010-08-04T00:00:00"/>
    <n v="4"/>
    <n v="16"/>
  </r>
  <r>
    <s v="18.1.9"/>
    <x v="4"/>
    <x v="0"/>
    <d v="2010-08-08T00:00:00"/>
    <m/>
    <s v="Roll Rate Analyser"/>
    <s v="Add 'Adjusted months in arrears' as an option to RR analyser"/>
    <s v="Neil"/>
    <d v="2010-08-04T00:00:00"/>
    <n v="2"/>
    <x v="1"/>
    <x v="1"/>
    <d v="2010-08-04T00:00:00"/>
    <n v="4"/>
    <n v="16"/>
  </r>
  <r>
    <s v="09.4.2"/>
    <x v="4"/>
    <x v="0"/>
    <m/>
    <m/>
    <s v="Nomura Now"/>
    <s v="Implement RR Analyser cache"/>
    <s v="David Covey"/>
    <d v="2009-11-18T00:00:00"/>
    <n v="10"/>
    <x v="1"/>
    <x v="1"/>
    <d v="2010-08-04T00:00:00"/>
    <n v="4"/>
    <n v="13"/>
  </r>
  <r>
    <s v="19.5.3"/>
    <x v="4"/>
    <x v="0"/>
    <m/>
    <m/>
    <s v="Support"/>
    <s v="Extract PDF data for Danny"/>
    <s v="Danny"/>
    <d v="2010-07-28T00:00:00"/>
    <n v="2"/>
    <x v="5"/>
    <x v="0"/>
    <d v="2010-07-28T00:00:00"/>
    <n v="4"/>
    <n v="13"/>
  </r>
  <r>
    <s v="06.8.2"/>
    <x v="4"/>
    <x v="2"/>
    <m/>
    <m/>
    <s v="Shared application components "/>
    <s v="Build integration architecture"/>
    <s v="Sachin"/>
    <d v="2010-08-04T00:00:00"/>
    <n v="9"/>
    <x v="1"/>
    <x v="1"/>
    <d v="2010-04-15T00:00:00"/>
    <n v="3"/>
    <n v="2"/>
  </r>
  <r>
    <s v="06.8.3"/>
    <x v="4"/>
    <x v="2"/>
    <m/>
    <m/>
    <s v="Shared application components "/>
    <s v="Incorporate into Trade Blotter, CommentViewer and DealAnalyser"/>
    <s v="Neil"/>
    <d v="2010-08-04T00:00:00"/>
    <n v="2"/>
    <x v="1"/>
    <x v="1"/>
    <d v="2010-04-15T00:00:00"/>
    <n v="3"/>
    <n v="2"/>
  </r>
  <r>
    <s v="06.8.4"/>
    <x v="4"/>
    <x v="2"/>
    <m/>
    <m/>
    <s v="Shared application components "/>
    <s v="Testing and UAT"/>
    <s v="Sachin"/>
    <d v="2010-08-04T00:00:00"/>
    <n v="2"/>
    <x v="1"/>
    <x v="1"/>
    <d v="2010-04-15T00:00:00"/>
    <n v="3"/>
    <n v="2"/>
  </r>
  <r>
    <s v="06.8.5"/>
    <x v="4"/>
    <x v="2"/>
    <m/>
    <m/>
    <s v="Shared application components "/>
    <s v="Code review and resulting changes"/>
    <s v="Neil"/>
    <d v="2010-08-04T00:00:00"/>
    <n v="1"/>
    <x v="1"/>
    <x v="1"/>
    <d v="2010-04-15T00:00:00"/>
    <n v="3"/>
    <n v="2"/>
  </r>
  <r>
    <s v="06.8.6"/>
    <x v="4"/>
    <x v="2"/>
    <m/>
    <m/>
    <s v="Shared application components "/>
    <s v="Release to production"/>
    <s v="Neil"/>
    <d v="2010-08-04T00:00:00"/>
    <n v="1"/>
    <x v="1"/>
    <x v="1"/>
    <d v="2010-04-15T00:00:00"/>
    <n v="3"/>
    <n v="2"/>
  </r>
  <r>
    <s v="08.06"/>
    <x v="4"/>
    <x v="3"/>
    <m/>
    <m/>
    <s v="Production Environment"/>
    <s v="Application to perform daily data quality checks"/>
    <s v="Neil"/>
    <d v="2009-05-29T00:00:00"/>
    <n v="5"/>
    <x v="2"/>
    <x v="1"/>
    <d v="2010-04-15T00:00:00"/>
    <n v="1"/>
    <n v="2"/>
  </r>
  <r>
    <s v="06.8.1"/>
    <x v="4"/>
    <x v="5"/>
    <m/>
    <m/>
    <s v="Shared application components "/>
    <s v="Design integration mechanisms"/>
    <s v="Neil"/>
    <d v="2009-11-18T00:00:00"/>
    <n v="5"/>
    <x v="1"/>
    <x v="4"/>
    <d v="2010-08-04T00:00:00"/>
    <n v="0"/>
    <n v="1"/>
  </r>
  <r>
    <s v="17.7.5"/>
    <x v="4"/>
    <x v="5"/>
    <d v="2010-07-13T00:00:00"/>
    <m/>
    <s v="Trade Blotter"/>
    <s v="TradeBlotter3: Final changes and testing"/>
    <s v="Neil"/>
    <d v="2010-06-24T00:00:00"/>
    <n v="2"/>
    <x v="1"/>
    <x v="4"/>
    <d v="2010-07-16T00:00:00"/>
    <n v="0"/>
    <n v="0"/>
  </r>
  <r>
    <s v="17.7.6"/>
    <x v="4"/>
    <x v="5"/>
    <d v="2010-07-15T00:00:00"/>
    <m/>
    <s v="Trade Blotter"/>
    <s v="TradeBlotter3: Make release"/>
    <s v="Neil"/>
    <d v="2010-06-24T00:00:00"/>
    <n v="1"/>
    <x v="1"/>
    <x v="4"/>
    <d v="2010-07-16T00:00:00"/>
    <n v="0"/>
    <n v="0"/>
  </r>
  <r>
    <s v="17.7.2"/>
    <x v="4"/>
    <x v="5"/>
    <d v="2010-07-02T00:00:00"/>
    <m/>
    <s v="Trade Blotter"/>
    <s v="TradeBlotter3: Implement changes"/>
    <s v="Neil"/>
    <d v="2010-06-24T00:00:00"/>
    <n v="6"/>
    <x v="1"/>
    <x v="4"/>
    <d v="2010-07-14T00:00:00"/>
    <n v="0"/>
    <n v="0"/>
  </r>
  <r>
    <s v="17.7.3"/>
    <x v="4"/>
    <x v="5"/>
    <d v="2010-07-05T00:00:00"/>
    <m/>
    <s v="Trade Blotter"/>
    <s v="TradeBlotter3: Test changes"/>
    <s v="Neil"/>
    <d v="2010-06-24T00:00:00"/>
    <n v="0.5"/>
    <x v="1"/>
    <x v="4"/>
    <d v="2010-07-14T00:00:00"/>
    <n v="0"/>
    <n v="0"/>
  </r>
  <r>
    <s v="17.7.4"/>
    <x v="4"/>
    <x v="5"/>
    <d v="2010-07-07T00:00:00"/>
    <m/>
    <s v="Trade Blotter"/>
    <s v="TradeBlotter3: Review changes"/>
    <s v="Neil"/>
    <d v="2010-06-24T00:00:00"/>
    <n v="0.5"/>
    <x v="1"/>
    <x v="4"/>
    <d v="2010-07-14T00:00:00"/>
    <n v="0"/>
    <n v="0"/>
  </r>
  <r>
    <s v="11.2.22d"/>
    <x v="4"/>
    <x v="5"/>
    <d v="2010-06-14T00:00:00"/>
    <m/>
    <s v="Admin"/>
    <s v="Set goals for 2010_2011"/>
    <s v="Neil"/>
    <d v="2010-06-07T00:00:00"/>
    <n v="0.5"/>
    <x v="0"/>
    <x v="4"/>
    <d v="2010-07-02T00:00:00"/>
    <n v="0"/>
    <n v="0"/>
  </r>
  <r>
    <s v="17.7.1"/>
    <x v="4"/>
    <x v="5"/>
    <d v="2010-06-24T00:00:00"/>
    <m/>
    <s v="Trade Blotter"/>
    <s v="TradeBlotter3: Agree items to include in release"/>
    <s v="Neil"/>
    <d v="2010-06-24T00:00:00"/>
    <n v="0.5"/>
    <x v="1"/>
    <x v="4"/>
    <d v="2010-06-24T00:00:00"/>
    <n v="0"/>
    <n v="0"/>
  </r>
  <r>
    <s v="22.2.7"/>
    <x v="4"/>
    <x v="5"/>
    <d v="2010-05-07T00:00:00"/>
    <m/>
    <s v="Support Tools"/>
    <s v="Support Tool - Release GUI and Batch to Prod"/>
    <s v="Neil"/>
    <d v="2010-05-06T00:00:00"/>
    <n v="1"/>
    <x v="1"/>
    <x v="4"/>
    <d v="2010-06-24T00:00:00"/>
    <n v="0"/>
    <n v="0"/>
  </r>
  <r>
    <s v="03.8.11"/>
    <x v="4"/>
    <x v="5"/>
    <d v="2010-06-01T00:00:00"/>
    <m/>
    <s v="Deal Analyser"/>
    <s v="CE - Release CE to Prod for June conference"/>
    <s v="Pramendra"/>
    <d v="2010-05-06T00:00:00"/>
    <n v="15"/>
    <x v="1"/>
    <x v="4"/>
    <d v="2010-06-21T00:00:00"/>
    <n v="0"/>
    <n v="0"/>
  </r>
  <r>
    <s v="03.8.10"/>
    <x v="4"/>
    <x v="5"/>
    <d v="2010-05-14T00:00:00"/>
    <m/>
    <s v="Deal Analyser"/>
    <s v="CE - Implement updated algorithm as specified by Ajay"/>
    <s v="Pramendra"/>
    <d v="2010-05-06T00:00:00"/>
    <n v="2"/>
    <x v="1"/>
    <x v="4"/>
    <d v="2010-06-07T00:00:00"/>
    <n v="0"/>
    <n v="0"/>
  </r>
  <r>
    <s v="19.5.2"/>
    <x v="4"/>
    <x v="5"/>
    <d v="2010-05-06T00:00:00"/>
    <m/>
    <s v="Support"/>
    <s v="Extract PDF data for Friedel #2"/>
    <s v="Friedel"/>
    <d v="2010-05-06T00:00:00"/>
    <n v="2"/>
    <x v="4"/>
    <x v="4"/>
    <d v="2010-05-07T00:00:00"/>
    <n v="0"/>
    <n v="0"/>
  </r>
  <r>
    <s v="22.2.5"/>
    <x v="4"/>
    <x v="5"/>
    <d v="2010-05-07T00:00:00"/>
    <m/>
    <s v="Support Tools"/>
    <s v="Support Tool - Loan load - Full Implementation"/>
    <s v="Neil"/>
    <d v="2010-04-13T00:00:00"/>
    <n v="10"/>
    <x v="1"/>
    <x v="4"/>
    <d v="2010-05-06T00:00:00"/>
    <n v="0"/>
    <n v="0"/>
  </r>
  <r>
    <s v="19.5.1"/>
    <x v="4"/>
    <x v="5"/>
    <m/>
    <m/>
    <s v="Support"/>
    <s v="Extract PDF data for Friedel"/>
    <s v="Friedel"/>
    <d v="2010-04-20T00:00:00"/>
    <n v="2"/>
    <x v="4"/>
    <x v="4"/>
    <d v="2010-05-05T00:00:00"/>
    <n v="0"/>
    <n v="0"/>
  </r>
  <r>
    <s v="22.2.3"/>
    <x v="4"/>
    <x v="5"/>
    <d v="2010-04-10T00:00:00"/>
    <m/>
    <s v="Support Tools"/>
    <s v="Support Tool - Loan load - 1st Draft Implementation"/>
    <s v="Neil"/>
    <d v="2010-03-08T00:00:00"/>
    <n v="5"/>
    <x v="1"/>
    <x v="4"/>
    <d v="2010-05-05T00:00:00"/>
    <n v="0"/>
    <n v="0"/>
  </r>
  <r>
    <s v="22.2.4"/>
    <x v="4"/>
    <x v="5"/>
    <m/>
    <m/>
    <s v="Support Tools"/>
    <s v="Support Tool - Loan load - Code Review"/>
    <s v="Neil"/>
    <d v="2010-03-08T00:00:00"/>
    <n v="1"/>
    <x v="1"/>
    <x v="4"/>
    <d v="2010-05-05T00:00:00"/>
    <n v="0"/>
    <n v="0"/>
  </r>
  <r>
    <s v="22.2.6"/>
    <x v="4"/>
    <x v="5"/>
    <d v="2010-04-20T00:00:00"/>
    <m/>
    <s v="Support Tools"/>
    <s v="Support Tool - Incorporate comments from group review"/>
    <s v="Neil"/>
    <d v="2010-04-13T00:00:00"/>
    <n v="1"/>
    <x v="1"/>
    <x v="4"/>
    <d v="2010-05-05T00:00:00"/>
    <n v="0"/>
    <n v="0"/>
  </r>
  <r>
    <s v="11.2.13"/>
    <x v="4"/>
    <x v="5"/>
    <m/>
    <n v="1"/>
    <s v="Admin"/>
    <s v="Get Sachin all set up"/>
    <s v="Neil"/>
    <d v="2010-02-23T00:00:00"/>
    <n v="1"/>
    <x v="4"/>
    <x v="4"/>
    <d v="2010-04-15T00:00:00"/>
    <n v="0"/>
    <n v="0"/>
  </r>
  <r>
    <s v="22.1.1"/>
    <x v="4"/>
    <x v="5"/>
    <m/>
    <n v="1"/>
    <s v="Support Tools"/>
    <s v="Generic Suppot Tool Design"/>
    <s v="Neil"/>
    <d v="2010-03-08T00:00:00"/>
    <n v="15"/>
    <x v="4"/>
    <x v="4"/>
    <d v="2010-04-15T00:00:00"/>
    <n v="0"/>
    <n v="0"/>
  </r>
  <r>
    <s v="22.2.1"/>
    <x v="4"/>
    <x v="5"/>
    <m/>
    <n v="1"/>
    <s v="Support Tools"/>
    <s v="Gather current load status"/>
    <s v="Neil"/>
    <d v="2010-03-08T00:00:00"/>
    <n v="1"/>
    <x v="4"/>
    <x v="4"/>
    <d v="2010-04-15T00:00:00"/>
    <n v="0"/>
    <n v="0"/>
  </r>
  <r>
    <s v="22.2.2"/>
    <x v="4"/>
    <x v="5"/>
    <m/>
    <n v="1"/>
    <s v="Support Tools"/>
    <s v="Support Tool - Loan load - Design"/>
    <s v="Neil"/>
    <d v="2010-03-08T00:00:00"/>
    <n v="4"/>
    <x v="4"/>
    <x v="4"/>
    <d v="2010-04-15T00:00:00"/>
    <n v="0"/>
    <n v="0"/>
  </r>
  <r>
    <s v="11.2.9"/>
    <x v="4"/>
    <x v="5"/>
    <m/>
    <m/>
    <s v="Admin"/>
    <s v="Find a better way to show accurate loan load status info on the wiki"/>
    <s v="Neil"/>
    <d v="2010-01-04T00:00:00"/>
    <n v="15"/>
    <x v="4"/>
    <x v="4"/>
    <d v="2010-03-08T00:00:00"/>
    <n v="0"/>
    <n v="0"/>
  </r>
  <r>
    <s v="03.8.12"/>
    <x v="5"/>
    <x v="0"/>
    <d v="2010-06-21T00:00:00"/>
    <m/>
    <s v="Deal Analyser"/>
    <s v="CE - Review database tables for Deal vs Issuer after June conference"/>
    <s v="Neil"/>
    <d v="2010-05-27T00:00:00"/>
    <n v="2"/>
    <x v="2"/>
    <x v="1"/>
    <d v="2010-07-28T00:00:00"/>
    <n v="4"/>
    <n v="28"/>
  </r>
  <r>
    <s v="06.10.2"/>
    <x v="5"/>
    <x v="0"/>
    <d v="2010-07-01T00:00:00"/>
    <m/>
    <s v="Shared application components "/>
    <s v="PerformanceDataLib: 1st Implementation"/>
    <s v="Ruth"/>
    <d v="2010-07-28T00:00:00"/>
    <n v="3"/>
    <x v="1"/>
    <x v="1"/>
    <d v="2010-07-28T00:00:00"/>
    <n v="4"/>
    <n v="25"/>
  </r>
  <r>
    <s v="12.1.2"/>
    <x v="5"/>
    <x v="0"/>
    <d v="2010-08-05T00:00:00"/>
    <m/>
    <s v="Utilities"/>
    <s v="Backup Prod application area to network"/>
    <s v="Neil"/>
    <d v="2009-08-24T00:00:00"/>
    <n v="1.5"/>
    <x v="1"/>
    <x v="1"/>
    <d v="2010-07-28T00:00:00"/>
    <n v="4"/>
    <n v="16"/>
  </r>
  <r>
    <s v="04.10.09"/>
    <x v="5"/>
    <x v="0"/>
    <d v="2010-08-20T00:00:00"/>
    <m/>
    <s v="Matrix Pricing Application"/>
    <s v="Mark some prices as bad"/>
    <s v="Zhuu"/>
    <d v="2010-04-19T00:00:00"/>
    <n v="3"/>
    <x v="1"/>
    <x v="1"/>
    <d v="2010-07-29T00:00:00"/>
    <n v="4"/>
    <n v="13"/>
  </r>
  <r>
    <s v="04.10.19"/>
    <x v="5"/>
    <x v="0"/>
    <d v="2010-08-20T00:00:00"/>
    <m/>
    <s v="Matrix Pricing Application"/>
    <s v="Remove un-needed fields from MatrixPricing.Results"/>
    <s v="Neil"/>
    <d v="2010-07-05T00:00:00"/>
    <n v="1"/>
    <x v="1"/>
    <x v="1"/>
    <d v="2010-07-29T00:00:00"/>
    <n v="4"/>
    <n v="13"/>
  </r>
  <r>
    <s v="04.10.20"/>
    <x v="5"/>
    <x v="0"/>
    <d v="2010-08-20T00:00:00"/>
    <m/>
    <s v="Matrix Pricing Application"/>
    <s v="Three fixes proposed by Ruth."/>
    <s v="Ruth"/>
    <d v="2010-07-28T00:00:00"/>
    <n v="3"/>
    <x v="2"/>
    <x v="1"/>
    <d v="2010-07-29T00:00:00"/>
    <n v="4"/>
    <n v="13"/>
  </r>
  <r>
    <s v="04.10.21"/>
    <x v="5"/>
    <x v="0"/>
    <d v="2010-08-20T00:00:00"/>
    <m/>
    <s v="Matrix Pricing Application"/>
    <s v="Invert concept of FrontPay + BackPay"/>
    <s v="Neil"/>
    <d v="2010-07-29T00:00:00"/>
    <n v="2"/>
    <x v="3"/>
    <x v="1"/>
    <d v="2010-07-29T00:00:00"/>
    <n v="4"/>
    <n v="13"/>
  </r>
  <r>
    <s v="04.10.22"/>
    <x v="5"/>
    <x v="0"/>
    <d v="2010-08-20T00:00:00"/>
    <m/>
    <s v="Matrix Pricing Application"/>
    <s v="Modify windows sizes so that all columns are displayed"/>
    <s v="Neil"/>
    <d v="2010-07-29T00:00:00"/>
    <n v="1"/>
    <x v="2"/>
    <x v="1"/>
    <d v="2010-07-29T00:00:00"/>
    <n v="4"/>
    <n v="13"/>
  </r>
  <r>
    <s v="04.10.23"/>
    <x v="5"/>
    <x v="0"/>
    <d v="2010-08-20T00:00:00"/>
    <m/>
    <s v="Matrix Pricing Application"/>
    <s v="Make sure the same columns appear for Levels 1, 2 &amp; 3 between Matrix Editor and Viewer."/>
    <s v="Neil"/>
    <d v="2010-07-29T00:00:00"/>
    <n v="1"/>
    <x v="2"/>
    <x v="1"/>
    <d v="2010-07-29T00:00:00"/>
    <n v="4"/>
    <n v="13"/>
  </r>
  <r>
    <s v="07.2.2"/>
    <x v="5"/>
    <x v="0"/>
    <m/>
    <m/>
    <s v="Development Environment"/>
    <s v="Schema save: Build and release App."/>
    <s v="Neil"/>
    <d v="2010-07-02T00:00:00"/>
    <n v="0"/>
    <x v="4"/>
    <x v="1"/>
    <d v="2010-07-28T00:00:00"/>
    <n v="4"/>
    <n v="13"/>
  </r>
  <r>
    <s v="16.10.6"/>
    <x v="5"/>
    <x v="0"/>
    <m/>
    <m/>
    <s v="Macro Economic Data"/>
    <s v="Normalised ECB Amount Data "/>
    <s v="Pramendra"/>
    <d v="2010-05-05T00:00:00"/>
    <n v="2"/>
    <x v="3"/>
    <x v="1"/>
    <d v="2010-05-05T00:00:00"/>
    <n v="4"/>
    <n v="13"/>
  </r>
  <r>
    <s v="16.10.7"/>
    <x v="5"/>
    <x v="0"/>
    <m/>
    <m/>
    <s v="Macro Economic Data"/>
    <s v="Normalised BOE Amount Data "/>
    <s v="Pramendra"/>
    <d v="2010-05-05T00:00:00"/>
    <n v="2"/>
    <x v="3"/>
    <x v="1"/>
    <d v="2010-05-05T00:00:00"/>
    <n v="4"/>
    <n v="13"/>
  </r>
  <r>
    <s v="04.10.24"/>
    <x v="5"/>
    <x v="0"/>
    <d v="2010-08-23T00:00:00"/>
    <m/>
    <s v="Matrix Pricing Application"/>
    <s v="Test and UAT all changes"/>
    <s v="Neil"/>
    <d v="2010-07-29T00:00:00"/>
    <n v="1"/>
    <x v="2"/>
    <x v="1"/>
    <d v="2010-07-29T00:00:00"/>
    <n v="4"/>
    <n v="12"/>
  </r>
  <r>
    <s v="04.10.25"/>
    <x v="5"/>
    <x v="0"/>
    <d v="2010-08-25T00:00:00"/>
    <m/>
    <s v="Matrix Pricing Application"/>
    <s v="Review Matrix Pricing changes"/>
    <s v="Neil"/>
    <d v="2010-07-29T00:00:00"/>
    <n v="1"/>
    <x v="2"/>
    <x v="1"/>
    <d v="2010-07-29T00:00:00"/>
    <n v="4"/>
    <n v="11"/>
  </r>
  <r>
    <s v="04.10.26"/>
    <x v="5"/>
    <x v="0"/>
    <d v="2010-08-27T00:00:00"/>
    <m/>
    <s v="Matrix Pricing Application"/>
    <s v="Release Matrix Pricing changes"/>
    <s v="Neil"/>
    <d v="2010-07-29T00:00:00"/>
    <n v="1"/>
    <x v="2"/>
    <x v="1"/>
    <d v="2010-07-29T00:00:00"/>
    <n v="4"/>
    <n v="11"/>
  </r>
  <r>
    <s v="09.1.20"/>
    <x v="5"/>
    <x v="2"/>
    <m/>
    <m/>
    <s v="Nomura Now"/>
    <s v="Make sure all NN SPs return dealIds and bondIds only"/>
    <s v="Neil"/>
    <d v="2010-01-19T00:00:00"/>
    <n v="2"/>
    <x v="2"/>
    <x v="1"/>
    <d v="2010-04-23T00:00:00"/>
    <n v="3"/>
    <n v="2"/>
  </r>
  <r>
    <s v="03.5.09"/>
    <x v="5"/>
    <x v="1"/>
    <m/>
    <m/>
    <s v="Deal Analyser"/>
    <s v="Make Deal Analyser Handle Master Trusts"/>
    <s v="Neil"/>
    <d v="2009-08-24T00:00:00"/>
    <n v="4"/>
    <x v="1"/>
    <x v="1"/>
    <d v="2010-04-15T00:00:00"/>
    <n v="2"/>
    <n v="2"/>
  </r>
  <r>
    <s v="03.5.13"/>
    <x v="5"/>
    <x v="1"/>
    <m/>
    <m/>
    <s v="Deal Analyser"/>
    <s v="Prevent commas and semi-colons in aggregate names"/>
    <s v="Gerald"/>
    <d v="2009-10-28T00:00:00"/>
    <n v="0.5"/>
    <x v="3"/>
    <x v="1"/>
    <d v="2010-04-15T00:00:00"/>
    <n v="2"/>
    <n v="2"/>
  </r>
  <r>
    <s v="03.8.6"/>
    <x v="5"/>
    <x v="1"/>
    <m/>
    <m/>
    <s v="Deal Analyser"/>
    <s v="CE - Extend CE for more esoteric deals"/>
    <s v="Ajay"/>
    <d v="2010-05-06T00:00:00"/>
    <n v="10"/>
    <x v="1"/>
    <x v="1"/>
    <d v="2010-04-15T00:00:00"/>
    <n v="2"/>
    <n v="2"/>
  </r>
  <r>
    <s v="05.12.2"/>
    <x v="5"/>
    <x v="1"/>
    <m/>
    <m/>
    <s v="Loan level data"/>
    <s v="Implement mapping for Resloc"/>
    <s v="David Covey"/>
    <d v="2009-09-11T00:00:00"/>
    <n v="3"/>
    <x v="1"/>
    <x v="1"/>
    <d v="2010-04-15T00:00:00"/>
    <n v="2"/>
    <n v="2"/>
  </r>
  <r>
    <s v="05.14.1"/>
    <x v="5"/>
    <x v="2"/>
    <m/>
    <m/>
    <s v="Loan level data"/>
    <s v="Add Great Hall loans -  raw + document"/>
    <s v="David Covey"/>
    <d v="2009-09-30T00:00:00"/>
    <n v="4"/>
    <x v="1"/>
    <x v="0"/>
    <d v="2010-04-15T00:00:00"/>
    <n v="3"/>
    <n v="2"/>
  </r>
  <r>
    <s v="05.14.2"/>
    <x v="5"/>
    <x v="2"/>
    <m/>
    <m/>
    <s v="Loan level data"/>
    <s v="Implement mapping for Great Hall"/>
    <s v="David Covey"/>
    <d v="2009-09-30T00:00:00"/>
    <n v="3"/>
    <x v="1"/>
    <x v="1"/>
    <d v="2010-04-15T00:00:00"/>
    <n v="3"/>
    <n v="2"/>
  </r>
  <r>
    <s v="05.19.1"/>
    <x v="5"/>
    <x v="1"/>
    <m/>
    <m/>
    <s v="Loan level data"/>
    <s v="Add EMF loans -  raw + document"/>
    <s v="Danny"/>
    <d v="2010-01-22T00:00:00"/>
    <n v="3"/>
    <x v="1"/>
    <x v="1"/>
    <d v="2010-04-15T00:00:00"/>
    <n v="2"/>
    <n v="2"/>
  </r>
  <r>
    <s v="05.19.2"/>
    <x v="5"/>
    <x v="1"/>
    <m/>
    <m/>
    <s v="Loan level data"/>
    <s v="Implement mapping for EMF"/>
    <s v="Danny"/>
    <d v="2010-01-22T00:00:00"/>
    <n v="4"/>
    <x v="1"/>
    <x v="1"/>
    <d v="2010-04-15T00:00:00"/>
    <n v="2"/>
    <n v="2"/>
  </r>
  <r>
    <s v="09.1.08"/>
    <x v="5"/>
    <x v="2"/>
    <m/>
    <n v="1"/>
    <s v="Nomura Now"/>
    <s v="Make Deal/ABSNet data available to TSP via SP"/>
    <s v="Gerald"/>
    <d v="2009-12-22T00:00:00"/>
    <n v="1"/>
    <x v="1"/>
    <x v="1"/>
    <d v="2010-04-15T00:00:00"/>
    <n v="3"/>
    <n v="2"/>
  </r>
  <r>
    <s v="09.1.16"/>
    <x v="5"/>
    <x v="1"/>
    <m/>
    <m/>
    <s v="Nomura Now"/>
    <s v="SPs to support Bond Portfolio Pricing"/>
    <s v="Gerald"/>
    <d v="2009-11-18T00:00:00"/>
    <n v="3"/>
    <x v="1"/>
    <x v="1"/>
    <d v="2010-03-02T00:00:00"/>
    <n v="2"/>
    <n v="2"/>
  </r>
  <r>
    <s v="09.2.7"/>
    <x v="5"/>
    <x v="1"/>
    <m/>
    <m/>
    <s v="Nomura Now"/>
    <s v="Issue with Deal+Pool Balance"/>
    <s v="Gerald"/>
    <d v="2010-02-24T00:00:00"/>
    <n v="1"/>
    <x v="3"/>
    <x v="1"/>
    <d v="2010-02-24T00:00:00"/>
    <n v="2"/>
    <n v="2"/>
  </r>
  <r>
    <s v="04.10.11"/>
    <x v="5"/>
    <x v="5"/>
    <d v="2010-06-25T00:00:00"/>
    <m/>
    <s v="Matrix Pricing Application"/>
    <s v="Tier by Front Pay / Back Pay"/>
    <s v="Zhuu"/>
    <d v="2010-05-06T00:00:00"/>
    <n v="2"/>
    <x v="1"/>
    <x v="4"/>
    <d v="2010-07-29T00:00:00"/>
    <n v="0"/>
    <n v="1"/>
  </r>
  <r>
    <s v="04.10.16"/>
    <x v="5"/>
    <x v="5"/>
    <d v="2010-07-20T00:00:00"/>
    <m/>
    <s v="Matrix Pricing Application"/>
    <s v="Test and UAT all changes"/>
    <s v="Neil"/>
    <d v="2010-06-24T00:00:00"/>
    <n v="2"/>
    <x v="1"/>
    <x v="4"/>
    <d v="2010-07-29T00:00:00"/>
    <n v="0"/>
    <n v="1"/>
  </r>
  <r>
    <s v="04.10.18"/>
    <x v="5"/>
    <x v="5"/>
    <d v="2010-07-23T00:00:00"/>
    <m/>
    <s v="Matrix Pricing Application"/>
    <s v="Release Matrix Pricing changes"/>
    <s v="Neil"/>
    <d v="2010-06-24T00:00:00"/>
    <n v="1"/>
    <x v="1"/>
    <x v="4"/>
    <d v="2010-07-29T00:00:00"/>
    <n v="0"/>
    <n v="1"/>
  </r>
  <r>
    <s v="04.10.05"/>
    <x v="5"/>
    <x v="5"/>
    <d v="2010-06-25T00:00:00"/>
    <m/>
    <s v="Matrix Pricing Application"/>
    <s v="Remove 'ISIN' field from pricing results."/>
    <s v="Neil"/>
    <d v="2009-12-10T00:00:00"/>
    <n v="2"/>
    <x v="3"/>
    <x v="4"/>
    <d v="2010-07-14T00:00:00"/>
    <n v="0"/>
    <n v="0"/>
  </r>
  <r>
    <s v="04.10.08"/>
    <x v="5"/>
    <x v="5"/>
    <d v="2010-06-25T00:00:00"/>
    <m/>
    <s v="Matrix Pricing Application"/>
    <s v="Various fixes for Zhuu"/>
    <s v="Zhuu"/>
    <d v="2010-03-05T00:00:00"/>
    <n v="2"/>
    <x v="1"/>
    <x v="4"/>
    <d v="2010-07-14T00:00:00"/>
    <n v="0"/>
    <n v="0"/>
  </r>
  <r>
    <s v="04.10.12"/>
    <x v="5"/>
    <x v="5"/>
    <d v="2010-06-25T00:00:00"/>
    <m/>
    <s v="Matrix Pricing Application"/>
    <s v="Tier by Credit Enhancement"/>
    <s v="Zhuu"/>
    <d v="2010-05-06T00:00:00"/>
    <n v="2"/>
    <x v="1"/>
    <x v="4"/>
    <d v="2010-07-14T00:00:00"/>
    <n v="0"/>
    <n v="0"/>
  </r>
  <r>
    <s v="04.10.13"/>
    <x v="5"/>
    <x v="5"/>
    <d v="2010-06-25T00:00:00"/>
    <m/>
    <s v="Matrix Pricing Application"/>
    <s v="Show additional fields on Level 3 to allow filtering/sorting"/>
    <s v="Zhuu"/>
    <d v="2010-05-06T00:00:00"/>
    <n v="2"/>
    <x v="1"/>
    <x v="4"/>
    <d v="2010-07-14T00:00:00"/>
    <n v="0"/>
    <n v="0"/>
  </r>
  <r>
    <s v="04.10.14"/>
    <x v="5"/>
    <x v="5"/>
    <d v="2010-06-25T00:00:00"/>
    <m/>
    <s v="Matrix Pricing Application"/>
    <s v="Add a new comment field for level 2 + 3 rules"/>
    <s v="Zhuu"/>
    <d v="2010-05-06T00:00:00"/>
    <n v="3"/>
    <x v="1"/>
    <x v="4"/>
    <d v="2010-07-14T00:00:00"/>
    <n v="0"/>
    <n v="0"/>
  </r>
  <r>
    <s v="04.10.15"/>
    <x v="5"/>
    <x v="5"/>
    <d v="2010-06-25T00:00:00"/>
    <m/>
    <s v="Matrix Pricing Application"/>
    <s v="Add ability to specify a 1 year WAL bucket"/>
    <s v="Zhuu"/>
    <d v="2010-05-06T00:00:00"/>
    <n v="3"/>
    <x v="1"/>
    <x v="4"/>
    <d v="2010-07-09T00:00:00"/>
    <n v="0"/>
    <n v="0"/>
  </r>
  <r>
    <s v="04.10.01"/>
    <x v="5"/>
    <x v="5"/>
    <d v="2010-06-25T00:00:00"/>
    <m/>
    <s v="Matrix Pricing Application"/>
    <s v="Key Matrix Results on bondID rather than ISIN"/>
    <s v="Neil"/>
    <d v="2009-11-02T00:00:00"/>
    <n v="2"/>
    <x v="3"/>
    <x v="4"/>
    <d v="2010-07-08T00:00:00"/>
    <n v="0"/>
    <n v="0"/>
  </r>
  <r>
    <s v="04.10.03"/>
    <x v="5"/>
    <x v="5"/>
    <d v="2010-06-25T00:00:00"/>
    <m/>
    <s v="Matrix Pricing Application"/>
    <s v="Add Spread+Price on Viewer and Editor + add all fields to View Search"/>
    <s v="Neil"/>
    <d v="2009-11-09T00:00:00"/>
    <n v="3"/>
    <x v="2"/>
    <x v="4"/>
    <d v="2010-07-08T00:00:00"/>
    <n v="0"/>
    <n v="0"/>
  </r>
  <r>
    <s v="06.10.1"/>
    <x v="5"/>
    <x v="5"/>
    <m/>
    <m/>
    <s v="Shared application components "/>
    <s v="PerformanceDataLib: Requirements"/>
    <s v="Ruth"/>
    <d v="2010-07-28T00:00:00"/>
    <n v="1"/>
    <x v="1"/>
    <x v="4"/>
    <d v="2010-07-02T00:00:00"/>
    <n v="0"/>
    <n v="0"/>
  </r>
  <r>
    <s v="11.2.22c"/>
    <x v="5"/>
    <x v="5"/>
    <d v="2010-06-14T00:00:00"/>
    <m/>
    <s v="Admin"/>
    <s v="Set goals for 2010_2011"/>
    <s v="Neil"/>
    <d v="2010-06-07T00:00:00"/>
    <n v="0.5"/>
    <x v="0"/>
    <x v="4"/>
    <d v="2010-07-02T00:00:00"/>
    <n v="0"/>
    <n v="0"/>
  </r>
  <r>
    <s v="03.8.4"/>
    <x v="5"/>
    <x v="5"/>
    <d v="2010-05-22T00:00:00"/>
    <n v="1"/>
    <s v="Deal Analyser"/>
    <s v="CE - Release CE to production"/>
    <s v="Neil"/>
    <d v="2010-05-06T00:00:00"/>
    <n v="5"/>
    <x v="1"/>
    <x v="4"/>
    <d v="2010-06-24T00:00:00"/>
    <n v="0"/>
    <n v="0"/>
  </r>
  <r>
    <s v="03.8.8"/>
    <x v="5"/>
    <x v="5"/>
    <d v="2010-06-01T00:00:00"/>
    <m/>
    <s v="Deal Analyser"/>
    <s v="CE - Release CE for Master Trusts"/>
    <s v="Ajay"/>
    <d v="2010-05-06T00:00:00"/>
    <n v="5"/>
    <x v="1"/>
    <x v="4"/>
    <d v="2010-06-24T00:00:00"/>
    <n v="0"/>
    <n v="0"/>
  </r>
  <r>
    <s v="04.10.10"/>
    <x v="5"/>
    <x v="5"/>
    <d v="2010-06-15T00:00:00"/>
    <m/>
    <s v="Matrix Pricing Application"/>
    <s v="Tier by Original rating"/>
    <s v="Zhuu"/>
    <d v="2010-04-19T00:00:00"/>
    <n v="2"/>
    <x v="1"/>
    <x v="4"/>
    <d v="2010-06-24T00:00:00"/>
    <n v="0"/>
    <n v="0"/>
  </r>
  <r>
    <s v="09.5.1"/>
    <x v="5"/>
    <x v="5"/>
    <m/>
    <n v="1"/>
    <s v="Nomura Now"/>
    <s v="Deals Page - Implement New Stored procs"/>
    <s v="Jon"/>
    <d v="2010-01-14T00:00:00"/>
    <n v="2"/>
    <x v="1"/>
    <x v="4"/>
    <d v="2010-06-24T00:00:00"/>
    <n v="0"/>
    <n v="0"/>
  </r>
  <r>
    <s v="23.1.6"/>
    <x v="5"/>
    <x v="5"/>
    <d v="2010-05-20T00:00:00"/>
    <m/>
    <s v="BBG Performance Data"/>
    <s v="Release to production"/>
    <s v="Neil"/>
    <d v="2010-03-15T00:00:00"/>
    <n v="5"/>
    <x v="1"/>
    <x v="4"/>
    <d v="2010-06-21T00:00:00"/>
    <n v="0"/>
    <n v="0"/>
  </r>
  <r>
    <s v="03.8.5"/>
    <x v="5"/>
    <x v="5"/>
    <d v="2010-06-01T00:00:00"/>
    <m/>
    <s v="Deal Analyser"/>
    <s v="CE - Extend CE for Master trusts"/>
    <s v="Ajay"/>
    <d v="2010-05-06T00:00:00"/>
    <n v="10"/>
    <x v="1"/>
    <x v="4"/>
    <d v="2010-06-07T00:00:00"/>
    <n v="0"/>
    <n v="0"/>
  </r>
  <r>
    <s v="23.1.5"/>
    <x v="5"/>
    <x v="5"/>
    <d v="2010-05-18T00:00:00"/>
    <m/>
    <s v="BBG Performance Data"/>
    <s v="Code Review"/>
    <s v="Neil"/>
    <d v="2010-03-15T00:00:00"/>
    <n v="2"/>
    <x v="1"/>
    <x v="4"/>
    <d v="2010-06-07T00:00:00"/>
    <n v="0"/>
    <n v="0"/>
  </r>
  <r>
    <s v="07.5.1"/>
    <x v="5"/>
    <x v="5"/>
    <m/>
    <m/>
    <s v="Development Environment"/>
    <s v="Figure out naming convention for WinForm controls and document"/>
    <s v="Neil"/>
    <d v="2010-04-15T00:00:00"/>
    <n v="0.5"/>
    <x v="2"/>
    <x v="4"/>
    <d v="2010-05-24T00:00:00"/>
    <n v="0"/>
    <n v="0"/>
  </r>
  <r>
    <s v="03.8.9"/>
    <x v="5"/>
    <x v="5"/>
    <d v="2010-04-20T00:00:00"/>
    <m/>
    <s v="Deal Analyser"/>
    <s v="CE - Incorporate comments from group review (apr 10)"/>
    <s v="Neil"/>
    <d v="2010-05-06T00:00:00"/>
    <n v="10"/>
    <x v="1"/>
    <x v="4"/>
    <d v="2010-05-06T00:00:00"/>
    <n v="0"/>
    <n v="0"/>
  </r>
  <r>
    <s v="23.1.2"/>
    <x v="5"/>
    <x v="5"/>
    <m/>
    <m/>
    <s v="BBG Performance Data"/>
    <s v="Design application and database"/>
    <s v="Neil"/>
    <d v="2010-03-15T00:00:00"/>
    <n v="4"/>
    <x v="1"/>
    <x v="4"/>
    <d v="2010-05-05T00:00:00"/>
    <n v="0"/>
    <n v="0"/>
  </r>
  <r>
    <s v="23.1.3"/>
    <x v="5"/>
    <x v="5"/>
    <m/>
    <m/>
    <s v="BBG Performance Data"/>
    <s v="Review design"/>
    <s v="Neil"/>
    <d v="2010-03-15T00:00:00"/>
    <n v="1"/>
    <x v="1"/>
    <x v="4"/>
    <d v="2010-05-05T00:00:00"/>
    <n v="0"/>
    <n v="0"/>
  </r>
  <r>
    <s v="23.1.4"/>
    <x v="5"/>
    <x v="5"/>
    <m/>
    <m/>
    <s v="BBG Performance Data"/>
    <s v="Build first version"/>
    <s v="Neil"/>
    <d v="2010-03-15T00:00:00"/>
    <n v="10"/>
    <x v="1"/>
    <x v="4"/>
    <d v="2010-05-05T00:00:00"/>
    <n v="0"/>
    <n v="0"/>
  </r>
  <r>
    <s v="09.6.2"/>
    <x v="5"/>
    <x v="4"/>
    <m/>
    <m/>
    <s v="Nomura Now"/>
    <s v="Issuance Tool - Implement batch"/>
    <s v="Gerald"/>
    <d v="2010-03-08T00:00:00"/>
    <n v="10"/>
    <x v="4"/>
    <x v="3"/>
    <d v="2010-04-22T00:00:00"/>
    <n v="0"/>
    <n v="0"/>
  </r>
  <r>
    <s v="09.6.3"/>
    <x v="5"/>
    <x v="4"/>
    <m/>
    <m/>
    <s v="Nomura Now"/>
    <s v="Issuance Tool - Test with Nomura Now"/>
    <s v="Gerald"/>
    <d v="2010-02-26T00:00:00"/>
    <n v="10"/>
    <x v="4"/>
    <x v="3"/>
    <d v="2010-04-22T00:00:00"/>
    <n v="0"/>
    <n v="0"/>
  </r>
  <r>
    <s v="09.6.4"/>
    <x v="5"/>
    <x v="4"/>
    <m/>
    <m/>
    <s v="Nomura Now"/>
    <s v="Issuance Tool - Release to production"/>
    <s v="Gerald"/>
    <d v="2010-02-26T00:00:00"/>
    <n v="10"/>
    <x v="4"/>
    <x v="3"/>
    <d v="2010-04-22T00:00:00"/>
    <n v="0"/>
    <n v="0"/>
  </r>
  <r>
    <s v="23.1.1"/>
    <x v="5"/>
    <x v="5"/>
    <m/>
    <m/>
    <s v="BBG Performance Data"/>
    <s v="Gather Requirements"/>
    <s v="Neil"/>
    <d v="2010-03-15T00:00:00"/>
    <n v="2"/>
    <x v="4"/>
    <x v="4"/>
    <d v="2010-04-16T00:00:00"/>
    <n v="0"/>
    <n v="0"/>
  </r>
  <r>
    <s v="05.06.2"/>
    <x v="5"/>
    <x v="5"/>
    <m/>
    <n v="1"/>
    <s v="Loan level data"/>
    <s v="Implement mapping for Kensington"/>
    <s v="David Covey"/>
    <d v="2009-09-29T00:00:00"/>
    <n v="3"/>
    <x v="4"/>
    <x v="4"/>
    <d v="2010-04-15T00:00:00"/>
    <n v="0"/>
    <n v="0"/>
  </r>
  <r>
    <s v="03.6.6"/>
    <x v="5"/>
    <x v="5"/>
    <m/>
    <n v="1"/>
    <s v="Deal Analyser"/>
    <s v="Update ABSNet loader for new SENG schema"/>
    <s v="Ruth"/>
    <d v="2010-02-24T00:00:00"/>
    <n v="5"/>
    <x v="4"/>
    <x v="4"/>
    <d v="2010-03-15T00:00:00"/>
    <n v="0"/>
    <n v="0"/>
  </r>
  <r>
    <s v="03.8.3"/>
    <x v="5"/>
    <x v="5"/>
    <m/>
    <m/>
    <s v="Deal Analyser"/>
    <s v="CE - Integrate CE with Nomura Now"/>
    <s v="Gerald"/>
    <d v="2010-05-06T00:00:00"/>
    <n v="10"/>
    <x v="4"/>
    <x v="4"/>
    <d v="2010-02-26T00:00:00"/>
    <n v="0"/>
    <n v="0"/>
  </r>
  <r>
    <s v="04.10.7"/>
    <x v="5"/>
    <x v="5"/>
    <m/>
    <n v="1"/>
    <s v="Matrix Pricing Application"/>
    <s v="Make setting Priority in L2 easier"/>
    <s v="Zhuu"/>
    <d v="2009-12-21T00:00:00"/>
    <n v="10"/>
    <x v="4"/>
    <x v="4"/>
    <d v="2010-02-26T00:00:00"/>
    <n v="0"/>
    <n v="0"/>
  </r>
  <r>
    <s v="09.6.1"/>
    <x v="5"/>
    <x v="5"/>
    <m/>
    <m/>
    <s v="Nomura Now"/>
    <s v="Issuance Tool - Determine Requirements"/>
    <s v="David Covey"/>
    <d v="2010-01-14T00:00:00"/>
    <n v="3"/>
    <x v="1"/>
    <x v="4"/>
    <d v="2010-02-26T00:00:00"/>
    <n v="0"/>
    <n v="0"/>
  </r>
  <r>
    <s v="03.8.7"/>
    <x v="5"/>
    <x v="5"/>
    <m/>
    <m/>
    <s v="Deal Analyser"/>
    <s v="CE - Release CE GUI"/>
    <s v="Ajay"/>
    <d v="2010-05-06T00:00:00"/>
    <n v="2"/>
    <x v="4"/>
    <x v="4"/>
    <d v="2010-02-01T00:00:00"/>
    <n v="0"/>
    <n v="0"/>
  </r>
  <r>
    <s v="05.06.3"/>
    <x v="5"/>
    <x v="5"/>
    <m/>
    <m/>
    <s v="Loan level data"/>
    <s v="Reload Kensington loan raw data"/>
    <s v="Danny"/>
    <d v="2010-01-18T00:00:00"/>
    <n v="1"/>
    <x v="4"/>
    <x v="4"/>
    <d v="2010-01-20T00:00:00"/>
    <n v="0"/>
    <n v="0"/>
  </r>
  <r>
    <s v="03.8.2"/>
    <x v="5"/>
    <x v="5"/>
    <m/>
    <m/>
    <s v="Deal Analyser"/>
    <s v="CE - Develop application to generate CE"/>
    <s v="Ajay"/>
    <d v="2010-05-06T00:00:00"/>
    <n v="10"/>
    <x v="4"/>
    <x v="4"/>
    <d v="2009-12-16T00:00:00"/>
    <n v="0"/>
    <n v="0"/>
  </r>
  <r>
    <s v="04.10.4"/>
    <x v="5"/>
    <x v="5"/>
    <m/>
    <m/>
    <s v="Matrix Pricing Application"/>
    <s v="Add 'Legal Maturity' and 'Shelf containts' as L2 criteria"/>
    <s v="Zhuu"/>
    <d v="2009-12-02T00:00:00"/>
    <n v="4"/>
    <x v="4"/>
    <x v="4"/>
    <d v="2009-12-10T00:00:00"/>
    <n v="0"/>
    <n v="0"/>
  </r>
  <r>
    <s v="03.6.5"/>
    <x v="5"/>
    <x v="5"/>
    <m/>
    <m/>
    <s v="Deal Analyser"/>
    <s v="Update ABSNet loader for latest DB and email notification"/>
    <s v="Neil"/>
    <d v="2009-11-30T00:00:00"/>
    <n v="1"/>
    <x v="4"/>
    <x v="4"/>
    <d v="2009-12-03T00:00:00"/>
    <n v="0"/>
    <n v="0"/>
  </r>
  <r>
    <s v="03.8.1"/>
    <x v="5"/>
    <x v="5"/>
    <m/>
    <m/>
    <s v="Deal Analyser"/>
    <s v="CE - Determine generic CE algorithm"/>
    <s v="Ajay"/>
    <d v="2010-05-06T00:00:00"/>
    <n v="15"/>
    <x v="4"/>
    <x v="4"/>
    <d v="2009-12-03T00:00:00"/>
    <n v="0"/>
    <n v="0"/>
  </r>
  <r>
    <s v="05.11.3"/>
    <x v="5"/>
    <x v="5"/>
    <m/>
    <m/>
    <s v="Loan level data"/>
    <s v="Load LEEK(Britannia) raw &amp; ESF data - Sept 09"/>
    <s v="Friedel"/>
    <d v="2009-10-09T00:00:00"/>
    <n v="0"/>
    <x v="4"/>
    <x v="4"/>
    <d v="2009-11-30T00:00:00"/>
    <n v="0"/>
    <n v="0"/>
  </r>
  <r>
    <s v="03.5.10"/>
    <x v="5"/>
    <x v="5"/>
    <m/>
    <m/>
    <s v="Deal Analyser"/>
    <s v="Make Deal Analyser use Aggregate library"/>
    <s v="Neil"/>
    <d v="2009-09-18T00:00:00"/>
    <n v="0"/>
    <x v="4"/>
    <x v="4"/>
    <d v="2009-10-25T00:00:00"/>
    <n v="0"/>
    <n v="0"/>
  </r>
  <r>
    <s v="03.5.12"/>
    <x v="5"/>
    <x v="5"/>
    <m/>
    <m/>
    <s v="Deal Analyser"/>
    <s v="Take comments from Peer review of Aggregate library"/>
    <s v="Neil"/>
    <d v="2009-09-30T00:00:00"/>
    <n v="0"/>
    <x v="4"/>
    <x v="4"/>
    <d v="2009-10-15T00:00:00"/>
    <n v="0"/>
    <n v="0"/>
  </r>
  <r>
    <s v="09.1.10"/>
    <x v="5"/>
    <x v="5"/>
    <m/>
    <m/>
    <s v="Nomura Now"/>
    <s v="Modify Sector Spreads SP to allow for * in Currency Field"/>
    <s v="Shubh"/>
    <d v="2009-10-08T00:00:00"/>
    <n v="0"/>
    <x v="4"/>
    <x v="4"/>
    <d v="2009-10-15T00:00:00"/>
    <n v="0"/>
    <n v="0"/>
  </r>
  <r>
    <s v="05.06.1"/>
    <x v="5"/>
    <x v="5"/>
    <m/>
    <m/>
    <s v="Loan level data"/>
    <s v="Add Kensington loans - raw data + document"/>
    <s v="David Covey"/>
    <d v="2009-07-31T00:00:00"/>
    <n v="0"/>
    <x v="4"/>
    <x v="4"/>
    <d v="2009-09-18T00:00:00"/>
    <n v="0"/>
    <n v="0"/>
  </r>
  <r>
    <s v="05.11.1"/>
    <x v="5"/>
    <x v="5"/>
    <m/>
    <m/>
    <s v="Loan level data"/>
    <s v="Add LEEK (Britannia) loans - raw data + document"/>
    <s v="David Covey"/>
    <d v="2009-07-31T00:00:00"/>
    <n v="0"/>
    <x v="4"/>
    <x v="4"/>
    <d v="2009-09-18T00:00:00"/>
    <n v="0"/>
    <n v="0"/>
  </r>
  <r>
    <s v="05.12.1"/>
    <x v="5"/>
    <x v="5"/>
    <m/>
    <m/>
    <s v="Loan level data"/>
    <s v="Add Resloc data - raw data + document"/>
    <s v="David Covey"/>
    <d v="2009-07-31T00:00:00"/>
    <n v="0"/>
    <x v="4"/>
    <x v="4"/>
    <d v="2009-09-18T00:00:00"/>
    <n v="0"/>
    <n v="0"/>
  </r>
  <r>
    <s v="09.2.3"/>
    <x v="5"/>
    <x v="5"/>
    <m/>
    <m/>
    <s v="Nomura Now"/>
    <s v="Generate public aggregates"/>
    <s v="Neil"/>
    <d v="2009-08-04T00:00:00"/>
    <n v="0"/>
    <x v="4"/>
    <x v="4"/>
    <d v="2009-09-16T00:00:00"/>
    <n v="0"/>
    <n v="0"/>
  </r>
  <r>
    <s v="03.5.05"/>
    <x v="5"/>
    <x v="5"/>
    <m/>
    <m/>
    <s v="Deal Analyser"/>
    <s v="Move aggregate definitions to UserConfig DB"/>
    <s v="Neil"/>
    <d v="2009-06-11T00:00:00"/>
    <n v="0"/>
    <x v="4"/>
    <x v="4"/>
    <d v="2009-08-28T00:00:00"/>
    <n v="0"/>
    <n v="0"/>
  </r>
  <r>
    <s v="03.5.07"/>
    <x v="5"/>
    <x v="5"/>
    <m/>
    <m/>
    <s v="Deal Analyser"/>
    <s v="Add 180+ and 360+ DQ"/>
    <s v="David Covey"/>
    <d v="2009-07-31T00:00:00"/>
    <n v="0"/>
    <x v="4"/>
    <x v="4"/>
    <d v="2009-08-28T00:00:00"/>
    <n v="0"/>
    <n v="0"/>
  </r>
  <r>
    <s v="03.5.08"/>
    <x v="5"/>
    <x v="5"/>
    <m/>
    <m/>
    <s v="Deal Analyser"/>
    <s v="Update PlotGrapth to latest version"/>
    <s v="Neil"/>
    <d v="2009-08-04T00:00:00"/>
    <n v="0"/>
    <x v="4"/>
    <x v="4"/>
    <d v="2009-08-28T00:00:00"/>
    <n v="0"/>
    <n v="0"/>
  </r>
  <r>
    <s v="06.7.4"/>
    <x v="5"/>
    <x v="5"/>
    <m/>
    <m/>
    <s v="Shared application components "/>
    <s v="Modifications to Plot Graph"/>
    <s v="Neil"/>
    <d v="2009-08-20T00:00:00"/>
    <n v="0"/>
    <x v="4"/>
    <x v="4"/>
    <d v="2009-08-28T00:00:00"/>
    <n v="0"/>
    <n v="0"/>
  </r>
  <r>
    <s v="09.2.4"/>
    <x v="5"/>
    <x v="5"/>
    <m/>
    <m/>
    <s v="Nomura Now"/>
    <s v="Develop first cut of SPs for Deal Analyser"/>
    <s v="Neil"/>
    <d v="2009-08-20T00:00:00"/>
    <n v="0"/>
    <x v="4"/>
    <x v="4"/>
    <d v="2009-08-27T00:00:00"/>
    <n v="0"/>
    <n v="0"/>
  </r>
  <r>
    <s v="09.1.06"/>
    <x v="5"/>
    <x v="5"/>
    <m/>
    <m/>
    <s v="Nomura Now"/>
    <s v="Add TS facility for Granite"/>
    <s v="David Covey"/>
    <d v="2009-07-31T00:00:00"/>
    <n v="0"/>
    <x v="4"/>
    <x v="4"/>
    <d v="2009-08-04T00:00:00"/>
    <n v="0"/>
    <n v="0"/>
  </r>
  <r>
    <s v="04.8.5"/>
    <x v="5"/>
    <x v="5"/>
    <m/>
    <m/>
    <s v="Matrix Pricing Application"/>
    <s v="Matrix Editor - Make modification as required and release"/>
    <s v="Neil"/>
    <d v="2009-07-14T00:00:00"/>
    <n v="0"/>
    <x v="4"/>
    <x v="4"/>
    <d v="2009-07-31T00:00:00"/>
    <n v="0"/>
    <n v="0"/>
  </r>
  <r>
    <s v="06.7.2"/>
    <x v="5"/>
    <x v="5"/>
    <m/>
    <m/>
    <s v="Shared application components "/>
    <s v="Add generic charting component"/>
    <s v="Neil"/>
    <d v="2009-06-11T00:00:00"/>
    <n v="0"/>
    <x v="4"/>
    <x v="4"/>
    <d v="2009-07-31T00:00:00"/>
    <n v="0"/>
    <n v="0"/>
  </r>
  <r>
    <s v="06.7.3"/>
    <x v="5"/>
    <x v="5"/>
    <m/>
    <m/>
    <s v="Shared application components "/>
    <s v="Implement Plot Graph"/>
    <s v="Neil"/>
    <d v="2009-07-30T00:00:00"/>
    <n v="0"/>
    <x v="4"/>
    <x v="4"/>
    <d v="2009-07-31T00:00:00"/>
    <n v="0"/>
    <n v="0"/>
  </r>
  <r>
    <s v="04.7.4"/>
    <x v="5"/>
    <x v="5"/>
    <m/>
    <m/>
    <s v="Matrix Pricing Application"/>
    <s v="Collect comments and implement fixes"/>
    <s v="Neil"/>
    <d v="2009-06-11T00:00:00"/>
    <n v="0"/>
    <x v="4"/>
    <x v="4"/>
    <d v="2009-07-14T00:00:00"/>
    <n v="0"/>
    <n v="0"/>
  </r>
  <r>
    <s v="04.8.2"/>
    <x v="5"/>
    <x v="5"/>
    <m/>
    <m/>
    <s v="Matrix Pricing Application"/>
    <s v="Editor - Make first implementation - L1 Matrix"/>
    <s v="Neil"/>
    <d v="2009-06-11T00:00:00"/>
    <n v="0"/>
    <x v="4"/>
    <x v="4"/>
    <d v="2009-06-19T00:00:00"/>
    <n v="0"/>
    <n v="0"/>
  </r>
  <r>
    <s v="04.8.4"/>
    <x v="5"/>
    <x v="5"/>
    <m/>
    <m/>
    <s v="Matrix Pricing Application"/>
    <s v="Editor - Research review 1st implementation"/>
    <s v="Neil"/>
    <d v="2009-05-12T00:00:00"/>
    <n v="0"/>
    <x v="4"/>
    <x v="4"/>
    <d v="2009-06-19T00:00:00"/>
    <n v="0"/>
    <n v="0"/>
  </r>
  <r>
    <s v="04.7.1"/>
    <x v="5"/>
    <x v="5"/>
    <m/>
    <m/>
    <s v="Matrix Pricing Application"/>
    <s v="Price Viewer - Separate out application"/>
    <s v="Neil"/>
    <d v="2009-05-27T00:00:00"/>
    <n v="0"/>
    <x v="4"/>
    <x v="4"/>
    <d v="2009-06-08T00:00:00"/>
    <n v="0"/>
    <n v="0"/>
  </r>
  <r>
    <s v="04.7.2"/>
    <x v="5"/>
    <x v="5"/>
    <m/>
    <m/>
    <s v="Matrix Pricing Application"/>
    <s v="Price Viewer - Make first release with limited filter functionality"/>
    <s v="Neil"/>
    <d v="2009-05-27T00:00:00"/>
    <n v="0"/>
    <x v="4"/>
    <x v="4"/>
    <d v="2009-06-08T00:00:00"/>
    <n v="0"/>
    <n v="0"/>
  </r>
  <r>
    <s v="09.1.05"/>
    <x v="5"/>
    <x v="5"/>
    <m/>
    <m/>
    <s v="Nomura Now"/>
    <s v="Migrate TS to PROD database"/>
    <s v="Neil"/>
    <d v="2009-05-27T00:00:00"/>
    <n v="0"/>
    <x v="4"/>
    <x v="4"/>
    <d v="2009-06-02T00:00:00"/>
    <n v="0"/>
    <n v="0"/>
  </r>
  <r>
    <s v="09.1.04"/>
    <x v="5"/>
    <x v="5"/>
    <m/>
    <m/>
    <s v="Nomura Now"/>
    <s v="Agree 'menu' definition and interface with Duncan"/>
    <s v="David Covey"/>
    <d v="2009-04-29T00:00:00"/>
    <n v="0"/>
    <x v="4"/>
    <x v="4"/>
    <d v="2009-05-27T00:00:00"/>
    <n v="0"/>
    <n v="0"/>
  </r>
  <r>
    <s v="04.5"/>
    <x v="5"/>
    <x v="5"/>
    <m/>
    <m/>
    <s v="Matrix Pricing Application"/>
    <s v="Port Application matrix functionality to 'Trunk'"/>
    <s v="Neil"/>
    <d v="2009-04-21T00:00:00"/>
    <n v="0"/>
    <x v="4"/>
    <x v="4"/>
    <d v="2009-05-12T00:00:00"/>
    <n v="0"/>
    <n v="0"/>
  </r>
  <r>
    <s v="04.6"/>
    <x v="5"/>
    <x v="5"/>
    <m/>
    <m/>
    <s v="Matrix Pricing Application"/>
    <s v="Port Application GUI to 'Trunk'"/>
    <s v="Neil"/>
    <d v="2009-04-21T00:00:00"/>
    <n v="0"/>
    <x v="4"/>
    <x v="4"/>
    <d v="2009-05-12T00:00:00"/>
    <n v="0"/>
    <n v="0"/>
  </r>
  <r>
    <s v="06.4.1"/>
    <x v="5"/>
    <x v="5"/>
    <m/>
    <m/>
    <s v="Shared application components "/>
    <s v="Possible enhancements"/>
    <s v="Neil"/>
    <d v="2009-04-14T00:00:00"/>
    <n v="0"/>
    <x v="4"/>
    <x v="4"/>
    <d v="2009-04-29T00:00:00"/>
    <n v="0"/>
    <n v="0"/>
  </r>
  <r>
    <s v="04.1"/>
    <x v="5"/>
    <x v="5"/>
    <m/>
    <m/>
    <s v="Matrix Pricing Application"/>
    <s v="Various modifications before prototype given to Research "/>
    <s v="Neil"/>
    <d v="2009-04-08T00:00:00"/>
    <n v="0"/>
    <x v="4"/>
    <x v="4"/>
    <d v="2009-04-21T00:00:00"/>
    <n v="0"/>
    <n v="0"/>
  </r>
  <r>
    <s v="06.3.1"/>
    <x v="5"/>
    <x v="5"/>
    <m/>
    <m/>
    <s v="Shared application components "/>
    <s v="Make first release of Database library"/>
    <s v="Neil"/>
    <d v="2009-04-08T00:00:00"/>
    <n v="0"/>
    <x v="4"/>
    <x v="4"/>
    <d v="2009-04-21T00:00:00"/>
    <n v="0"/>
    <n v="0"/>
  </r>
  <r>
    <s v="06.3.2"/>
    <x v="5"/>
    <x v="5"/>
    <m/>
    <m/>
    <s v="Shared application components "/>
    <s v="Add in usage of Config library to Database library"/>
    <s v="Neil"/>
    <d v="2009-04-08T00:00:00"/>
    <n v="0"/>
    <x v="4"/>
    <x v="4"/>
    <d v="2009-04-21T00:00:00"/>
    <n v="0"/>
    <n v="0"/>
  </r>
  <r>
    <s v="10.3.1"/>
    <x v="6"/>
    <x v="5"/>
    <m/>
    <m/>
    <s v="Radial / Totoro / Other"/>
    <s v="Feed principal schedule to QDB"/>
    <s v="Operations"/>
    <d v="2009-05-05T00:00:00"/>
    <n v="0"/>
    <x v="4"/>
    <x v="4"/>
    <d v="2009-06-11T00:00:00"/>
    <n v="0"/>
    <n v="0"/>
  </r>
  <r>
    <s v="05.21.4"/>
    <x v="7"/>
    <x v="0"/>
    <m/>
    <m/>
    <s v="Loan level data"/>
    <s v="LoanHandling: Modify each loader to conform to procedure."/>
    <s v="Pramendra"/>
    <d v="2010-07-29T00:00:00"/>
    <n v="10"/>
    <x v="2"/>
    <x v="1"/>
    <d v="2010-07-29T00:00:00"/>
    <n v="4"/>
    <e v="#REF!"/>
  </r>
  <r>
    <s v="11.2.19"/>
    <x v="7"/>
    <x v="0"/>
    <d v="2010-05-01T00:00:00"/>
    <m/>
    <s v="Admin"/>
    <s v="Get Mumbai located IT share set up for logging and other uses."/>
    <s v="Neil"/>
    <d v="2010-04-13T00:00:00"/>
    <n v="0.5"/>
    <x v="1"/>
    <x v="1"/>
    <d v="2010-07-29T00:00:00"/>
    <n v="4"/>
    <n v="40"/>
  </r>
  <r>
    <s v="21.2.7"/>
    <x v="7"/>
    <x v="0"/>
    <d v="2010-07-06T00:00:00"/>
    <m/>
    <s v="Collateral Model"/>
    <s v="Collateral Model: UAT - Backtesting"/>
    <s v="Danny"/>
    <d v="2010-07-02T00:00:00"/>
    <n v="4"/>
    <x v="1"/>
    <x v="0"/>
    <d v="2010-07-02T00:00:00"/>
    <n v="4"/>
    <n v="24"/>
  </r>
  <r>
    <s v="21.4.3"/>
    <x v="7"/>
    <x v="2"/>
    <d v="2010-07-19T00:00:00"/>
    <m/>
    <s v="Collateral Model"/>
    <s v="IntexCduPss: Review Design"/>
    <s v="Neil"/>
    <d v="2010-07-02T00:00:00"/>
    <n v="0.5"/>
    <x v="1"/>
    <x v="1"/>
    <d v="2010-07-02T00:00:00"/>
    <n v="3"/>
    <n v="14"/>
  </r>
  <r>
    <s v="05.21.2"/>
    <x v="7"/>
    <x v="0"/>
    <m/>
    <m/>
    <s v="Loan level data"/>
    <s v="LoanHandling: Design schema and library"/>
    <s v="Pramendra"/>
    <d v="2010-07-29T00:00:00"/>
    <n v="2"/>
    <x v="2"/>
    <x v="1"/>
    <d v="2010-07-29T00:00:00"/>
    <n v="4"/>
    <n v="13"/>
  </r>
  <r>
    <s v="05.21.3"/>
    <x v="7"/>
    <x v="0"/>
    <m/>
    <m/>
    <s v="Loan level data"/>
    <s v="LoanHandling: First release with just ALBA"/>
    <s v="Pramendra"/>
    <d v="2010-07-29T00:00:00"/>
    <n v="3"/>
    <x v="1"/>
    <x v="1"/>
    <d v="2010-07-14T00:00:00"/>
    <n v="4"/>
    <n v="13"/>
  </r>
  <r>
    <s v="05.21.7"/>
    <x v="7"/>
    <x v="2"/>
    <m/>
    <m/>
    <s v="Loan level data"/>
    <s v="LoanHandling: Full release for all loaders"/>
    <s v="Pramendra"/>
    <d v="2010-07-29T00:00:00"/>
    <n v="12"/>
    <x v="1"/>
    <x v="1"/>
    <d v="2010-07-02T00:00:00"/>
    <n v="3"/>
    <n v="2"/>
  </r>
  <r>
    <s v="01.2.45"/>
    <x v="7"/>
    <x v="2"/>
    <m/>
    <m/>
    <s v="Deals Database"/>
    <s v="Investigate Fingal build errors"/>
    <s v="Neil"/>
    <d v="2010-06-09T00:00:00"/>
    <n v="0.5"/>
    <x v="3"/>
    <x v="1"/>
    <d v="2010-06-09T00:00:00"/>
    <n v="3"/>
    <n v="2"/>
  </r>
  <r>
    <s v="15.3.3"/>
    <x v="7"/>
    <x v="2"/>
    <m/>
    <m/>
    <s v="Excel DB Transition"/>
    <s v="Add trigger definitions to Addin"/>
    <s v="Pramendra"/>
    <d v="2009-11-10T00:00:00"/>
    <n v="3"/>
    <x v="1"/>
    <x v="0"/>
    <d v="2010-04-15T00:00:00"/>
    <n v="3"/>
    <n v="2"/>
  </r>
  <r>
    <s v="15.3.4"/>
    <x v="7"/>
    <x v="3"/>
    <m/>
    <m/>
    <s v="Excel DB Transition"/>
    <s v="Develop schema to hold aggregate loan data (independent of source)"/>
    <s v="Pramendra"/>
    <d v="2009-11-10T00:00:00"/>
    <n v="3"/>
    <x v="1"/>
    <x v="1"/>
    <d v="2010-02-09T00:00:00"/>
    <n v="1"/>
    <n v="2"/>
  </r>
  <r>
    <s v="15.3.5"/>
    <x v="7"/>
    <x v="3"/>
    <m/>
    <m/>
    <s v="Excel DB Transition"/>
    <s v=" Automatically generate aggregate loan data where possible"/>
    <s v="Pramendra"/>
    <d v="2009-11-10T00:00:00"/>
    <n v="10"/>
    <x v="1"/>
    <x v="1"/>
    <d v="2010-02-09T00:00:00"/>
    <n v="1"/>
    <n v="2"/>
  </r>
  <r>
    <s v="15.4.3"/>
    <x v="7"/>
    <x v="3"/>
    <m/>
    <m/>
    <s v="Excel DB Transition"/>
    <s v="App to allow manual entry of aggregate loan data"/>
    <s v="Pramendra"/>
    <d v="2009-11-10T00:00:00"/>
    <n v="3"/>
    <x v="1"/>
    <x v="1"/>
    <d v="2010-02-09T00:00:00"/>
    <n v="1"/>
    <n v="2"/>
  </r>
  <r>
    <s v="16.6.4"/>
    <x v="7"/>
    <x v="3"/>
    <m/>
    <m/>
    <s v="Macro Economic Data"/>
    <s v="Retrieve Unemployment Rate"/>
    <s v="Friedel"/>
    <d v="2009-09-30T00:00:00"/>
    <n v="4"/>
    <x v="1"/>
    <x v="1"/>
    <d v="2010-02-09T00:00:00"/>
    <n v="1"/>
    <n v="2"/>
  </r>
  <r>
    <s v="16.8.1"/>
    <x v="7"/>
    <x v="1"/>
    <m/>
    <m/>
    <s v="Macro Economic Data"/>
    <s v="Determine Credit Card data requirements"/>
    <s v="David"/>
    <d v="2009-12-03T00:00:00"/>
    <n v="1"/>
    <x v="1"/>
    <x v="1"/>
    <d v="2010-02-09T00:00:00"/>
    <n v="2"/>
    <n v="2"/>
  </r>
  <r>
    <s v="04.10.17"/>
    <x v="7"/>
    <x v="5"/>
    <d v="2010-07-21T00:00:00"/>
    <m/>
    <s v="Matrix Pricing Application"/>
    <s v="Review Matrix Pricing changes"/>
    <s v="Neil"/>
    <d v="2010-06-24T00:00:00"/>
    <n v="1"/>
    <x v="1"/>
    <x v="4"/>
    <d v="2010-07-28T00:00:00"/>
    <n v="0"/>
    <n v="1"/>
  </r>
  <r>
    <s v="05.21.1"/>
    <x v="7"/>
    <x v="5"/>
    <d v="2010-04-20T00:00:00"/>
    <m/>
    <s v="Loan level data"/>
    <s v="LoanHandling: Define loan data file handling procedure."/>
    <s v="Neil"/>
    <d v="2010-07-29T00:00:00"/>
    <n v="0.5"/>
    <x v="2"/>
    <x v="4"/>
    <d v="2010-07-14T00:00:00"/>
    <n v="0"/>
    <n v="0"/>
  </r>
  <r>
    <s v="21.2.5"/>
    <x v="7"/>
    <x v="5"/>
    <d v="2010-03-26T00:00:00"/>
    <n v="1"/>
    <s v="Collateral Model"/>
    <s v="Collateral Model: Complete implementation"/>
    <s v="Neil"/>
    <d v="2010-04-16T00:00:00"/>
    <n v="15"/>
    <x v="1"/>
    <x v="4"/>
    <d v="2010-07-06T00:00:00"/>
    <n v="0"/>
    <n v="0"/>
  </r>
  <r>
    <s v="11.2.22b"/>
    <x v="7"/>
    <x v="5"/>
    <d v="2010-06-14T00:00:00"/>
    <m/>
    <s v="Admin"/>
    <s v="Set goals for 2010_2011"/>
    <s v="Neil"/>
    <d v="2010-06-07T00:00:00"/>
    <n v="0.5"/>
    <x v="0"/>
    <x v="4"/>
    <d v="2010-06-24T00:00:00"/>
    <n v="0"/>
    <n v="0"/>
  </r>
  <r>
    <s v="12.3.1"/>
    <x v="7"/>
    <x v="5"/>
    <m/>
    <m/>
    <s v="Utilities"/>
    <s v="Add 'Bonds' View"/>
    <d v="1899-12-30T00:00:00"/>
    <d v="2010-06-08T00:00:00"/>
    <n v="1"/>
    <x v="1"/>
    <x v="4"/>
    <d v="2010-06-09T00:00:00"/>
    <n v="0"/>
    <n v="0"/>
  </r>
  <r>
    <s v="07.4.1"/>
    <x v="7"/>
    <x v="5"/>
    <d v="2010-03-20T00:00:00"/>
    <n v="1"/>
    <s v="Development Environment"/>
    <s v="Linq: determine appropriate usage and document"/>
    <s v="Neil"/>
    <d v="2010-04-15T00:00:00"/>
    <n v="1"/>
    <x v="2"/>
    <x v="4"/>
    <d v="2010-06-07T00:00:00"/>
    <n v="0"/>
    <n v="0"/>
  </r>
  <r>
    <s v="01.3.12"/>
    <x v="7"/>
    <x v="5"/>
    <m/>
    <m/>
    <s v="Deals Database"/>
    <s v="Add missing Original WAL data"/>
    <s v="Zhuu"/>
    <d v="2010-04-28T00:00:00"/>
    <n v="0.5"/>
    <x v="3"/>
    <x v="4"/>
    <d v="2010-05-24T00:00:00"/>
    <n v="0"/>
    <n v="0"/>
  </r>
  <r>
    <s v="21.3.1"/>
    <x v="7"/>
    <x v="5"/>
    <m/>
    <m/>
    <s v="Collateral Model"/>
    <s v="ModelCashflows: Gather requirements"/>
    <s v="Danny"/>
    <d v="2010-05-27T00:00:00"/>
    <n v="1"/>
    <x v="1"/>
    <x v="4"/>
    <d v="2010-05-24T00:00:00"/>
    <n v="0"/>
    <n v="0"/>
  </r>
  <r>
    <s v="16.10.3"/>
    <x v="7"/>
    <x v="5"/>
    <m/>
    <m/>
    <s v="Macro Economic Data"/>
    <s v="Normalised BOE Rate Data "/>
    <s v="Neil"/>
    <d v="2010-03-31T00:00:00"/>
    <n v="2"/>
    <x v="3"/>
    <x v="4"/>
    <d v="2010-05-05T00:00:00"/>
    <n v="0"/>
    <n v="0"/>
  </r>
  <r>
    <s v="16.10.2"/>
    <x v="7"/>
    <x v="5"/>
    <m/>
    <m/>
    <s v="Macro Economic Data"/>
    <s v="Normalised ECB Rate Data "/>
    <s v="Neil"/>
    <d v="2010-03-31T00:00:00"/>
    <n v="2"/>
    <x v="3"/>
    <x v="4"/>
    <d v="2010-04-28T00:00:00"/>
    <n v="0"/>
    <n v="0"/>
  </r>
  <r>
    <s v="21.2.3"/>
    <x v="7"/>
    <x v="5"/>
    <m/>
    <n v="1"/>
    <s v="Collateral Model"/>
    <s v="Collateral Model: First core implementation"/>
    <s v="Neil"/>
    <d v="2010-02-09T00:00:00"/>
    <n v="5"/>
    <x v="4"/>
    <x v="4"/>
    <d v="2010-04-15T00:00:00"/>
    <n v="0"/>
    <n v="0"/>
  </r>
  <r>
    <s v="16.9.1"/>
    <x v="7"/>
    <x v="5"/>
    <m/>
    <n v="1"/>
    <s v="Macro Economic Data"/>
    <s v="Italian Land Registry quick and dirty data extraction"/>
    <s v="Friedel"/>
    <d v="2010-03-03T00:00:00"/>
    <n v="2"/>
    <x v="4"/>
    <x v="4"/>
    <d v="2010-03-03T00:00:00"/>
    <n v="0"/>
    <n v="0"/>
  </r>
  <r>
    <s v="01.2.35"/>
    <x v="7"/>
    <x v="5"/>
    <m/>
    <n v="1"/>
    <s v="Deals Database"/>
    <s v="Fix 'NextFixingDate' on DealsDB and CFGenerator"/>
    <s v="Neil"/>
    <d v="2010-02-10T00:00:00"/>
    <n v="1"/>
    <x v="4"/>
    <x v="4"/>
    <d v="2010-02-26T00:00:00"/>
    <n v="0"/>
    <n v="0"/>
  </r>
  <r>
    <s v="21.2.1"/>
    <x v="7"/>
    <x v="5"/>
    <m/>
    <n v="1"/>
    <s v="Collateral Model"/>
    <s v="Collateral Model: Initial Design of Framework"/>
    <s v="Neil"/>
    <d v="2010-02-23T00:00:00"/>
    <n v="5"/>
    <x v="4"/>
    <x v="4"/>
    <d v="2010-02-23T00:00:00"/>
    <n v="0"/>
    <n v="0"/>
  </r>
  <r>
    <s v="01.2.13"/>
    <x v="7"/>
    <x v="5"/>
    <m/>
    <m/>
    <s v="Deals Database"/>
    <s v="Improve error message when BBG API is not present"/>
    <s v="Neil"/>
    <d v="2009-07-31T00:00:00"/>
    <n v="0.5"/>
    <x v="4"/>
    <x v="4"/>
    <d v="2010-02-09T00:00:00"/>
    <n v="0"/>
    <n v="0"/>
  </r>
  <r>
    <s v="01.2.17"/>
    <x v="7"/>
    <x v="5"/>
    <m/>
    <m/>
    <s v="Deals Database"/>
    <s v="In Deals DB - Check that bonds can be built with Fingal"/>
    <s v="Neil"/>
    <d v="2009-08-24T00:00:00"/>
    <n v="3"/>
    <x v="4"/>
    <x v="4"/>
    <d v="2010-02-09T00:00:00"/>
    <n v="0"/>
    <n v="0"/>
  </r>
  <r>
    <s v="01.2.18"/>
    <x v="7"/>
    <x v="5"/>
    <m/>
    <m/>
    <s v="Deals Database"/>
    <s v="In Cashflow Generator - Check that bonds can be built with Fingal"/>
    <s v="Neil"/>
    <d v="2009-08-24T00:00:00"/>
    <n v="3"/>
    <x v="4"/>
    <x v="4"/>
    <d v="2010-02-09T00:00:00"/>
    <n v="0"/>
    <n v="0"/>
  </r>
  <r>
    <s v="01.2.33"/>
    <x v="7"/>
    <x v="5"/>
    <m/>
    <m/>
    <s v="Deals Database"/>
    <s v="BUG - Refresh from BBG does not populate the BBG Name for bond, example ES0347789002."/>
    <s v="David"/>
    <d v="2010-01-28T00:00:00"/>
    <n v="0.5"/>
    <x v="4"/>
    <x v="4"/>
    <d v="2010-02-09T00:00:00"/>
    <n v="0"/>
    <n v="0"/>
  </r>
  <r>
    <s v="15.3.6"/>
    <x v="7"/>
    <x v="5"/>
    <m/>
    <m/>
    <s v="Excel DB Transition"/>
    <s v="Copy deal structure to comments."/>
    <s v="Pramendra"/>
    <d v="2009-11-10T00:00:00"/>
    <n v="7"/>
    <x v="4"/>
    <x v="4"/>
    <d v="2010-02-09T00:00:00"/>
    <n v="0"/>
    <n v="0"/>
  </r>
  <r>
    <s v="15.3.7"/>
    <x v="7"/>
    <x v="5"/>
    <m/>
    <m/>
    <s v="Excel DB Transition"/>
    <s v="Get Reseach to fully populate triggers in DealsDB"/>
    <s v="Pramendra"/>
    <d v="2010-01-22T00:00:00"/>
    <n v="2"/>
    <x v="4"/>
    <x v="4"/>
    <d v="2010-02-09T00:00:00"/>
    <n v="0"/>
    <n v="0"/>
  </r>
  <r>
    <s v="15.4.1"/>
    <x v="7"/>
    <x v="5"/>
    <m/>
    <m/>
    <s v="Excel DB Transition"/>
    <s v="Set up Counterparties (DealDB app)"/>
    <s v="Pramendra"/>
    <d v="2009-11-10T00:00:00"/>
    <n v="3"/>
    <x v="4"/>
    <x v="4"/>
    <d v="2010-02-09T00:00:00"/>
    <n v="0"/>
    <n v="0"/>
  </r>
  <r>
    <s v="15.4.2"/>
    <x v="7"/>
    <x v="5"/>
    <m/>
    <m/>
    <s v="Excel DB Transition"/>
    <s v="Set up Deal Triggers and allow state changes (DealDB app)"/>
    <s v="Pramendra"/>
    <d v="2009-11-18T00:00:00"/>
    <n v="3"/>
    <x v="4"/>
    <x v="4"/>
    <d v="2010-02-09T00:00:00"/>
    <n v="0"/>
    <n v="0"/>
  </r>
  <r>
    <s v="04.10.6"/>
    <x v="7"/>
    <x v="5"/>
    <m/>
    <m/>
    <s v="Matrix Pricing Application"/>
    <s v="Add Custom attributes for L2 criteria"/>
    <s v="Neil"/>
    <d v="2009-12-16T00:00:00"/>
    <n v="4"/>
    <x v="4"/>
    <x v="4"/>
    <d v="2010-01-22T00:00:00"/>
    <n v="0"/>
    <n v="0"/>
  </r>
  <r>
    <s v="15.3.2"/>
    <x v="7"/>
    <x v="5"/>
    <m/>
    <m/>
    <s v="Excel DB Transition"/>
    <s v="Move trigger definition and state to DB"/>
    <s v="Pramendra"/>
    <d v="2009-11-10T00:00:00"/>
    <n v="10"/>
    <x v="4"/>
    <x v="4"/>
    <d v="2010-01-22T00:00:00"/>
    <n v="0"/>
    <n v="0"/>
  </r>
  <r>
    <s v="15.3.1"/>
    <x v="7"/>
    <x v="5"/>
    <m/>
    <m/>
    <s v="Excel DB Transition"/>
    <s v="Move Deal Transaction Participants to DB + Addin"/>
    <s v="Pramendra"/>
    <d v="2009-11-10T00:00:00"/>
    <n v="3"/>
    <x v="4"/>
    <x v="4"/>
    <d v="2010-01-04T00:00:00"/>
    <n v="0"/>
    <n v="0"/>
  </r>
  <r>
    <s v="10.1.7"/>
    <x v="7"/>
    <x v="5"/>
    <m/>
    <m/>
    <s v="Radial / Totoro / Other"/>
    <s v="Radial creates new bonds automatically."/>
    <s v="Neil"/>
    <d v="2009-08-07T00:00:00"/>
    <n v="0"/>
    <x v="4"/>
    <x v="4"/>
    <d v="2009-11-17T00:00:00"/>
    <n v="0"/>
    <n v="0"/>
  </r>
  <r>
    <s v="04.10.2"/>
    <x v="7"/>
    <x v="5"/>
    <m/>
    <m/>
    <s v="Matrix Pricing Application"/>
    <s v="Modify L2 so that criteria can be edited"/>
    <s v="Shubh"/>
    <d v="2009-11-03T00:00:00"/>
    <n v="0.5"/>
    <x v="4"/>
    <x v="4"/>
    <d v="2009-11-09T00:00:00"/>
    <n v="0"/>
    <n v="0"/>
  </r>
  <r>
    <s v="09.1.12"/>
    <x v="7"/>
    <x v="5"/>
    <m/>
    <m/>
    <s v="Nomura Now"/>
    <s v="Load up historical level 2 granite prices"/>
    <s v="Neil"/>
    <d v="2009-10-23T00:00:00"/>
    <n v="0"/>
    <x v="4"/>
    <x v="4"/>
    <d v="2009-11-03T00:00:00"/>
    <n v="0"/>
    <n v="0"/>
  </r>
  <r>
    <s v="15.1.2"/>
    <x v="7"/>
    <x v="5"/>
    <m/>
    <m/>
    <s v="Excel DB Transition"/>
    <s v="Access Surveillance DB from UKNC spread sheet"/>
    <s v="Pramendra"/>
    <d v="2009-07-31T00:00:00"/>
    <n v="0"/>
    <x v="4"/>
    <x v="4"/>
    <d v="2009-11-03T00:00:00"/>
    <n v="0"/>
    <n v="0"/>
  </r>
  <r>
    <s v="15.1.3"/>
    <x v="7"/>
    <x v="5"/>
    <m/>
    <m/>
    <s v="Excel DB Transition"/>
    <s v="Formulate full plan for transition"/>
    <s v="Pramendra"/>
    <d v="2009-09-30T00:00:00"/>
    <n v="0"/>
    <x v="4"/>
    <x v="4"/>
    <d v="2009-11-03T00:00:00"/>
    <n v="0"/>
    <n v="0"/>
  </r>
  <r>
    <s v="15.2.1"/>
    <x v="7"/>
    <x v="5"/>
    <m/>
    <m/>
    <s v="Excel DB Transition"/>
    <s v="Create Excel Addin"/>
    <s v="Pramendra"/>
    <d v="2009-11-03T00:00:00"/>
    <n v="0"/>
    <x v="4"/>
    <x v="4"/>
    <d v="2009-11-03T00:00:00"/>
    <n v="0"/>
    <n v="0"/>
  </r>
  <r>
    <s v="01.2.16"/>
    <x v="7"/>
    <x v="5"/>
    <m/>
    <m/>
    <s v="Deals Database"/>
    <s v="Make sure time stamps in feed files are London time"/>
    <s v="Neil"/>
    <d v="2009-08-05T00:00:00"/>
    <n v="0"/>
    <x v="4"/>
    <x v="4"/>
    <d v="2009-10-20T00:00:00"/>
    <n v="0"/>
    <n v="0"/>
  </r>
  <r>
    <s v="01.2.14"/>
    <x v="7"/>
    <x v="5"/>
    <m/>
    <m/>
    <s v="Deals Database"/>
    <s v="Move to latest BBG Gateway API"/>
    <s v="Neil"/>
    <d v="2009-09-30T00:00:00"/>
    <n v="0"/>
    <x v="4"/>
    <x v="4"/>
    <d v="2009-10-13T00:00:00"/>
    <n v="0"/>
    <n v="0"/>
  </r>
  <r>
    <s v="01.2.19"/>
    <x v="7"/>
    <x v="5"/>
    <m/>
    <m/>
    <s v="Deals Database"/>
    <s v="Investigate Date error for Cashflow schedules"/>
    <s v="Neil"/>
    <d v="2009-09-30T00:00:00"/>
    <n v="0"/>
    <x v="4"/>
    <x v="4"/>
    <d v="2009-10-13T00:00:00"/>
    <n v="0"/>
    <n v="0"/>
  </r>
  <r>
    <s v="16.5"/>
    <x v="7"/>
    <x v="5"/>
    <m/>
    <m/>
    <s v="Macro Economic Data"/>
    <s v="Add ECB Data"/>
    <s v="David"/>
    <d v="2009-09-30T00:00:00"/>
    <n v="0"/>
    <x v="4"/>
    <x v="4"/>
    <d v="2009-10-13T00:00:00"/>
    <n v="0"/>
    <n v="0"/>
  </r>
  <r>
    <s v="04.7.6 "/>
    <x v="7"/>
    <x v="5"/>
    <m/>
    <m/>
    <s v="Matrix Pricing Application"/>
    <s v="Enhance matrix viewer"/>
    <s v="Neil"/>
    <d v="2009-08-03T00:00:00"/>
    <n v="0"/>
    <x v="4"/>
    <x v="4"/>
    <d v="2009-09-30T00:00:00"/>
    <n v="0"/>
    <n v="0"/>
  </r>
  <r>
    <s v="04.8.10"/>
    <x v="7"/>
    <x v="5"/>
    <m/>
    <m/>
    <s v="Matrix Pricing Application"/>
    <s v="Multiple L2 tier match"/>
    <s v="David Covey"/>
    <d v="2009-08-04T00:00:00"/>
    <n v="0"/>
    <x v="4"/>
    <x v="4"/>
    <d v="2009-09-30T00:00:00"/>
    <n v="0"/>
    <n v="0"/>
  </r>
  <r>
    <s v="04.8.7"/>
    <x v="7"/>
    <x v="5"/>
    <m/>
    <m/>
    <s v="Matrix Pricing Application"/>
    <s v="Redesign L2 matrix screen"/>
    <s v="Neil"/>
    <d v="2009-07-31T00:00:00"/>
    <n v="0"/>
    <x v="4"/>
    <x v="4"/>
    <d v="2009-09-30T00:00:00"/>
    <n v="0"/>
    <n v="0"/>
  </r>
  <r>
    <s v="04.8.9"/>
    <x v="7"/>
    <x v="5"/>
    <m/>
    <m/>
    <s v="Matrix Pricing Application"/>
    <s v="Price large universe of bonds for Aug month end."/>
    <s v="David Covey"/>
    <d v="2009-08-03T00:00:00"/>
    <n v="0"/>
    <x v="4"/>
    <x v="4"/>
    <d v="2009-09-30T00:00:00"/>
    <n v="0"/>
    <n v="0"/>
  </r>
  <r>
    <s v="09.1.07"/>
    <x v="7"/>
    <x v="5"/>
    <m/>
    <m/>
    <s v="Nomura Now"/>
    <s v="Add TS for Macro Economic Data"/>
    <s v="David Covey"/>
    <d v="2009-08-24T00:00:00"/>
    <n v="0"/>
    <x v="4"/>
    <x v="4"/>
    <d v="2009-09-18T00:00:00"/>
    <n v="0"/>
    <n v="0"/>
  </r>
  <r>
    <s v="12.1.1"/>
    <x v="7"/>
    <x v="5"/>
    <m/>
    <m/>
    <s v="Utilities"/>
    <s v="Build log file tidy tool"/>
    <s v="Neil"/>
    <d v="2009-08-20T00:00:00"/>
    <n v="0"/>
    <x v="4"/>
    <x v="4"/>
    <d v="2009-08-27T00:00:00"/>
    <n v="0"/>
    <n v="0"/>
  </r>
  <r>
    <s v="16.2"/>
    <x v="7"/>
    <x v="5"/>
    <m/>
    <m/>
    <s v="Macro Economic Data"/>
    <s v="Develop app to download data to DB"/>
    <s v="David"/>
    <d v="2009-08-20T00:00:00"/>
    <n v="0"/>
    <x v="4"/>
    <x v="4"/>
    <d v="2009-08-27T00:00:00"/>
    <n v="0"/>
    <n v="0"/>
  </r>
  <r>
    <s v="16.1"/>
    <x v="7"/>
    <x v="5"/>
    <m/>
    <m/>
    <s v="Macro Economic Data"/>
    <s v="Initial Plan with Ajay"/>
    <s v="David"/>
    <d v="2009-08-04T00:00:00"/>
    <n v="0"/>
    <x v="4"/>
    <x v="4"/>
    <d v="2009-08-20T00:00:00"/>
    <n v="0"/>
    <n v="0"/>
  </r>
  <r>
    <s v="04.4.8"/>
    <x v="7"/>
    <x v="5"/>
    <m/>
    <m/>
    <s v="Matrix Pricing Application"/>
    <s v="Productionise Matrix Pricer Batch"/>
    <s v="Neil"/>
    <d v="2009-07-14T00:00:00"/>
    <n v="0"/>
    <x v="4"/>
    <x v="4"/>
    <d v="2009-07-31T00:00:00"/>
    <n v="0"/>
    <n v="0"/>
  </r>
  <r>
    <s v="04.4.9"/>
    <x v="7"/>
    <x v="5"/>
    <m/>
    <m/>
    <s v="Matrix Pricing Application"/>
    <s v="Run Matrix Pricer Batch in QA and get sign off"/>
    <s v="Neil"/>
    <d v="2009-07-14T00:00:00"/>
    <n v="0"/>
    <x v="4"/>
    <x v="4"/>
    <d v="2009-07-31T00:00:00"/>
    <n v="0"/>
    <n v="0"/>
  </r>
  <r>
    <s v="04.7.5"/>
    <x v="7"/>
    <x v="5"/>
    <m/>
    <m/>
    <s v="Matrix Pricing Application"/>
    <s v="Use Price viewer in QA and get sign off"/>
    <s v="Neil"/>
    <d v="2009-07-14T00:00:00"/>
    <n v="0"/>
    <x v="4"/>
    <x v="4"/>
    <d v="2009-07-31T00:00:00"/>
    <n v="0"/>
    <n v="0"/>
  </r>
  <r>
    <s v="15.1.1"/>
    <x v="7"/>
    <x v="5"/>
    <m/>
    <m/>
    <s v="Excel DB Transition"/>
    <s v="Initial Plan"/>
    <s v="Neil"/>
    <d v="2009-07-20T00:00:00"/>
    <n v="0"/>
    <x v="4"/>
    <x v="4"/>
    <d v="2009-07-31T00:00:00"/>
    <n v="0"/>
    <n v="0"/>
  </r>
  <r>
    <s v="04.4.6"/>
    <x v="7"/>
    <x v="5"/>
    <m/>
    <m/>
    <s v="Matrix Pricing Application"/>
    <s v="Store 'All' intermediate calcs and useful outputs in DB"/>
    <s v="Neil"/>
    <d v="2009-06-11T00:00:00"/>
    <n v="0"/>
    <x v="4"/>
    <x v="4"/>
    <d v="2009-07-14T00:00:00"/>
    <n v="0"/>
    <n v="0"/>
  </r>
  <r>
    <s v="04.4.7"/>
    <x v="7"/>
    <x v="5"/>
    <m/>
    <m/>
    <s v="Matrix Pricing Application"/>
    <s v="Get sign off for batch pricing"/>
    <s v="Neil"/>
    <d v="2009-06-11T00:00:00"/>
    <n v="0"/>
    <x v="4"/>
    <x v="4"/>
    <d v="2009-07-14T00:00:00"/>
    <n v="0"/>
    <n v="0"/>
  </r>
  <r>
    <s v="06.7.1"/>
    <x v="7"/>
    <x v="5"/>
    <m/>
    <m/>
    <s v="Shared application components "/>
    <s v="Add Exception Dialog with mail send option"/>
    <s v="Neil"/>
    <d v="2009-06-11T00:00:00"/>
    <n v="0"/>
    <x v="4"/>
    <x v="4"/>
    <d v="2009-07-14T00:00:00"/>
    <n v="0"/>
    <n v="0"/>
  </r>
  <r>
    <s v="08.04.1"/>
    <x v="7"/>
    <x v="5"/>
    <m/>
    <m/>
    <s v="Production Environment"/>
    <s v="Get Job Scheduling working on QA machine"/>
    <s v="Neil"/>
    <d v="2009-05-06T00:00:00"/>
    <n v="0"/>
    <x v="4"/>
    <x v="4"/>
    <d v="2009-07-03T00:00:00"/>
    <n v="0"/>
    <n v="0"/>
  </r>
  <r>
    <s v="04.8.3"/>
    <x v="7"/>
    <x v="5"/>
    <m/>
    <m/>
    <s v="Matrix Pricing Application"/>
    <s v="Editor - Make first implementation"/>
    <s v="Neil"/>
    <d v="2009-06-11T00:00:00"/>
    <n v="0"/>
    <x v="4"/>
    <x v="4"/>
    <d v="2009-06-19T00:00:00"/>
    <n v="0"/>
    <n v="0"/>
  </r>
  <r>
    <s v="07.3.2"/>
    <x v="7"/>
    <x v="5"/>
    <m/>
    <m/>
    <s v="Development Environment"/>
    <s v="Stop license warning box displaying"/>
    <s v="Neil"/>
    <d v="2009-06-11T00:00:00"/>
    <n v="0"/>
    <x v="4"/>
    <x v="4"/>
    <d v="2009-06-19T00:00:00"/>
    <n v="0"/>
    <n v="0"/>
  </r>
  <r>
    <s v="04.4.3"/>
    <x v="7"/>
    <x v="5"/>
    <m/>
    <m/>
    <s v="Matrix Pricing Application"/>
    <s v="Test Pricing and get business sign off"/>
    <s v="Neil"/>
    <d v="2009-04-24T00:00:00"/>
    <n v="0"/>
    <x v="4"/>
    <x v="4"/>
    <d v="2009-06-11T00:00:00"/>
    <n v="0"/>
    <n v="0"/>
  </r>
  <r>
    <s v="04.4.1"/>
    <x v="7"/>
    <x v="5"/>
    <m/>
    <m/>
    <s v="Matrix Pricing Application"/>
    <s v="Add pricing functionality to Batch and Application"/>
    <s v="David Covey"/>
    <d v="2009-04-08T00:00:00"/>
    <n v="0"/>
    <x v="4"/>
    <x v="4"/>
    <d v="2009-06-08T00:00:00"/>
    <n v="0"/>
    <n v="0"/>
  </r>
  <r>
    <s v="04.4.5"/>
    <x v="7"/>
    <x v="5"/>
    <m/>
    <m/>
    <s v="Matrix Pricing Application"/>
    <s v="Implement not ('!') as well as 'and' for Level 2 Matrix"/>
    <s v="Neil"/>
    <d v="2009-05-27T00:00:00"/>
    <n v="0"/>
    <x v="4"/>
    <x v="4"/>
    <d v="2009-06-08T00:00:00"/>
    <n v="0"/>
    <n v="0"/>
  </r>
  <r>
    <s v="04.8.1"/>
    <x v="7"/>
    <x v="5"/>
    <m/>
    <m/>
    <s v="Matrix Pricing Application"/>
    <s v="Editor - Agree requirements"/>
    <s v="Neil"/>
    <d v="2009-05-12T00:00:00"/>
    <n v="0"/>
    <x v="4"/>
    <x v="4"/>
    <d v="2009-06-02T00:00:00"/>
    <n v="0"/>
    <n v="0"/>
  </r>
  <r>
    <s v="05.04"/>
    <x v="7"/>
    <x v="5"/>
    <m/>
    <m/>
    <s v="Loan level data"/>
    <s v="Add Halifax HPI data"/>
    <s v="David Covey"/>
    <d v="2009-04-14T00:00:00"/>
    <n v="0"/>
    <x v="4"/>
    <x v="4"/>
    <d v="2009-06-02T00:00:00"/>
    <n v="0"/>
    <n v="0"/>
  </r>
  <r>
    <s v="06.1.1"/>
    <x v="7"/>
    <x v="5"/>
    <m/>
    <m/>
    <s v="Shared application components "/>
    <s v="Make first release of logging library"/>
    <s v="Neil"/>
    <d v="2009-04-08T00:00:00"/>
    <n v="0"/>
    <x v="4"/>
    <x v="4"/>
    <d v="2009-05-08T00:00:00"/>
    <n v="0"/>
    <n v="0"/>
  </r>
  <r>
    <s v="11.1.8"/>
    <x v="8"/>
    <x v="0"/>
    <d v="2010-04-25T00:00:00"/>
    <m/>
    <s v="Admin"/>
    <s v="Design Triggers for Auditing"/>
    <s v="Neil"/>
    <d v="2010-04-06T00:00:00"/>
    <n v="0.5"/>
    <x v="2"/>
    <x v="1"/>
    <d v="2010-04-15T00:00:00"/>
    <n v="4"/>
    <n v="42"/>
  </r>
  <r>
    <s v="17.6"/>
    <x v="8"/>
    <x v="0"/>
    <d v="2010-05-01T00:00:00"/>
    <n v="1"/>
    <s v="Trade Blotter"/>
    <s v="Need to use triggers to keep a back up of all data"/>
    <s v="Pramendra"/>
    <d v="2010-02-24T00:00:00"/>
    <n v="2"/>
    <x v="1"/>
    <x v="1"/>
    <d v="2010-04-15T00:00:00"/>
    <n v="4"/>
    <n v="40"/>
  </r>
  <r>
    <s v="21.2.6"/>
    <x v="8"/>
    <x v="0"/>
    <d v="2010-05-10T00:00:00"/>
    <m/>
    <s v="Collateral Model"/>
    <s v="Collateral Model: Incorporate updated model coefficients"/>
    <s v="Pramendra"/>
    <d v="2010-04-16T00:00:00"/>
    <n v="5"/>
    <x v="1"/>
    <x v="1"/>
    <d v="2010-04-16T00:00:00"/>
    <n v="4"/>
    <n v="38"/>
  </r>
  <r>
    <s v="16.7.8"/>
    <x v="8"/>
    <x v="6"/>
    <d v="2010-06-25T00:00:00"/>
    <m/>
    <s v="Macro Economic Data"/>
    <s v="Fix Spanish HPI load for data format change"/>
    <s v="Paresh"/>
    <d v="2010-06-24T00:00:00"/>
    <n v="1"/>
    <x v="3"/>
    <x v="0"/>
    <d v="2010-06-24T00:00:00"/>
    <n v="5"/>
    <n v="36"/>
  </r>
  <r>
    <s v="21.3.4"/>
    <x v="8"/>
    <x v="2"/>
    <d v="2010-07-07T00:00:00"/>
    <m/>
    <s v="Collateral Model"/>
    <s v="ModelCashflows: First Implementation"/>
    <s v="Neil"/>
    <d v="2010-06-24T00:00:00"/>
    <n v="3"/>
    <x v="1"/>
    <x v="0"/>
    <d v="2010-07-14T00:00:00"/>
    <n v="3"/>
    <n v="17"/>
  </r>
  <r>
    <s v="21.3.6"/>
    <x v="8"/>
    <x v="2"/>
    <d v="2010-07-15T00:00:00"/>
    <m/>
    <s v="Collateral Model"/>
    <s v="ModelCashflows: Complete Implementation"/>
    <s v="Neil"/>
    <d v="2010-06-24T00:00:00"/>
    <n v="5"/>
    <x v="1"/>
    <x v="1"/>
    <d v="2010-06-24T00:00:00"/>
    <n v="3"/>
    <n v="15"/>
  </r>
  <r>
    <s v="21.4.1"/>
    <x v="8"/>
    <x v="2"/>
    <d v="2010-07-16T00:00:00"/>
    <m/>
    <s v="Collateral Model"/>
    <s v="IntexCduPss: Define requirements"/>
    <s v="Neil"/>
    <d v="2010-07-02T00:00:00"/>
    <n v="0.5"/>
    <x v="1"/>
    <x v="1"/>
    <d v="2010-07-02T00:00:00"/>
    <n v="3"/>
    <n v="14"/>
  </r>
  <r>
    <s v="21.4.2"/>
    <x v="8"/>
    <x v="2"/>
    <d v="2010-07-19T00:00:00"/>
    <m/>
    <s v="Collateral Model"/>
    <s v="IntexCduPss: Design"/>
    <s v="Neil"/>
    <d v="2010-07-02T00:00:00"/>
    <n v="0.5"/>
    <x v="1"/>
    <x v="1"/>
    <d v="2010-07-02T00:00:00"/>
    <n v="3"/>
    <n v="14"/>
  </r>
  <r>
    <s v="21.4.4"/>
    <x v="8"/>
    <x v="2"/>
    <d v="2010-07-19T00:00:00"/>
    <m/>
    <s v="Collateral Model"/>
    <s v="IntexCduPss: Implement"/>
    <s v="Neil"/>
    <d v="2010-07-02T00:00:00"/>
    <n v="2"/>
    <x v="1"/>
    <x v="1"/>
    <d v="2010-07-02T00:00:00"/>
    <n v="3"/>
    <n v="14"/>
  </r>
  <r>
    <s v="21.3.7"/>
    <x v="8"/>
    <x v="2"/>
    <d v="2010-07-19T00:00:00"/>
    <m/>
    <s v="Collateral Model"/>
    <s v="ModelCashflows: UAT Testing"/>
    <s v="Neil"/>
    <d v="2010-06-24T00:00:00"/>
    <n v="3"/>
    <x v="1"/>
    <x v="1"/>
    <d v="2010-06-24T00:00:00"/>
    <n v="3"/>
    <n v="14"/>
  </r>
  <r>
    <s v="21.4.6"/>
    <x v="8"/>
    <x v="2"/>
    <d v="2010-07-21T00:00:00"/>
    <m/>
    <s v="Collateral Model"/>
    <s v="IntexCduPss: Complete"/>
    <s v="Neil"/>
    <d v="2010-07-02T00:00:00"/>
    <n v="0.5"/>
    <x v="1"/>
    <x v="1"/>
    <d v="2010-07-02T00:00:00"/>
    <n v="3"/>
    <n v="13"/>
  </r>
  <r>
    <s v="20.1.2"/>
    <x v="8"/>
    <x v="0"/>
    <m/>
    <n v="1"/>
    <s v="CMBS - TREPP"/>
    <s v="Analyse Trepp Data"/>
    <s v="Neil"/>
    <d v="2010-02-10T00:00:00"/>
    <n v="1"/>
    <x v="1"/>
    <x v="0"/>
    <d v="2010-06-08T00:00:00"/>
    <n v="4"/>
    <n v="13"/>
  </r>
  <r>
    <s v="13.2.6"/>
    <x v="8"/>
    <x v="0"/>
    <m/>
    <m/>
    <s v="Comment Viewer"/>
    <s v="Write up wiki notes"/>
    <s v="Neil"/>
    <d v="2010-03-22T00:00:00"/>
    <n v="0.5"/>
    <x v="1"/>
    <x v="1"/>
    <d v="2010-04-15T00:00:00"/>
    <n v="4"/>
    <n v="13"/>
  </r>
  <r>
    <s v="20.1.3"/>
    <x v="8"/>
    <x v="0"/>
    <m/>
    <m/>
    <s v="CMBS - TREPP"/>
    <s v="Take a one off copy of historic Trepp data from US"/>
    <s v="Neil"/>
    <d v="2010-03-16T00:00:00"/>
    <n v="1"/>
    <x v="1"/>
    <x v="0"/>
    <d v="2010-04-15T00:00:00"/>
    <n v="4"/>
    <n v="13"/>
  </r>
  <r>
    <s v="21.5.2"/>
    <x v="8"/>
    <x v="2"/>
    <d v="2010-07-26T00:00:00"/>
    <m/>
    <s v="Collateral Model"/>
    <s v="Model2Intex: Design"/>
    <s v="Neil"/>
    <d v="2010-07-02T00:00:00"/>
    <n v="1"/>
    <x v="1"/>
    <x v="1"/>
    <d v="2010-07-02T00:00:00"/>
    <n v="3"/>
    <n v="12"/>
  </r>
  <r>
    <s v="21.3.10"/>
    <x v="8"/>
    <x v="2"/>
    <d v="2010-07-26T00:00:00"/>
    <m/>
    <s v="Collateral Model"/>
    <s v="ModelCashflows: Complete"/>
    <s v="Neil"/>
    <d v="2010-06-24T00:00:00"/>
    <n v="1"/>
    <x v="1"/>
    <x v="1"/>
    <d v="2010-06-24T00:00:00"/>
    <n v="3"/>
    <n v="12"/>
  </r>
  <r>
    <s v="21.3.9"/>
    <x v="8"/>
    <x v="2"/>
    <d v="2010-07-24T00:00:00"/>
    <m/>
    <s v="Collateral Model"/>
    <s v="ModelCashflows: Modifications for comments"/>
    <s v="Neil"/>
    <d v="2010-06-24T00:00:00"/>
    <n v="2"/>
    <x v="1"/>
    <x v="1"/>
    <d v="2010-06-24T00:00:00"/>
    <n v="3"/>
    <n v="12"/>
  </r>
  <r>
    <s v="21.5.4"/>
    <x v="8"/>
    <x v="2"/>
    <d v="2010-07-28T00:00:00"/>
    <m/>
    <s v="Collateral Model"/>
    <s v="Model2Intex: Implement"/>
    <s v="Neil"/>
    <d v="2010-07-02T00:00:00"/>
    <n v="5"/>
    <x v="1"/>
    <x v="1"/>
    <d v="2010-07-02T00:00:00"/>
    <n v="3"/>
    <n v="11"/>
  </r>
  <r>
    <s v="21.5.6"/>
    <x v="8"/>
    <x v="2"/>
    <d v="2010-08-05T00:00:00"/>
    <m/>
    <s v="Collateral Model"/>
    <s v="Model2Intex: UAT Testing"/>
    <s v="Neil"/>
    <d v="2010-07-03T00:00:00"/>
    <n v="5"/>
    <x v="1"/>
    <x v="1"/>
    <d v="2010-07-02T00:00:00"/>
    <n v="3"/>
    <n v="9"/>
  </r>
  <r>
    <s v="21.5.8"/>
    <x v="8"/>
    <x v="2"/>
    <d v="2010-08-13T00:00:00"/>
    <m/>
    <s v="Collateral Model"/>
    <s v="Model2Intex: Modifications for comments"/>
    <s v="Neil"/>
    <d v="2010-07-05T00:00:00"/>
    <n v="1"/>
    <x v="1"/>
    <x v="1"/>
    <d v="2010-07-02T00:00:00"/>
    <n v="3"/>
    <n v="7"/>
  </r>
  <r>
    <s v="21.5.9"/>
    <x v="8"/>
    <x v="2"/>
    <d v="2010-08-14T00:00:00"/>
    <m/>
    <s v="Collateral Model"/>
    <s v="Model2Intex: Complete"/>
    <s v="Neil"/>
    <d v="2010-07-06T00:00:00"/>
    <n v="1"/>
    <x v="1"/>
    <x v="1"/>
    <d v="2010-07-02T00:00:00"/>
    <n v="3"/>
    <n v="7"/>
  </r>
  <r>
    <s v="05.20.1"/>
    <x v="8"/>
    <x v="1"/>
    <m/>
    <m/>
    <s v="Loan level data"/>
    <s v="Check for duplicate/missing columns in file loader"/>
    <s v="Danny"/>
    <d v="2010-02-05T00:00:00"/>
    <n v="0.5"/>
    <x v="2"/>
    <x v="1"/>
    <d v="2010-04-15T00:00:00"/>
    <n v="2"/>
    <n v="2"/>
  </r>
  <r>
    <s v="06.2.3"/>
    <x v="8"/>
    <x v="3"/>
    <m/>
    <m/>
    <s v="Shared application components "/>
    <s v="Update config GUI for comments"/>
    <s v="Neil"/>
    <d v="2009-08-06T00:00:00"/>
    <n v="3"/>
    <x v="1"/>
    <x v="1"/>
    <d v="2010-04-15T00:00:00"/>
    <n v="1"/>
    <n v="2"/>
  </r>
  <r>
    <s v="09.3.4"/>
    <x v="8"/>
    <x v="2"/>
    <m/>
    <m/>
    <s v="Nomura Now"/>
    <s v="Additional fields to be added"/>
    <s v="David Covey"/>
    <d v="2009-12-03T00:00:00"/>
    <n v="2"/>
    <x v="1"/>
    <x v="1"/>
    <d v="2010-04-15T00:00:00"/>
    <n v="3"/>
    <n v="2"/>
  </r>
  <r>
    <s v="13.2.4"/>
    <x v="8"/>
    <x v="2"/>
    <m/>
    <m/>
    <s v="Comment Viewer"/>
    <s v="Make all Windows refresh when data is changed"/>
    <s v="Neil"/>
    <d v="2009-09-18T00:00:00"/>
    <n v="5"/>
    <x v="2"/>
    <x v="0"/>
    <d v="2010-04-15T00:00:00"/>
    <n v="3"/>
    <n v="2"/>
  </r>
  <r>
    <s v="13.2.5"/>
    <x v="8"/>
    <x v="2"/>
    <m/>
    <m/>
    <s v="Comment Viewer"/>
    <s v="Issue with seemingly missing comments"/>
    <s v="Neil"/>
    <d v="2009-12-07T00:00:00"/>
    <n v="1"/>
    <x v="3"/>
    <x v="1"/>
    <d v="2010-04-15T00:00:00"/>
    <n v="3"/>
    <n v="2"/>
  </r>
  <r>
    <s v="16.7.2"/>
    <x v="8"/>
    <x v="2"/>
    <m/>
    <m/>
    <s v="Macro Economic Data"/>
    <s v="Retrieve Italy HPI data"/>
    <s v="Shubh"/>
    <d v="2009-09-30T00:00:00"/>
    <n v="7"/>
    <x v="1"/>
    <x v="1"/>
    <d v="2010-04-15T00:00:00"/>
    <n v="3"/>
    <n v="2"/>
  </r>
  <r>
    <s v="16.7.3"/>
    <x v="8"/>
    <x v="2"/>
    <m/>
    <m/>
    <s v="Macro Economic Data"/>
    <s v="Retrieve Ireland HPI data"/>
    <s v="Shubh"/>
    <d v="2009-09-30T00:00:00"/>
    <n v="7"/>
    <x v="1"/>
    <x v="1"/>
    <d v="2010-04-15T00:00:00"/>
    <n v="3"/>
    <n v="2"/>
  </r>
  <r>
    <s v="09.1.11"/>
    <x v="8"/>
    <x v="3"/>
    <m/>
    <m/>
    <s v="Nomura Now"/>
    <s v="Load up very old Lehman spread history"/>
    <s v="Shubh"/>
    <d v="2009-10-16T00:00:00"/>
    <n v="2"/>
    <x v="0"/>
    <x v="1"/>
    <d v="2009-12-03T00:00:00"/>
    <n v="1"/>
    <n v="2"/>
  </r>
  <r>
    <s v="01.2.07"/>
    <x v="8"/>
    <x v="4"/>
    <m/>
    <m/>
    <s v="Deals Database"/>
    <s v="Add comments functionality"/>
    <s v="David Covey"/>
    <d v="2010-04-15T00:00:00"/>
    <n v="3"/>
    <x v="1"/>
    <x v="3"/>
    <d v="2010-08-04T00:00:00"/>
    <n v="0"/>
    <n v="1"/>
  </r>
  <r>
    <s v="03.5.04"/>
    <x v="8"/>
    <x v="4"/>
    <m/>
    <m/>
    <s v="Deal Analyser"/>
    <s v="Add comments functionality"/>
    <s v="David Covey"/>
    <d v="2010-04-15T00:00:00"/>
    <n v="7"/>
    <x v="1"/>
    <x v="3"/>
    <d v="2010-08-04T00:00:00"/>
    <n v="0"/>
    <n v="1"/>
  </r>
  <r>
    <s v="04.7.3"/>
    <x v="8"/>
    <x v="4"/>
    <m/>
    <m/>
    <s v="Matrix Pricing Application"/>
    <s v="Add comments functionality"/>
    <s v="David Covey"/>
    <d v="2010-04-15T00:00:00"/>
    <n v="5"/>
    <x v="1"/>
    <x v="3"/>
    <d v="2010-08-04T00:00:00"/>
    <n v="0"/>
    <n v="1"/>
  </r>
  <r>
    <s v="18.1.6"/>
    <x v="8"/>
    <x v="4"/>
    <m/>
    <m/>
    <s v="Roll Rate Analyser"/>
    <s v="Add comments functionality"/>
    <s v="David Covey"/>
    <d v="2010-04-15T00:00:00"/>
    <n v="5"/>
    <x v="1"/>
    <x v="3"/>
    <d v="2010-08-04T00:00:00"/>
    <n v="0"/>
    <n v="1"/>
  </r>
  <r>
    <s v="21.3.2"/>
    <x v="8"/>
    <x v="5"/>
    <d v="2010-06-30T00:00:00"/>
    <m/>
    <s v="Collateral Model"/>
    <s v="ModelCashflows: Produce initial design"/>
    <s v="Pramendra"/>
    <d v="2010-05-27T00:00:00"/>
    <n v="2"/>
    <x v="1"/>
    <x v="4"/>
    <d v="2010-07-14T00:00:00"/>
    <n v="0"/>
    <n v="0"/>
  </r>
  <r>
    <s v="11.2.22a"/>
    <x v="8"/>
    <x v="5"/>
    <d v="2010-06-14T00:00:00"/>
    <m/>
    <s v="Admin"/>
    <s v="Set goals for 2010_2011"/>
    <s v="Neil"/>
    <d v="2010-06-07T00:00:00"/>
    <n v="0.5"/>
    <x v="0"/>
    <x v="4"/>
    <d v="2010-07-02T00:00:00"/>
    <n v="0"/>
    <n v="0"/>
  </r>
  <r>
    <s v="16.10.4"/>
    <x v="8"/>
    <x v="5"/>
    <m/>
    <m/>
    <s v="Macro Economic Data"/>
    <s v="Normalised Dutch HPI Rate Data "/>
    <s v="Neil"/>
    <d v="2010-03-31T00:00:00"/>
    <n v="2"/>
    <x v="3"/>
    <x v="4"/>
    <d v="2010-05-24T00:00:00"/>
    <n v="0"/>
    <n v="0"/>
  </r>
  <r>
    <s v="16.10.5"/>
    <x v="8"/>
    <x v="5"/>
    <m/>
    <m/>
    <s v="Macro Economic Data"/>
    <s v="Normalised Spanish HPI Rate Data "/>
    <s v="Neil"/>
    <d v="2010-03-31T00:00:00"/>
    <n v="2"/>
    <x v="3"/>
    <x v="4"/>
    <d v="2010-05-24T00:00:00"/>
    <n v="0"/>
    <n v="0"/>
  </r>
  <r>
    <s v="16.7.4"/>
    <x v="8"/>
    <x v="5"/>
    <m/>
    <m/>
    <s v="Macro Economic Data"/>
    <s v="Retrieve Spain HPI data + set schema to HPAIndexData"/>
    <s v="Shubh"/>
    <d v="2009-12-10T00:00:00"/>
    <n v="7"/>
    <x v="4"/>
    <x v="4"/>
    <d v="2010-03-15T00:00:00"/>
    <n v="0"/>
    <n v="0"/>
  </r>
  <r>
    <s v="16.7.7"/>
    <x v="8"/>
    <x v="5"/>
    <m/>
    <m/>
    <s v="Macro Economic Data"/>
    <s v="Fully automate Dutch HPI loading"/>
    <s v="Neil"/>
    <d v="2009-12-10T00:00:00"/>
    <n v="2"/>
    <x v="4"/>
    <x v="4"/>
    <d v="2010-03-10T00:00:00"/>
    <n v="0"/>
    <n v="0"/>
  </r>
  <r>
    <s v="16.7.6"/>
    <x v="8"/>
    <x v="5"/>
    <m/>
    <n v="1"/>
    <s v="Macro Economic Data"/>
    <s v="Move Dutch HPI to Prod Nomura Now"/>
    <s v="David"/>
    <d v="2009-12-10T00:00:00"/>
    <n v="1"/>
    <x v="4"/>
    <x v="4"/>
    <d v="2010-03-09T00:00:00"/>
    <n v="0"/>
    <n v="0"/>
  </r>
  <r>
    <s v="17.2"/>
    <x v="8"/>
    <x v="5"/>
    <m/>
    <m/>
    <s v="Trade Blotter"/>
    <s v="Implement data cleaner"/>
    <s v="Neil"/>
    <d v="2009-11-16T00:00:00"/>
    <n v="5"/>
    <x v="4"/>
    <x v="4"/>
    <d v="2010-02-23T00:00:00"/>
    <n v="0"/>
    <n v="0"/>
  </r>
  <r>
    <s v="17.3"/>
    <x v="8"/>
    <x v="5"/>
    <m/>
    <m/>
    <s v="Trade Blotter"/>
    <s v="Implement blotter prototype"/>
    <s v="David"/>
    <d v="2009-12-03T00:00:00"/>
    <n v="15"/>
    <x v="4"/>
    <x v="4"/>
    <d v="2010-02-23T00:00:00"/>
    <n v="0"/>
    <n v="0"/>
  </r>
  <r>
    <s v="17.4"/>
    <x v="8"/>
    <x v="5"/>
    <m/>
    <m/>
    <s v="Trade Blotter"/>
    <s v="Make first release of blotter for research review"/>
    <s v="David"/>
    <d v="2009-12-16T00:00:00"/>
    <n v="10"/>
    <x v="4"/>
    <x v="4"/>
    <d v="2010-02-23T00:00:00"/>
    <n v="0"/>
    <n v="0"/>
  </r>
  <r>
    <s v="17.5"/>
    <x v="8"/>
    <x v="5"/>
    <m/>
    <m/>
    <s v="Trade Blotter"/>
    <s v="Make first release to traders"/>
    <s v="David"/>
    <d v="2009-12-03T00:00:00"/>
    <n v="10"/>
    <x v="4"/>
    <x v="4"/>
    <d v="2010-02-23T00:00:00"/>
    <n v="0"/>
    <n v="0"/>
  </r>
  <r>
    <s v="16.7.1"/>
    <x v="8"/>
    <x v="5"/>
    <m/>
    <m/>
    <s v="Macro Economic Data"/>
    <s v="Retrieve Dutch HPI data"/>
    <s v="Shubh"/>
    <d v="2009-09-30T00:00:00"/>
    <n v="7"/>
    <x v="4"/>
    <x v="4"/>
    <d v="2009-12-10T00:00:00"/>
    <n v="0"/>
    <n v="0"/>
  </r>
  <r>
    <s v="17.1"/>
    <x v="8"/>
    <x v="5"/>
    <m/>
    <m/>
    <s v="Trade Blotter"/>
    <s v="Understand requirements and devise plan"/>
    <s v="David"/>
    <d v="2009-10-21T00:00:00"/>
    <n v="3"/>
    <x v="4"/>
    <x v="4"/>
    <d v="2009-12-03T00:00:00"/>
    <n v="0"/>
    <n v="0"/>
  </r>
  <r>
    <s v="05.17.1"/>
    <x v="8"/>
    <x v="5"/>
    <m/>
    <m/>
    <s v="Loan level data"/>
    <s v="Implement revised mapping for ALBA"/>
    <s v="Danny"/>
    <d v="2009-09-18T00:00:00"/>
    <n v="0"/>
    <x v="4"/>
    <x v="4"/>
    <d v="2009-11-03T00:00:00"/>
    <n v="0"/>
    <n v="0"/>
  </r>
  <r>
    <s v="05.18.3"/>
    <x v="8"/>
    <x v="5"/>
    <m/>
    <m/>
    <s v="Loan level data"/>
    <s v="RMAC Second level Mapper"/>
    <s v="David Covey"/>
    <d v="2009-10-07T00:00:00"/>
    <n v="0"/>
    <x v="4"/>
    <x v="4"/>
    <d v="2009-11-03T00:00:00"/>
    <n v="0"/>
    <n v="0"/>
  </r>
  <r>
    <s v="05.18.4"/>
    <x v="8"/>
    <x v="5"/>
    <m/>
    <m/>
    <s v="Loan level data"/>
    <s v="ESAIL Second Level Mapper"/>
    <s v="David Covey"/>
    <d v="2009-10-07T00:00:00"/>
    <n v="0"/>
    <x v="4"/>
    <x v="4"/>
    <d v="2009-11-03T00:00:00"/>
    <n v="0"/>
    <n v="0"/>
  </r>
  <r>
    <s v="09.1.09"/>
    <x v="8"/>
    <x v="5"/>
    <m/>
    <m/>
    <s v="Nomura Now"/>
    <s v="Load up historical sector spread from old Lehman DB"/>
    <s v="Shubh"/>
    <d v="2009-10-16T00:00:00"/>
    <n v="0"/>
    <x v="4"/>
    <x v="4"/>
    <d v="2009-10-13T00:00:00"/>
    <n v="0"/>
    <n v="0"/>
  </r>
  <r>
    <s v="05.02"/>
    <x v="8"/>
    <x v="5"/>
    <m/>
    <m/>
    <s v="Loan level data"/>
    <s v="Add Merrill loans - raw data + document"/>
    <s v="David Covey"/>
    <d v="2010-02-05T00:00:00"/>
    <n v="0"/>
    <x v="4"/>
    <x v="4"/>
    <d v="2009-10-09T00:00:00"/>
    <n v="0"/>
    <n v="0"/>
  </r>
  <r>
    <s v="05.11.2"/>
    <x v="8"/>
    <x v="5"/>
    <m/>
    <m/>
    <s v="Loan level data"/>
    <s v="Complete mapping loader for LEEK"/>
    <s v="David Covey"/>
    <d v="2009-08-28T00:00:00"/>
    <n v="0"/>
    <x v="4"/>
    <x v="4"/>
    <d v="2009-10-09T00:00:00"/>
    <n v="0"/>
    <n v="0"/>
  </r>
  <r>
    <s v="05.05.4"/>
    <x v="8"/>
    <x v="5"/>
    <m/>
    <m/>
    <s v="Loan level data"/>
    <s v="Add more fields as defined by Danny"/>
    <s v="Danny"/>
    <d v="2009-08-24T00:00:00"/>
    <n v="0"/>
    <x v="4"/>
    <x v="4"/>
    <d v="2009-09-30T00:00:00"/>
    <n v="0"/>
    <n v="0"/>
  </r>
  <r>
    <s v="13.2.2"/>
    <x v="8"/>
    <x v="5"/>
    <m/>
    <m/>
    <s v="Comment Viewer"/>
    <s v="Take comments and modify"/>
    <s v="Neil"/>
    <d v="2009-08-03T00:00:00"/>
    <n v="0"/>
    <x v="4"/>
    <x v="4"/>
    <d v="2009-09-18T00:00:00"/>
    <n v="0"/>
    <n v="0"/>
  </r>
  <r>
    <s v="13.2.3"/>
    <x v="8"/>
    <x v="5"/>
    <m/>
    <m/>
    <s v="Comment Viewer"/>
    <s v="Test and Release"/>
    <s v="Neil"/>
    <d v="2009-08-03T00:00:00"/>
    <n v="0"/>
    <x v="4"/>
    <x v="4"/>
    <d v="2009-09-18T00:00:00"/>
    <n v="0"/>
    <n v="0"/>
  </r>
  <r>
    <s v="06.2.2"/>
    <x v="8"/>
    <x v="5"/>
    <m/>
    <m/>
    <s v="Shared application components "/>
    <s v="GUI to manage config data"/>
    <s v="Neil"/>
    <d v="2009-04-21T00:00:00"/>
    <n v="0"/>
    <x v="4"/>
    <x v="4"/>
    <d v="2009-08-06T00:00:00"/>
    <n v="0"/>
    <n v="0"/>
  </r>
  <r>
    <s v="13.2.1"/>
    <x v="8"/>
    <x v="5"/>
    <m/>
    <m/>
    <s v="Comment Viewer"/>
    <s v="Test and Release"/>
    <s v="Neil"/>
    <d v="2009-07-31T00:00:00"/>
    <n v="0"/>
    <x v="4"/>
    <x v="4"/>
    <d v="2009-08-03T00:00:00"/>
    <n v="0"/>
    <n v="0"/>
  </r>
  <r>
    <s v="13.1"/>
    <x v="8"/>
    <x v="5"/>
    <m/>
    <m/>
    <s v="Comment Viewer"/>
    <s v="Initial Design and plan"/>
    <s v="Neil"/>
    <d v="2009-07-07T00:00:00"/>
    <n v="0"/>
    <x v="4"/>
    <x v="4"/>
    <d v="2009-07-31T00:00:00"/>
    <n v="0"/>
    <n v="0"/>
  </r>
  <r>
    <s v="08.08.1"/>
    <x v="8"/>
    <x v="5"/>
    <m/>
    <m/>
    <s v="Production Environment"/>
    <s v="Get familiar with ABSNetDataLoader"/>
    <s v="Neil"/>
    <d v="2009-06-29T00:00:00"/>
    <n v="0"/>
    <x v="4"/>
    <x v="4"/>
    <d v="2009-07-14T00:00:00"/>
    <n v="0"/>
    <n v="0"/>
  </r>
  <r>
    <s v="06.1.4"/>
    <x v="8"/>
    <x v="5"/>
    <m/>
    <m/>
    <s v="Shared application components "/>
    <s v="BUG - Log file limit"/>
    <s v="Pramendra"/>
    <d v="2009-06-17T00:00:00"/>
    <n v="0"/>
    <x v="4"/>
    <x v="4"/>
    <d v="2009-07-03T00:00:00"/>
    <n v="0"/>
    <n v="0"/>
  </r>
  <r>
    <s v="05.05.2"/>
    <x v="8"/>
    <x v="5"/>
    <m/>
    <m/>
    <s v="Loan level data"/>
    <s v="Add 8 'critical' fields to mapping sheet and database - See 5.5.1 - not needed"/>
    <s v="David Covey"/>
    <d v="2009-06-30T00:00:00"/>
    <n v="0"/>
    <x v="4"/>
    <x v="4"/>
    <d v="2009-06-11T00:00:00"/>
    <n v="0"/>
    <n v="0"/>
  </r>
  <r>
    <s v="03.6.2"/>
    <x v="8"/>
    <x v="5"/>
    <m/>
    <m/>
    <s v="Deal Analyser"/>
    <s v="Investigate and resolve issues with Italian and Dutch loans"/>
    <s v="David Covey"/>
    <d v="2009-05-27T00:00:00"/>
    <n v="0"/>
    <x v="4"/>
    <x v="4"/>
    <d v="2009-06-08T00:00:00"/>
    <n v="0"/>
    <n v="0"/>
  </r>
  <r>
    <s v="05.09"/>
    <x v="8"/>
    <x v="5"/>
    <m/>
    <m/>
    <s v="Loan level data"/>
    <s v="Refactor ESFData and move all loaders to trunk"/>
    <s v="Neil"/>
    <d v="2009-05-26T00:00:00"/>
    <n v="0"/>
    <x v="4"/>
    <x v="4"/>
    <d v="2009-06-08T00:00:00"/>
    <n v="0"/>
    <n v="0"/>
  </r>
  <r>
    <s v="05.10.1"/>
    <x v="8"/>
    <x v="5"/>
    <m/>
    <m/>
    <s v="Loan level data"/>
    <s v="Load Apr 09 Eurosail data"/>
    <s v="Neil"/>
    <d v="2009-06-02T00:00:00"/>
    <n v="0"/>
    <x v="4"/>
    <x v="4"/>
    <d v="2009-06-08T00:00:00"/>
    <n v="0"/>
    <n v="0"/>
  </r>
  <r>
    <s v="05.01"/>
    <x v="8"/>
    <x v="5"/>
    <m/>
    <m/>
    <s v="Loan level data"/>
    <s v="Add ALBA loans"/>
    <s v="David Covey"/>
    <d v="2009-04-08T00:00:00"/>
    <n v="0"/>
    <x v="4"/>
    <x v="4"/>
    <d v="2009-05-26T00:00:00"/>
    <n v="0"/>
    <n v="0"/>
  </r>
  <r>
    <s v="06.1.3"/>
    <x v="8"/>
    <x v="5"/>
    <m/>
    <m/>
    <s v="Shared application components "/>
    <s v="Minor Improvements to Logging class"/>
    <s v="Neil"/>
    <d v="2009-04-23T00:00:00"/>
    <n v="0"/>
    <x v="4"/>
    <x v="4"/>
    <d v="2009-05-26T00:00:00"/>
    <n v="0"/>
    <n v="0"/>
  </r>
  <r>
    <s v="06.1.2"/>
    <x v="8"/>
    <x v="5"/>
    <m/>
    <m/>
    <s v="Shared application components "/>
    <s v="Add usage of Config library to logger library"/>
    <s v="Neil"/>
    <d v="2009-04-08T00:00:00"/>
    <n v="0"/>
    <x v="4"/>
    <x v="4"/>
    <d v="2009-04-21T00:00:00"/>
    <n v="0"/>
    <n v="0"/>
  </r>
  <r>
    <s v="06.2.1"/>
    <x v="8"/>
    <x v="5"/>
    <m/>
    <m/>
    <s v="Shared application components "/>
    <s v="First Release of Config Library"/>
    <s v="Neil"/>
    <d v="2009-04-14T00:00:00"/>
    <n v="0"/>
    <x v="4"/>
    <x v="4"/>
    <d v="2009-04-21T00:00:00"/>
    <n v="0"/>
    <n v="0"/>
  </r>
  <r>
    <s v="05.21.5"/>
    <x v="9"/>
    <x v="2"/>
    <d v="2010-09-30T00:00:00"/>
    <m/>
    <s v="Loan level data"/>
    <s v="LoanHandling: Modify RMAC loader to use C1 Excel component"/>
    <s v="Neil"/>
    <d v="2010-07-29T00:00:00"/>
    <n v="3"/>
    <x v="1"/>
    <x v="1"/>
    <d v="2010-07-29T00:00:00"/>
    <n v="3"/>
    <e v="#REF!"/>
  </r>
  <r>
    <s v="20.1.4"/>
    <x v="9"/>
    <x v="6"/>
    <d v="2010-06-10T00:00:00"/>
    <m/>
    <s v="CMBS - TREPP"/>
    <s v="Take regular copies of Trepp download data"/>
    <s v="Neil"/>
    <d v="2010-06-08T00:00:00"/>
    <n v="1"/>
    <x v="1"/>
    <x v="1"/>
    <d v="2010-06-08T00:00:00"/>
    <n v="5"/>
    <n v="39"/>
  </r>
  <r>
    <s v="10.1.8"/>
    <x v="9"/>
    <x v="0"/>
    <d v="2010-05-15T00:00:00"/>
    <m/>
    <s v="Radial / Totoro / Other"/>
    <s v="Radial Bloomberg Bridge historic rate requests"/>
    <s v="Neil"/>
    <d v="2009-12-21T00:00:00"/>
    <n v="2"/>
    <x v="2"/>
    <x v="1"/>
    <d v="2010-04-16T00:00:00"/>
    <n v="4"/>
    <n v="37"/>
  </r>
  <r>
    <s v="11.2.24"/>
    <x v="9"/>
    <x v="6"/>
    <m/>
    <m/>
    <s v="Admin"/>
    <s v="Get SAS Management Console Packaged"/>
    <s v="Neil"/>
    <d v="2010-07-30T00:00:00"/>
    <n v="1"/>
    <x v="3"/>
    <x v="0"/>
    <d v="2010-07-30T00:00:00"/>
    <n v="5"/>
    <n v="26"/>
  </r>
  <r>
    <s v="10.4.1"/>
    <x v="9"/>
    <x v="6"/>
    <m/>
    <m/>
    <s v="Radial / Totoro / Other"/>
    <s v="Find appropriate mechanism to download BBG data"/>
    <s v="Neil"/>
    <d v="2010-04-19T00:00:00"/>
    <n v="2"/>
    <x v="2"/>
    <x v="0"/>
    <d v="2010-07-27T00:00:00"/>
    <n v="5"/>
    <n v="26"/>
  </r>
  <r>
    <s v="05.17.2"/>
    <x v="9"/>
    <x v="2"/>
    <d v="2010-06-05T00:00:00"/>
    <m/>
    <s v="Loan level data"/>
    <s v="Re-implement raw data aggregation"/>
    <s v="Danny"/>
    <d v="2010-02-24T00:00:00"/>
    <n v="2"/>
    <x v="2"/>
    <x v="1"/>
    <d v="2010-06-01T00:00:00"/>
    <n v="3"/>
    <n v="25"/>
  </r>
  <r>
    <s v="05.17.3"/>
    <x v="9"/>
    <x v="2"/>
    <d v="2010-06-05T00:00:00"/>
    <m/>
    <s v="Loan level data"/>
    <s v="Changes to ALBA Mappings"/>
    <s v="Danny"/>
    <d v="2010-02-24T00:00:00"/>
    <n v="1"/>
    <x v="2"/>
    <x v="1"/>
    <d v="2010-06-01T00:00:00"/>
    <n v="3"/>
    <n v="25"/>
  </r>
  <r>
    <s v="05.17.4"/>
    <x v="9"/>
    <x v="2"/>
    <d v="2010-06-05T00:00:00"/>
    <m/>
    <s v="Loan level data"/>
    <s v="Problem with some ALBA loans between QA and Prod"/>
    <s v="Danny"/>
    <d v="2010-04-19T00:00:00"/>
    <n v="1"/>
    <x v="3"/>
    <x v="1"/>
    <d v="2010-06-01T00:00:00"/>
    <n v="3"/>
    <n v="25"/>
  </r>
  <r>
    <s v="16.11.2"/>
    <x v="9"/>
    <x v="0"/>
    <d v="2010-07-08T00:00:00"/>
    <m/>
    <s v="Macro Economic Data"/>
    <s v="ES Repo Rates: Define Requirements"/>
    <s v="Friedel"/>
    <d v="2010-07-05T00:00:00"/>
    <n v="1"/>
    <x v="1"/>
    <x v="1"/>
    <d v="2010-07-06T00:00:00"/>
    <n v="4"/>
    <n v="23"/>
  </r>
  <r>
    <s v="16.11.3"/>
    <x v="9"/>
    <x v="0"/>
    <d v="2010-07-08T00:00:00"/>
    <m/>
    <s v="Macro Economic Data"/>
    <s v="ES Repo Rates: Design and implement"/>
    <s v="Friedel"/>
    <d v="2010-07-05T00:00:00"/>
    <n v="4"/>
    <x v="1"/>
    <x v="1"/>
    <d v="2010-07-06T00:00:00"/>
    <n v="4"/>
    <n v="23"/>
  </r>
  <r>
    <s v="13.2.7"/>
    <x v="9"/>
    <x v="2"/>
    <d v="2010-06-12T00:00:00"/>
    <m/>
    <s v="Comment Viewer"/>
    <s v="Make Comment Date and Author visible on the comment window itself."/>
    <s v="David Covey"/>
    <d v="2010-06-03T00:00:00"/>
    <n v="1"/>
    <x v="2"/>
    <x v="1"/>
    <d v="2010-06-03T00:00:00"/>
    <n v="3"/>
    <n v="23"/>
  </r>
  <r>
    <s v="11.2.16"/>
    <x v="9"/>
    <x v="2"/>
    <d v="2010-06-15T00:00:00"/>
    <m/>
    <s v="Admin"/>
    <s v="Make peer reviews work."/>
    <s v="Neil"/>
    <d v="2010-04-06T00:00:00"/>
    <n v="2"/>
    <x v="1"/>
    <x v="0"/>
    <d v="2010-06-01T00:00:00"/>
    <n v="3"/>
    <n v="22"/>
  </r>
  <r>
    <s v="11.4.1"/>
    <x v="9"/>
    <x v="0"/>
    <d v="2010-07-30T00:00:00"/>
    <m/>
    <s v="Admin"/>
    <s v="NoHo Migration: Develop plan"/>
    <s v="Neil"/>
    <d v="2010-07-30T00:00:00"/>
    <n v="2"/>
    <x v="3"/>
    <x v="5"/>
    <d v="2010-07-30T00:00:00"/>
    <n v="4"/>
    <n v="18"/>
  </r>
  <r>
    <s v="14.4.2"/>
    <x v="9"/>
    <x v="2"/>
    <d v="2010-07-01T00:00:00"/>
    <m/>
    <s v="Stratification tool / PALS"/>
    <s v="Use DealId in database not BBG Deal Name"/>
    <s v="Neil"/>
    <d v="2010-05-04T00:00:00"/>
    <n v="2"/>
    <x v="3"/>
    <x v="1"/>
    <d v="2010-05-04T00:00:00"/>
    <n v="3"/>
    <n v="18"/>
  </r>
  <r>
    <s v="06.10.3"/>
    <x v="9"/>
    <x v="2"/>
    <d v="2010-07-05T00:00:00"/>
    <m/>
    <s v="Shared application components "/>
    <s v="PerformanceDataLib: Review"/>
    <s v="Ruth"/>
    <d v="2010-07-28T00:00:00"/>
    <n v="1"/>
    <x v="1"/>
    <x v="1"/>
    <d v="2010-07-02T00:00:00"/>
    <n v="3"/>
    <n v="17"/>
  </r>
  <r>
    <s v="21.3.5"/>
    <x v="9"/>
    <x v="2"/>
    <d v="2010-07-09T00:00:00"/>
    <m/>
    <s v="Collateral Model"/>
    <s v="ModelCashflows: Review Implementation"/>
    <s v="Neil"/>
    <d v="2010-06-24T00:00:00"/>
    <n v="1"/>
    <x v="1"/>
    <x v="1"/>
    <d v="2010-06-24T00:00:00"/>
    <n v="3"/>
    <n v="16"/>
  </r>
  <r>
    <s v="05.05.6"/>
    <x v="9"/>
    <x v="2"/>
    <d v="2010-07-10T00:00:00"/>
    <m/>
    <s v="Loan level data"/>
    <s v="Modify schema names in 'Loan' database."/>
    <s v="Neil"/>
    <d v="2010-06-23T00:00:00"/>
    <n v="0"/>
    <x v="3"/>
    <x v="1"/>
    <d v="2010-06-23T00:00:00"/>
    <n v="3"/>
    <n v="16"/>
  </r>
  <r>
    <s v="07.5.7"/>
    <x v="9"/>
    <x v="0"/>
    <m/>
    <m/>
    <s v="Development Environment"/>
    <s v="Find a good way to patch applications reliably"/>
    <s v="Neil"/>
    <d v="2010-07-28T00:00:00"/>
    <n v="2"/>
    <x v="2"/>
    <x v="1"/>
    <d v="2010-07-28T00:00:00"/>
    <n v="4"/>
    <n v="13"/>
  </r>
  <r>
    <s v="09.4.1"/>
    <x v="9"/>
    <x v="0"/>
    <m/>
    <m/>
    <s v="Nomura Now"/>
    <s v="Spec out initial requirements &amp; design for RR Analyser"/>
    <s v="David Covey"/>
    <d v="2010-04-16T00:00:00"/>
    <n v="2"/>
    <x v="1"/>
    <x v="0"/>
    <d v="2010-07-14T00:00:00"/>
    <n v="4"/>
    <n v="13"/>
  </r>
  <r>
    <s v="11.2.8"/>
    <x v="9"/>
    <x v="0"/>
    <m/>
    <m/>
    <s v="Admin"/>
    <s v="Management"/>
    <s v="Neil"/>
    <d v="2009-11-18T00:00:00"/>
    <n v="52"/>
    <x v="5"/>
    <x v="6"/>
    <d v="2010-05-06T00:00:00"/>
    <n v="4"/>
    <n v="13"/>
  </r>
  <r>
    <s v="21.5.3"/>
    <x v="9"/>
    <x v="2"/>
    <d v="2010-07-27T00:00:00"/>
    <m/>
    <s v="Collateral Model"/>
    <s v="Model2Intex: Review Design"/>
    <s v="Neil"/>
    <d v="2010-07-02T00:00:00"/>
    <n v="1"/>
    <x v="1"/>
    <x v="1"/>
    <d v="2010-07-02T00:00:00"/>
    <n v="3"/>
    <n v="12"/>
  </r>
  <r>
    <s v="21.5.5"/>
    <x v="9"/>
    <x v="2"/>
    <d v="2010-08-04T00:00:00"/>
    <m/>
    <s v="Collateral Model"/>
    <s v="Model2Intex: Review Implementation"/>
    <s v="Neil"/>
    <d v="2010-07-02T00:00:00"/>
    <n v="1"/>
    <x v="1"/>
    <x v="1"/>
    <d v="2010-07-02T00:00:00"/>
    <n v="3"/>
    <n v="10"/>
  </r>
  <r>
    <s v="06.9.3"/>
    <x v="9"/>
    <x v="2"/>
    <m/>
    <m/>
    <s v="Shared application components "/>
    <s v="Implement a replacement for 'CommandLineParser' that is more robusts and logs the command line."/>
    <s v="Neil"/>
    <d v="2010-07-28T00:00:00"/>
    <n v="1"/>
    <x v="2"/>
    <x v="1"/>
    <d v="2010-07-28T00:00:00"/>
    <n v="3"/>
    <n v="2"/>
  </r>
  <r>
    <s v="06.3.3"/>
    <x v="9"/>
    <x v="2"/>
    <m/>
    <m/>
    <s v="Shared application components "/>
    <s v="Make DealsDbOOLayer easier to use in applications"/>
    <s v="Neil"/>
    <d v="2010-07-09T00:00:00"/>
    <n v="2"/>
    <x v="1"/>
    <x v="1"/>
    <d v="2010-07-09T00:00:00"/>
    <n v="3"/>
    <n v="2"/>
  </r>
  <r>
    <s v="06.9.2"/>
    <x v="9"/>
    <x v="2"/>
    <m/>
    <m/>
    <s v="Shared application components "/>
    <s v="Agree common terminology (and application level class/method names) for main application classes across all applications"/>
    <s v="Neil"/>
    <d v="2010-04-13T00:00:00"/>
    <n v="1"/>
    <x v="2"/>
    <x v="1"/>
    <d v="2010-05-10T00:00:00"/>
    <n v="3"/>
    <n v="2"/>
  </r>
  <r>
    <s v="10.1.10"/>
    <x v="9"/>
    <x v="2"/>
    <m/>
    <m/>
    <s v="Radial / Totoro / Other"/>
    <s v="Radial start up time is very slow in Mumbai"/>
    <s v="Neil"/>
    <d v="2010-04-06T00:00:00"/>
    <n v="1"/>
    <x v="2"/>
    <x v="1"/>
    <d v="2010-05-10T00:00:00"/>
    <n v="3"/>
    <n v="2"/>
  </r>
  <r>
    <s v="17.9"/>
    <x v="9"/>
    <x v="2"/>
    <m/>
    <m/>
    <s v="Trade Blotter"/>
    <s v="Make C# application to keep trade blottter data tidy"/>
    <s v="Neil"/>
    <d v="2010-04-26T00:00:00"/>
    <n v="1"/>
    <x v="6"/>
    <x v="1"/>
    <d v="2010-04-26T00:00:00"/>
    <n v="3"/>
    <n v="2"/>
  </r>
  <r>
    <s v="10.3.4"/>
    <x v="9"/>
    <x v="2"/>
    <m/>
    <m/>
    <s v="Radial / Totoro / Other"/>
    <s v="Turn off feed to QDB"/>
    <s v="Neil"/>
    <d v="2010-05-06T00:00:00"/>
    <n v="2"/>
    <x v="2"/>
    <x v="0"/>
    <d v="2010-04-19T00:00:00"/>
    <n v="3"/>
    <n v="2"/>
  </r>
  <r>
    <s v="01.3.10"/>
    <x v="9"/>
    <x v="1"/>
    <m/>
    <m/>
    <s v="Deals Database"/>
    <s v="Fully populate deals/bonds/cashflows"/>
    <s v="David"/>
    <d v="2009-12-21T00:00:00"/>
    <n v="10"/>
    <x v="0"/>
    <x v="0"/>
    <d v="2010-04-15T00:00:00"/>
    <n v="2"/>
    <n v="2"/>
  </r>
  <r>
    <s v="02.4.5"/>
    <x v="9"/>
    <x v="2"/>
    <m/>
    <m/>
    <s v="Intex"/>
    <s v="Intex Wrapper: Complete implementation"/>
    <s v="Neil"/>
    <d v="2010-02-09T00:00:00"/>
    <n v="10"/>
    <x v="1"/>
    <x v="1"/>
    <d v="2010-04-15T00:00:00"/>
    <n v="3"/>
    <n v="2"/>
  </r>
  <r>
    <s v="09.1.19"/>
    <x v="9"/>
    <x v="2"/>
    <m/>
    <m/>
    <s v="Nomura Now"/>
    <s v="Make spreads 'menu' part of the menu applications"/>
    <s v="Neil"/>
    <d v="2010-01-12T00:00:00"/>
    <n v="1"/>
    <x v="2"/>
    <x v="1"/>
    <d v="2010-04-15T00:00:00"/>
    <n v="3"/>
    <n v="2"/>
  </r>
  <r>
    <s v="12.2"/>
    <x v="9"/>
    <x v="2"/>
    <m/>
    <m/>
    <s v="Utilities"/>
    <s v="Automate version control (svn) of SQL Server objects (schema)"/>
    <s v="Pramendra"/>
    <d v="2010-03-18T00:00:00"/>
    <n v="5"/>
    <x v="1"/>
    <x v="0"/>
    <d v="2010-04-15T00:00:00"/>
    <n v="3"/>
    <n v="2"/>
  </r>
  <r>
    <s v="20.1"/>
    <x v="9"/>
    <x v="2"/>
    <m/>
    <n v="1"/>
    <s v="CMBS - TREPP"/>
    <s v="Determine initial plan"/>
    <s v="David Covey"/>
    <d v="2009-11-03T00:00:00"/>
    <n v="2"/>
    <x v="1"/>
    <x v="0"/>
    <d v="2010-04-15T00:00:00"/>
    <n v="3"/>
    <n v="2"/>
  </r>
  <r>
    <s v="10.1.6"/>
    <x v="9"/>
    <x v="1"/>
    <m/>
    <m/>
    <s v="Radial / Totoro / Other"/>
    <s v="Keep an eye on blank values in Radial Bond Pricer Pos"/>
    <s v="Neil"/>
    <d v="2009-05-15T00:00:00"/>
    <n v="0.5"/>
    <x v="5"/>
    <x v="6"/>
    <d v="2010-03-17T00:00:00"/>
    <n v="2"/>
    <n v="2"/>
  </r>
  <r>
    <s v="16.3"/>
    <x v="9"/>
    <x v="1"/>
    <m/>
    <m/>
    <s v="Macro Economic Data"/>
    <s v="Add Nationwide House Price Data"/>
    <s v="David"/>
    <d v="2009-08-27T00:00:00"/>
    <n v="4"/>
    <x v="1"/>
    <x v="1"/>
    <d v="2010-03-17T00:00:00"/>
    <n v="2"/>
    <n v="2"/>
  </r>
  <r>
    <s v="11.2.15"/>
    <x v="9"/>
    <x v="1"/>
    <m/>
    <m/>
    <s v="Admin"/>
    <s v="Get more UNIX disk space"/>
    <s v="Danny"/>
    <d v="2010-03-08T00:00:00"/>
    <n v="2"/>
    <x v="2"/>
    <x v="1"/>
    <d v="2010-03-08T00:00:00"/>
    <n v="2"/>
    <n v="2"/>
  </r>
  <r>
    <s v="11.2.5"/>
    <x v="9"/>
    <x v="1"/>
    <m/>
    <m/>
    <s v="Admin"/>
    <s v="Get dedicated PC for Danny"/>
    <s v="Danny"/>
    <d v="2009-08-28T00:00:00"/>
    <n v="0.5"/>
    <x v="2"/>
    <x v="0"/>
    <d v="2010-03-02T00:00:00"/>
    <n v="2"/>
    <n v="2"/>
  </r>
  <r>
    <s v="06.11.1"/>
    <x v="9"/>
    <x v="5"/>
    <m/>
    <m/>
    <s v="Shared application components "/>
    <s v="Develop SVN client library"/>
    <s v="Neil"/>
    <d v="2010-07-06T00:00:00"/>
    <n v="2"/>
    <x v="1"/>
    <x v="4"/>
    <d v="2010-07-27T00:00:00"/>
    <n v="0"/>
    <n v="1"/>
  </r>
  <r>
    <s v="07.5.3"/>
    <x v="9"/>
    <x v="5"/>
    <m/>
    <m/>
    <s v="Development Environment"/>
    <s v="Review and acquire VS productivity tools"/>
    <s v="Pramendra"/>
    <d v="2010-04-19T00:00:00"/>
    <n v="1"/>
    <x v="2"/>
    <x v="4"/>
    <d v="2010-07-27T00:00:00"/>
    <n v="0"/>
    <n v="1"/>
  </r>
  <r>
    <s v="11.2.20"/>
    <x v="9"/>
    <x v="5"/>
    <d v="2010-06-01T00:00:00"/>
    <m/>
    <s v="Admin"/>
    <s v="Get Sreevani all set up"/>
    <s v="Neil"/>
    <d v="2010-05-20T00:00:00"/>
    <n v="0.5"/>
    <x v="1"/>
    <x v="4"/>
    <d v="2010-07-15T00:00:00"/>
    <n v="0"/>
    <n v="0"/>
  </r>
  <r>
    <s v="05.05.5"/>
    <x v="9"/>
    <x v="5"/>
    <d v="2010-06-30T00:00:00"/>
    <m/>
    <s v="Loan level data"/>
    <s v="Add two more fields to ESF_Static"/>
    <s v="Neil"/>
    <d v="2010-06-23T00:00:00"/>
    <n v="0"/>
    <x v="1"/>
    <x v="4"/>
    <d v="2010-07-05T00:00:00"/>
    <n v="0"/>
    <n v="0"/>
  </r>
  <r>
    <s v="09.7.1"/>
    <x v="9"/>
    <x v="5"/>
    <d v="2010-06-10T00:00:00"/>
    <m/>
    <s v="Nomura Now"/>
    <s v="Implement SP to provide bond level prices and analytics"/>
    <s v="Gerald"/>
    <d v="2010-05-21T00:00:00"/>
    <n v="1"/>
    <x v="1"/>
    <x v="4"/>
    <d v="2010-07-05T00:00:00"/>
    <n v="0"/>
    <n v="0"/>
  </r>
  <r>
    <s v="11.3.1"/>
    <x v="9"/>
    <x v="5"/>
    <m/>
    <n v="1"/>
    <s v="Admin"/>
    <s v="SAS Server move"/>
    <s v="Neil"/>
    <d v="2010-01-14T00:00:00"/>
    <n v="2"/>
    <x v="1"/>
    <x v="4"/>
    <d v="2010-07-05T00:00:00"/>
    <n v="0"/>
    <n v="0"/>
  </r>
  <r>
    <s v="16.11.1"/>
    <x v="9"/>
    <x v="5"/>
    <d v="2010-07-05T00:00:00"/>
    <m/>
    <s v="Macro Economic Data"/>
    <s v="ES Repo Rates: Build and release simple app to download files"/>
    <s v="Friedel"/>
    <d v="2010-07-29T00:00:00"/>
    <n v="1"/>
    <x v="1"/>
    <x v="4"/>
    <d v="2010-07-05T00:00:00"/>
    <n v="0"/>
    <n v="0"/>
  </r>
  <r>
    <s v="11.2.23"/>
    <x v="9"/>
    <x v="5"/>
    <d v="2010-06-28T00:00:00"/>
    <m/>
    <s v="Admin"/>
    <s v="All non WIG goals agreed by all team members and Neil and Yogesh"/>
    <s v="Neil"/>
    <d v="2010-06-24T00:00:00"/>
    <n v="1"/>
    <x v="0"/>
    <x v="4"/>
    <d v="2010-07-02T00:00:00"/>
    <n v="0"/>
    <n v="0"/>
  </r>
  <r>
    <s v="21.5.1"/>
    <x v="9"/>
    <x v="5"/>
    <d v="2010-07-02T00:00:00"/>
    <m/>
    <s v="Collateral Model"/>
    <s v="Model2Intex: Define requirements"/>
    <s v="Neil"/>
    <d v="2010-07-02T00:00:00"/>
    <n v="0.5"/>
    <x v="1"/>
    <x v="4"/>
    <d v="2010-07-02T00:00:00"/>
    <n v="0"/>
    <n v="0"/>
  </r>
  <r>
    <s v="07.5.4"/>
    <x v="9"/>
    <x v="5"/>
    <d v="2010-06-28T00:00:00"/>
    <m/>
    <s v="Development Environment"/>
    <s v="Find better way to tag libraries"/>
    <s v="Neil"/>
    <d v="2010-04-20T00:00:00"/>
    <n v="3"/>
    <x v="2"/>
    <x v="4"/>
    <d v="2010-07-01T00:00:00"/>
    <n v="0"/>
    <n v="0"/>
  </r>
  <r>
    <s v="11.2.21"/>
    <x v="9"/>
    <x v="5"/>
    <d v="2010-06-01T00:00:00"/>
    <m/>
    <s v="Admin"/>
    <s v="Get London visit organised"/>
    <s v="Neil"/>
    <d v="2010-05-21T00:00:00"/>
    <n v="0.5"/>
    <x v="0"/>
    <x v="4"/>
    <d v="2010-06-28T00:00:00"/>
    <n v="0"/>
    <n v="0"/>
  </r>
  <r>
    <s v="11.2.2"/>
    <x v="9"/>
    <x v="5"/>
    <m/>
    <m/>
    <s v="Admin"/>
    <s v="Configure SAS backup server"/>
    <s v="Neil"/>
    <d v="2009-07-09T00:00:00"/>
    <n v="2"/>
    <x v="1"/>
    <x v="4"/>
    <d v="2010-06-23T00:00:00"/>
    <n v="0"/>
    <n v="0"/>
  </r>
  <r>
    <s v="05.11.4"/>
    <x v="9"/>
    <x v="5"/>
    <d v="2010-06-05T00:00:00"/>
    <m/>
    <s v="Loan level data"/>
    <s v="Update LEEK mapping for changes by Danny"/>
    <s v="Danny"/>
    <d v="2010-01-22T00:00:00"/>
    <n v="1"/>
    <x v="2"/>
    <x v="4"/>
    <d v="2010-06-03T00:00:00"/>
    <n v="0"/>
    <n v="0"/>
  </r>
  <r>
    <s v="05.07.4"/>
    <x v="9"/>
    <x v="5"/>
    <d v="2010-05-07T00:00:00"/>
    <m/>
    <s v="Loan level data"/>
    <s v="Modify mappings for REM_TERM across many issuers"/>
    <s v="Danny"/>
    <d v="2010-05-06T00:00:00"/>
    <n v="1"/>
    <x v="2"/>
    <x v="4"/>
    <d v="2010-06-02T00:00:00"/>
    <n v="0"/>
    <n v="0"/>
  </r>
  <r>
    <s v="02.6.1"/>
    <x v="9"/>
    <x v="5"/>
    <d v="2010-06-01T00:00:00"/>
    <m/>
    <s v="Intex"/>
    <s v="CFGen: Complete Prototype Implementation with Wrapped API and document"/>
    <s v="Neil"/>
    <d v="2010-05-27T00:00:00"/>
    <n v="3"/>
    <x v="1"/>
    <x v="4"/>
    <d v="2010-06-01T00:00:00"/>
    <n v="0"/>
    <n v="0"/>
  </r>
  <r>
    <s v="11.2.10"/>
    <x v="9"/>
    <x v="5"/>
    <m/>
    <n v="1"/>
    <s v="Admin"/>
    <s v="Renew SAS License"/>
    <s v="Neil"/>
    <d v="2010-01-14T00:00:00"/>
    <n v="1"/>
    <x v="0"/>
    <x v="4"/>
    <d v="2010-05-27T00:00:00"/>
    <n v="0"/>
    <n v="0"/>
  </r>
  <r>
    <s v="02.1.2"/>
    <x v="9"/>
    <x v="5"/>
    <m/>
    <m/>
    <s v="Intex"/>
    <s v="Figure out design to drive cashflows from CPRs etc."/>
    <s v="David Covey"/>
    <d v="2009-04-23T00:00:00"/>
    <n v="4"/>
    <x v="1"/>
    <x v="4"/>
    <d v="2010-05-12T00:00:00"/>
    <n v="0"/>
    <n v="0"/>
  </r>
  <r>
    <s v="02.4.3"/>
    <x v="9"/>
    <x v="5"/>
    <m/>
    <n v="1"/>
    <s v="Intex"/>
    <s v="Intex Wrapper: First core implementation"/>
    <s v="Neil"/>
    <d v="2010-02-09T00:00:00"/>
    <n v="5"/>
    <x v="1"/>
    <x v="4"/>
    <d v="2010-05-12T00:00:00"/>
    <n v="0"/>
    <n v="0"/>
  </r>
  <r>
    <s v="02.5.1"/>
    <x v="9"/>
    <x v="5"/>
    <m/>
    <m/>
    <s v="Intex"/>
    <s v="Scraper - 1st implementation"/>
    <s v="Neil"/>
    <d v="2010-03-16T00:00:00"/>
    <n v="5"/>
    <x v="1"/>
    <x v="4"/>
    <d v="2010-05-12T00:00:00"/>
    <n v="0"/>
    <n v="0"/>
  </r>
  <r>
    <s v="11.2.11"/>
    <x v="9"/>
    <x v="5"/>
    <m/>
    <n v="1"/>
    <s v="Admin"/>
    <s v="Hire new person in London"/>
    <s v="Neil"/>
    <d v="2010-01-14T00:00:00"/>
    <n v="1"/>
    <x v="0"/>
    <x v="4"/>
    <d v="2010-05-10T00:00:00"/>
    <n v="0"/>
    <n v="0"/>
  </r>
  <r>
    <s v="03.5.14"/>
    <x v="9"/>
    <x v="5"/>
    <d v="2010-05-06T00:00:00"/>
    <m/>
    <s v="Deal Analyser"/>
    <s v="Use DealId in database not BBG Deal Name"/>
    <s v="Neil"/>
    <d v="2010-05-04T00:00:00"/>
    <n v="2"/>
    <x v="3"/>
    <x v="4"/>
    <d v="2010-05-06T00:00:00"/>
    <n v="0"/>
    <n v="0"/>
  </r>
  <r>
    <s v="11.2.18"/>
    <x v="9"/>
    <x v="5"/>
    <d v="2010-05-01T00:00:00"/>
    <m/>
    <s v="Admin"/>
    <s v="Get Research Team (India) to set up deals"/>
    <s v="Neil"/>
    <d v="2010-04-06T00:00:00"/>
    <n v="1"/>
    <x v="0"/>
    <x v="4"/>
    <d v="2010-05-06T00:00:00"/>
    <n v="0"/>
    <n v="0"/>
  </r>
  <r>
    <s v="01.2.38"/>
    <x v="9"/>
    <x v="5"/>
    <m/>
    <n v="1"/>
    <s v="Deals Database"/>
    <s v="Insert new Fixing Data when fixing data is missing from BBG"/>
    <s v="Zhuu"/>
    <d v="2010-02-24T00:00:00"/>
    <n v="1"/>
    <x v="3"/>
    <x v="4"/>
    <d v="2010-04-26T00:00:00"/>
    <n v="0"/>
    <n v="0"/>
  </r>
  <r>
    <s v="01.2.40"/>
    <x v="9"/>
    <x v="5"/>
    <m/>
    <m/>
    <s v="Deals Database"/>
    <s v="Don't update bonds in CashflwoGenerator if their factor it zero"/>
    <s v="Neil"/>
    <d v="2010-04-23T00:00:00"/>
    <n v="0.5"/>
    <x v="3"/>
    <x v="4"/>
    <d v="2010-04-26T00:00:00"/>
    <n v="0"/>
    <n v="0"/>
  </r>
  <r>
    <s v="01.2.37"/>
    <x v="9"/>
    <x v="5"/>
    <m/>
    <m/>
    <s v="Deals Database"/>
    <s v="Bug with fixing generation for IT0004485063 - 1st fixing is on a holiday - why?"/>
    <s v="Neil"/>
    <d v="2010-02-24T00:00:00"/>
    <n v="0.5"/>
    <x v="3"/>
    <x v="4"/>
    <d v="2010-04-23T00:00:00"/>
    <n v="0"/>
    <n v="0"/>
  </r>
  <r>
    <s v="01.2.26"/>
    <x v="9"/>
    <x v="5"/>
    <m/>
    <n v="1"/>
    <s v="Deals Database"/>
    <s v="Add Factor to Bonds in Deal DB"/>
    <s v="Neil"/>
    <d v="2009-12-16T00:00:00"/>
    <n v="1"/>
    <x v="4"/>
    <x v="4"/>
    <d v="2010-04-15T00:00:00"/>
    <n v="0"/>
    <n v="0"/>
  </r>
  <r>
    <s v="01.2.34"/>
    <x v="9"/>
    <x v="5"/>
    <m/>
    <n v="1"/>
    <s v="Deals Database"/>
    <s v="Add original FX rate on bonds"/>
    <s v="Ruth"/>
    <d v="2010-02-09T00:00:00"/>
    <n v="1"/>
    <x v="4"/>
    <x v="4"/>
    <d v="2010-04-15T00:00:00"/>
    <n v="0"/>
    <n v="0"/>
  </r>
  <r>
    <s v="01.2.36"/>
    <x v="9"/>
    <x v="5"/>
    <m/>
    <n v="1"/>
    <s v="Deals Database"/>
    <s v="Add 'OriginalPlacement' field to bonds, i.e., private/public/other"/>
    <s v="Ruth"/>
    <d v="2010-02-19T00:00:00"/>
    <n v="1"/>
    <x v="4"/>
    <x v="4"/>
    <d v="2010-04-15T00:00:00"/>
    <n v="0"/>
    <n v="0"/>
  </r>
  <r>
    <s v="01.2.39"/>
    <x v="9"/>
    <x v="5"/>
    <m/>
    <n v="1"/>
    <s v="Deals Database"/>
    <s v="Add 'CPR Type' to deals to specify non-default CPR values to use in BBG for cashflow generation."/>
    <s v="Zhuu"/>
    <d v="2010-03-02T00:00:00"/>
    <n v="3"/>
    <x v="4"/>
    <x v="4"/>
    <d v="2010-04-15T00:00:00"/>
    <n v="0"/>
    <n v="0"/>
  </r>
  <r>
    <s v="02.3.2"/>
    <x v="9"/>
    <x v="5"/>
    <m/>
    <m/>
    <s v="Intex"/>
    <s v="Get US Intex files"/>
    <s v="David Covey"/>
    <d v="2010-03-16T00:00:00"/>
    <n v="2"/>
    <x v="4"/>
    <x v="4"/>
    <d v="2010-04-15T00:00:00"/>
    <n v="0"/>
    <n v="0"/>
  </r>
  <r>
    <s v="08.12.3"/>
    <x v="9"/>
    <x v="5"/>
    <m/>
    <n v="1"/>
    <s v="Production Environment"/>
    <s v="Implement regular Calyon download"/>
    <s v="Neil"/>
    <d v="2010-03-02T00:00:00"/>
    <n v="2"/>
    <x v="4"/>
    <x v="4"/>
    <d v="2010-04-15T00:00:00"/>
    <n v="0"/>
    <n v="0"/>
  </r>
  <r>
    <s v="11.2.14"/>
    <x v="9"/>
    <x v="5"/>
    <m/>
    <n v="1"/>
    <s v="Admin"/>
    <s v="Investigate Intex missing files"/>
    <s v="Zhuu"/>
    <d v="2010-03-03T00:00:00"/>
    <n v="1"/>
    <x v="4"/>
    <x v="4"/>
    <d v="2010-04-15T00:00:00"/>
    <n v="0"/>
    <n v="0"/>
  </r>
  <r>
    <s v="11.2.7"/>
    <x v="9"/>
    <x v="5"/>
    <m/>
    <m/>
    <s v="Admin"/>
    <s v="Make Plan Outlook folder shared"/>
    <s v="Neil"/>
    <d v="2009-09-30T00:00:00"/>
    <n v="0.5"/>
    <x v="4"/>
    <x v="4"/>
    <d v="2010-04-15T00:00:00"/>
    <n v="0"/>
    <n v="0"/>
  </r>
  <r>
    <s v="20.3.1"/>
    <x v="9"/>
    <x v="5"/>
    <m/>
    <m/>
    <s v="CMBS - TREPP"/>
    <s v="Plan collaboration with US"/>
    <s v="Neil"/>
    <d v="2010-04-07T00:00:00"/>
    <n v="2"/>
    <x v="4"/>
    <x v="4"/>
    <d v="2010-04-15T00:00:00"/>
    <n v="0"/>
    <n v="0"/>
  </r>
  <r>
    <s v="08.12.4"/>
    <x v="9"/>
    <x v="5"/>
    <m/>
    <n v="1"/>
    <s v="Production Environment"/>
    <s v="Calyon: Ensure Kennsington data is loaded"/>
    <s v="David"/>
    <d v="2010-03-03T00:00:00"/>
    <n v="1"/>
    <x v="4"/>
    <x v="4"/>
    <d v="2010-03-31T00:00:00"/>
    <n v="0"/>
    <n v="0"/>
  </r>
  <r>
    <s v="16.10.1"/>
    <x v="9"/>
    <x v="5"/>
    <m/>
    <m/>
    <s v="Macro Economic Data"/>
    <s v="Normalised BBG Rate Data "/>
    <s v="Neil"/>
    <d v="2010-03-30T00:00:00"/>
    <n v="0.5"/>
    <x v="4"/>
    <x v="4"/>
    <d v="2010-03-31T00:00:00"/>
    <n v="0"/>
    <n v="0"/>
  </r>
  <r>
    <s v="02.3.3"/>
    <x v="9"/>
    <x v="5"/>
    <m/>
    <m/>
    <s v="Intex"/>
    <s v="Intex files missing"/>
    <s v="Zhuu"/>
    <d v="2010-03-18T00:00:00"/>
    <n v="1"/>
    <x v="4"/>
    <x v="4"/>
    <d v="2010-03-25T00:00:00"/>
    <n v="0"/>
    <n v="0"/>
  </r>
  <r>
    <s v="08.12.1"/>
    <x v="9"/>
    <x v="5"/>
    <m/>
    <n v="1"/>
    <s v="Production Environment"/>
    <s v="Calyon: Figure out a suitable data delivery method"/>
    <s v="David"/>
    <d v="2010-02-02T00:00:00"/>
    <n v="2"/>
    <x v="4"/>
    <x v="4"/>
    <d v="2010-03-25T00:00:00"/>
    <n v="0"/>
    <n v="0"/>
  </r>
  <r>
    <s v="02.4.1"/>
    <x v="9"/>
    <x v="5"/>
    <m/>
    <n v="1"/>
    <s v="Intex"/>
    <s v="Intex Wrapper: Design suitable wrapper"/>
    <s v="Neil"/>
    <d v="2010-02-09T00:00:00"/>
    <n v="5"/>
    <x v="4"/>
    <x v="4"/>
    <d v="2010-03-09T00:00:00"/>
    <n v="0"/>
    <n v="0"/>
  </r>
  <r>
    <s v="08.12.2"/>
    <x v="9"/>
    <x v="5"/>
    <m/>
    <m/>
    <s v="Production Environment"/>
    <s v="Calyon: Modify loan rule process for Calyon specific tables"/>
    <s v="David"/>
    <d v="2010-02-02T00:00:00"/>
    <n v="5"/>
    <x v="4"/>
    <x v="4"/>
    <d v="2010-02-24T00:00:00"/>
    <n v="0"/>
    <n v="0"/>
  </r>
  <r>
    <s v="11.1.7"/>
    <x v="9"/>
    <x v="5"/>
    <m/>
    <m/>
    <s v="Admin"/>
    <s v="Use 'NSAM' for all changes"/>
    <s v="Dan Balsom"/>
    <d v="2010-02-16T00:00:00"/>
    <n v="0"/>
    <x v="4"/>
    <x v="4"/>
    <d v="2010-02-24T00:00:00"/>
    <n v="0"/>
    <n v="0"/>
  </r>
  <r>
    <s v="11.1.6"/>
    <x v="9"/>
    <x v="5"/>
    <m/>
    <m/>
    <s v="Admin"/>
    <s v="Change Management procedures"/>
    <s v="Compliance"/>
    <d v="2009-09-16T00:00:00"/>
    <n v="0"/>
    <x v="4"/>
    <x v="4"/>
    <d v="2010-02-16T00:00:00"/>
    <n v="0"/>
    <n v="0"/>
  </r>
  <r>
    <s v="20.1.1"/>
    <x v="9"/>
    <x v="5"/>
    <m/>
    <m/>
    <s v="CMBS - TREPP"/>
    <s v="Download Trepp data"/>
    <s v="David Covey"/>
    <d v="2010-02-10T00:00:00"/>
    <n v="0.5"/>
    <x v="4"/>
    <x v="4"/>
    <d v="2010-02-10T00:00:00"/>
    <n v="0"/>
    <n v="0"/>
  </r>
  <r>
    <s v="21.1"/>
    <x v="9"/>
    <x v="5"/>
    <m/>
    <m/>
    <s v="Collateral Model"/>
    <s v="Design Architecture and plan"/>
    <s v="David Covey"/>
    <d v="2010-01-22T00:00:00"/>
    <n v="2"/>
    <x v="4"/>
    <x v="4"/>
    <d v="2010-02-09T00:00:00"/>
    <n v="0"/>
    <n v="0"/>
  </r>
  <r>
    <s v="11.2.12"/>
    <x v="9"/>
    <x v="5"/>
    <m/>
    <m/>
    <s v="Admin"/>
    <s v="Get Intex Desktop 4.9 packaged and released"/>
    <s v="David"/>
    <d v="2010-01-20T00:00:00"/>
    <n v="1"/>
    <x v="4"/>
    <x v="4"/>
    <d v="2010-02-04T00:00:00"/>
    <n v="0"/>
    <n v="0"/>
  </r>
  <r>
    <s v="02.1.3"/>
    <x v="9"/>
    <x v="5"/>
    <m/>
    <m/>
    <s v="Intex"/>
    <s v="Download Intex Wrapper"/>
    <s v="Neil"/>
    <d v="2010-01-22T00:00:00"/>
    <n v="1"/>
    <x v="4"/>
    <x v="4"/>
    <d v="2010-01-28T00:00:00"/>
    <n v="0"/>
    <n v="0"/>
  </r>
  <r>
    <s v="01.2.31"/>
    <x v="9"/>
    <x v="5"/>
    <m/>
    <m/>
    <s v="Deals Database"/>
    <s v="Modify Totoro sector mapping"/>
    <s v="Zhuu"/>
    <d v="2010-01-19T00:00:00"/>
    <n v="2"/>
    <x v="4"/>
    <x v="4"/>
    <d v="2010-01-27T00:00:00"/>
    <n v="0"/>
    <n v="0"/>
  </r>
  <r>
    <s v="01.2.32"/>
    <x v="9"/>
    <x v="5"/>
    <m/>
    <m/>
    <s v="Deals Database"/>
    <s v="Floor WAL to 6 mnths"/>
    <s v="Zhuu"/>
    <d v="2010-01-20T00:00:00"/>
    <n v="1"/>
    <x v="4"/>
    <x v="4"/>
    <d v="2010-01-27T00:00:00"/>
    <n v="0"/>
    <n v="0"/>
  </r>
  <r>
    <s v="05.18.6"/>
    <x v="9"/>
    <x v="5"/>
    <m/>
    <m/>
    <s v="Loan level data"/>
    <s v="Add new rules for Friedel"/>
    <s v="Friedel"/>
    <d v="2010-01-12T00:00:00"/>
    <n v="3"/>
    <x v="4"/>
    <x v="4"/>
    <d v="2010-01-27T00:00:00"/>
    <n v="0"/>
    <n v="0"/>
  </r>
  <r>
    <s v="18.1.7"/>
    <x v="9"/>
    <x v="5"/>
    <m/>
    <m/>
    <s v="Roll Rate Analyser"/>
    <s v="Add interest rate adjustment to roll rates as specified by Zhuu Ang."/>
    <s v="David Covey"/>
    <d v="2009-08-27T00:00:00"/>
    <n v="3"/>
    <x v="4"/>
    <x v="4"/>
    <d v="2010-01-27T00:00:00"/>
    <n v="0"/>
    <n v="0"/>
  </r>
  <r>
    <s v="08.01.5"/>
    <x v="9"/>
    <x v="5"/>
    <m/>
    <m/>
    <s v="Production Environment"/>
    <s v="Get SAS ETS installed."/>
    <s v="Danny"/>
    <d v="2009-10-13T00:00:00"/>
    <n v="1"/>
    <x v="4"/>
    <x v="4"/>
    <d v="2010-01-18T00:00:00"/>
    <n v="0"/>
    <n v="0"/>
  </r>
  <r>
    <s v="01.2.30"/>
    <x v="9"/>
    <x v="5"/>
    <m/>
    <m/>
    <s v="Deals Database"/>
    <s v="Bug with 'Foll' bus day convention - see XS0429125577"/>
    <s v="Neil"/>
    <d v="2010-01-04T00:00:00"/>
    <n v="1"/>
    <x v="4"/>
    <x v="4"/>
    <d v="2010-01-14T00:00:00"/>
    <n v="0"/>
    <n v="0"/>
  </r>
  <r>
    <s v="09.1.13"/>
    <x v="9"/>
    <x v="5"/>
    <m/>
    <m/>
    <s v="Nomura Now"/>
    <s v="Make Spanish HPI available to ChartViewer SP"/>
    <s v="Gerald"/>
    <d v="2009-11-18T00:00:00"/>
    <n v="1"/>
    <x v="4"/>
    <x v="4"/>
    <d v="2010-01-14T00:00:00"/>
    <n v="0"/>
    <n v="0"/>
  </r>
  <r>
    <s v="09.1.14"/>
    <x v="9"/>
    <x v="5"/>
    <m/>
    <m/>
    <s v="Nomura Now"/>
    <s v="Add Spanish HPI to ChartViewer menu"/>
    <s v="Gerald"/>
    <d v="2009-11-18T00:00:00"/>
    <n v="0.25"/>
    <x v="4"/>
    <x v="4"/>
    <d v="2010-01-14T00:00:00"/>
    <n v="0"/>
    <n v="0"/>
  </r>
  <r>
    <s v="09.1.17"/>
    <x v="9"/>
    <x v="5"/>
    <m/>
    <m/>
    <s v="Nomura Now"/>
    <s v="Make Dutch HPI available to ChartViewer SP"/>
    <s v="Gerald"/>
    <d v="2009-12-10T00:00:00"/>
    <n v="1"/>
    <x v="4"/>
    <x v="4"/>
    <d v="2010-01-14T00:00:00"/>
    <n v="0"/>
    <n v="0"/>
  </r>
  <r>
    <s v="09.1.18"/>
    <x v="9"/>
    <x v="5"/>
    <m/>
    <m/>
    <s v="Nomura Now"/>
    <s v="Add Dutch HPI to ChartViewer menu"/>
    <s v="Gerald"/>
    <d v="2009-12-10T00:00:00"/>
    <n v="0.25"/>
    <x v="4"/>
    <x v="4"/>
    <d v="2010-01-14T00:00:00"/>
    <n v="0"/>
    <n v="0"/>
  </r>
  <r>
    <s v="02.1.1"/>
    <x v="9"/>
    <x v="5"/>
    <m/>
    <m/>
    <s v="Intex"/>
    <s v="Decide whether to use batch or wrapper"/>
    <s v="David Covey"/>
    <d v="2009-04-23T00:00:00"/>
    <n v="4"/>
    <x v="4"/>
    <x v="4"/>
    <d v="2010-01-06T00:00:00"/>
    <n v="0"/>
    <n v="0"/>
  </r>
  <r>
    <s v="16.6.1"/>
    <x v="9"/>
    <x v="5"/>
    <m/>
    <m/>
    <s v="Macro Economic Data"/>
    <s v="Build app to retrieve BBG static data"/>
    <s v="Neil"/>
    <d v="2009-09-30T00:00:00"/>
    <n v="4"/>
    <x v="4"/>
    <x v="4"/>
    <d v="2010-01-06T00:00:00"/>
    <n v="0"/>
    <n v="0"/>
  </r>
  <r>
    <s v="01.2.24"/>
    <x v="9"/>
    <x v="5"/>
    <m/>
    <m/>
    <s v="Deals Database"/>
    <s v="Populate original ratings from agencies"/>
    <s v="David"/>
    <d v="2009-12-03T00:00:00"/>
    <n v="0.5"/>
    <x v="4"/>
    <x v="4"/>
    <d v="2009-12-21T00:00:00"/>
    <n v="0"/>
    <n v="0"/>
  </r>
  <r>
    <s v="01.2.25"/>
    <x v="9"/>
    <x v="5"/>
    <m/>
    <m/>
    <s v="Deals Database"/>
    <s v="Implement combined rating algorithm from Ajay"/>
    <s v="David"/>
    <d v="2009-12-03T00:00:00"/>
    <n v="1"/>
    <x v="4"/>
    <x v="4"/>
    <d v="2009-12-21T00:00:00"/>
    <n v="0"/>
    <n v="0"/>
  </r>
  <r>
    <s v="01.2.23"/>
    <x v="9"/>
    <x v="5"/>
    <m/>
    <m/>
    <s v="Deals Database"/>
    <s v="Bug with roll day being 31 rather than 30"/>
    <s v="Neil"/>
    <d v="2009-11-03T00:00:00"/>
    <n v="0.5"/>
    <x v="4"/>
    <x v="4"/>
    <d v="2009-12-17T00:00:00"/>
    <n v="0"/>
    <n v="0"/>
  </r>
  <r>
    <s v="01.3.8"/>
    <x v="9"/>
    <x v="5"/>
    <m/>
    <m/>
    <s v="Deals Database"/>
    <s v="Add FX tables for conversions."/>
    <s v="Neil"/>
    <d v="2009-12-07T00:00:00"/>
    <n v="2"/>
    <x v="4"/>
    <x v="4"/>
    <d v="2009-12-10T00:00:00"/>
    <n v="0"/>
    <n v="0"/>
  </r>
  <r>
    <s v="16.6.2"/>
    <x v="9"/>
    <x v="5"/>
    <m/>
    <m/>
    <s v="Macro Economic Data"/>
    <s v="Retrieve 2,3,4,5 yrs GBP Swap rates"/>
    <s v="Friedel"/>
    <d v="2009-10-23T00:00:00"/>
    <n v="2"/>
    <x v="4"/>
    <x v="4"/>
    <d v="2009-12-10T00:00:00"/>
    <n v="0"/>
    <n v="0"/>
  </r>
  <r>
    <s v="16.6.3"/>
    <x v="9"/>
    <x v="5"/>
    <m/>
    <m/>
    <s v="Macro Economic Data"/>
    <s v="Retrieve  BoE base rate"/>
    <s v="Friedel"/>
    <d v="2009-09-30T00:00:00"/>
    <n v="2"/>
    <x v="4"/>
    <x v="4"/>
    <d v="2009-12-10T00:00:00"/>
    <n v="0"/>
    <n v="0"/>
  </r>
  <r>
    <s v="16.6.5"/>
    <x v="9"/>
    <x v="5"/>
    <m/>
    <m/>
    <s v="Macro Economic Data"/>
    <s v="Retrieve Historical FX rates"/>
    <s v="Neil"/>
    <d v="2009-09-30T00:00:00"/>
    <n v="2"/>
    <x v="4"/>
    <x v="4"/>
    <d v="2009-12-10T00:00:00"/>
    <n v="0"/>
    <n v="0"/>
  </r>
  <r>
    <s v="16.6.6"/>
    <x v="9"/>
    <x v="5"/>
    <m/>
    <m/>
    <s v="Macro Economic Data"/>
    <s v="Retrieve 1m, 3m,6m,9m,12m LIBOR and BBR rate for GBP"/>
    <s v="Dan"/>
    <d v="2009-10-23T00:00:00"/>
    <n v="2"/>
    <x v="4"/>
    <x v="4"/>
    <d v="2009-12-10T00:00:00"/>
    <n v="0"/>
    <n v="0"/>
  </r>
  <r>
    <s v="01.2.20"/>
    <x v="9"/>
    <x v="5"/>
    <m/>
    <m/>
    <s v="Deals Database"/>
    <s v="Change Cashflow Generator Support email message on errors"/>
    <s v="Pramendra"/>
    <d v="2009-10-09T00:00:00"/>
    <n v="0.5"/>
    <x v="4"/>
    <x v="4"/>
    <d v="2009-12-07T00:00:00"/>
    <n v="0"/>
    <n v="0"/>
  </r>
  <r>
    <s v="01.3.7"/>
    <x v="9"/>
    <x v="5"/>
    <m/>
    <m/>
    <s v="Deals Database"/>
    <s v="Add collateral currency to Deal."/>
    <s v="Neil"/>
    <d v="2009-12-07T00:00:00"/>
    <n v="5"/>
    <x v="4"/>
    <x v="4"/>
    <d v="2009-12-07T00:00:00"/>
    <n v="0"/>
    <n v="0"/>
  </r>
  <r>
    <s v="01.2.12"/>
    <x v="9"/>
    <x v="5"/>
    <m/>
    <m/>
    <s v="Deals Database"/>
    <s v="Add 'to call' facility for extracting BBG cashflows"/>
    <s v="Neil"/>
    <d v="2009-07-31T00:00:00"/>
    <n v="0.5"/>
    <x v="4"/>
    <x v="4"/>
    <d v="2009-11-27T00:00:00"/>
    <n v="0"/>
    <n v="0"/>
  </r>
  <r>
    <s v="01.2.21"/>
    <x v="9"/>
    <x v="5"/>
    <m/>
    <m/>
    <s v="Deals Database"/>
    <s v="Make Original Ratings and Current Rating distinct"/>
    <s v="David"/>
    <d v="2009-10-21T00:00:00"/>
    <n v="3"/>
    <x v="4"/>
    <x v="4"/>
    <d v="2009-11-27T00:00:00"/>
    <n v="0"/>
    <n v="0"/>
  </r>
  <r>
    <s v="01.2.22"/>
    <x v="9"/>
    <x v="5"/>
    <m/>
    <m/>
    <s v="Deals Database"/>
    <s v="Handle the situations of bonds that have multiple ISINs"/>
    <s v="Neil"/>
    <d v="2009-10-30T00:00:00"/>
    <n v="5"/>
    <x v="4"/>
    <x v="4"/>
    <d v="2009-11-27T00:00:00"/>
    <n v="0"/>
    <n v="0"/>
  </r>
  <r>
    <s v="02.3.1"/>
    <x v="9"/>
    <x v="5"/>
    <m/>
    <m/>
    <s v="Intex"/>
    <s v="Extract loan data for Paragon and EMAC"/>
    <s v="David Covey"/>
    <d v="2009-11-06T00:00:00"/>
    <n v="2"/>
    <x v="4"/>
    <x v="4"/>
    <d v="2009-11-27T00:00:00"/>
    <n v="0"/>
    <n v="0"/>
  </r>
  <r>
    <s v="01.1"/>
    <x v="9"/>
    <x v="5"/>
    <m/>
    <m/>
    <s v="Deals Database"/>
    <s v="Fixes to fixing and schedule building required to stop error from Radial and Totoro"/>
    <s v="Research"/>
    <d v="2009-04-08T00:00:00"/>
    <n v="0"/>
    <x v="4"/>
    <x v="4"/>
    <d v="2009-11-18T00:00:00"/>
    <n v="0"/>
    <n v="0"/>
  </r>
  <r>
    <s v="01.2.02"/>
    <x v="9"/>
    <x v="5"/>
    <m/>
    <m/>
    <s v="Deals Database"/>
    <s v="Add function to GUI to refresh all BBG data in one go"/>
    <s v="Friedel"/>
    <d v="2009-05-20T00:00:00"/>
    <n v="0"/>
    <x v="4"/>
    <x v="4"/>
    <d v="2009-11-18T00:00:00"/>
    <n v="0"/>
    <n v="0"/>
  </r>
  <r>
    <s v="01.2.04"/>
    <x v="9"/>
    <x v="5"/>
    <m/>
    <m/>
    <s v="Deals Database"/>
    <s v="Investigate duplicate fixings"/>
    <s v="Friedel"/>
    <d v="2009-05-21T00:00:00"/>
    <n v="0"/>
    <x v="4"/>
    <x v="4"/>
    <d v="2009-11-18T00:00:00"/>
    <n v="0"/>
    <n v="0"/>
  </r>
  <r>
    <s v="05.13"/>
    <x v="9"/>
    <x v="5"/>
    <m/>
    <m/>
    <s v="Loan level data"/>
    <s v="Support Danny reviewing all existing mappings"/>
    <s v="David Covey"/>
    <d v="2009-08-03T00:00:00"/>
    <n v="0"/>
    <x v="4"/>
    <x v="4"/>
    <d v="2009-11-17T00:00:00"/>
    <n v="0"/>
    <n v="0"/>
  </r>
  <r>
    <s v="05.08.7"/>
    <x v="9"/>
    <x v="5"/>
    <m/>
    <m/>
    <s v="Loan level data"/>
    <s v="Complete ESFData changes for ESAIL and RMAC for csv"/>
    <s v="Neil"/>
    <d v="2009-06-23T00:00:00"/>
    <n v="0"/>
    <x v="4"/>
    <x v="4"/>
    <d v="2009-11-06T00:00:00"/>
    <n v="0"/>
    <n v="0"/>
  </r>
  <r>
    <s v="05.15.1"/>
    <x v="9"/>
    <x v="5"/>
    <m/>
    <m/>
    <s v="Loan level data"/>
    <s v="Implement ESFraw for ESAIL loader"/>
    <s v="Danny"/>
    <d v="2009-08-18T00:00:00"/>
    <n v="0"/>
    <x v="4"/>
    <x v="4"/>
    <d v="2009-11-06T00:00:00"/>
    <n v="0"/>
    <n v="0"/>
  </r>
  <r>
    <s v="05.18.5"/>
    <x v="9"/>
    <x v="5"/>
    <m/>
    <m/>
    <s v="Loan level data"/>
    <s v="Complete 1st version of 2nd level rules and run on prod"/>
    <s v="Neil"/>
    <d v="2009-11-06T00:00:00"/>
    <n v="0"/>
    <x v="4"/>
    <x v="4"/>
    <d v="2009-11-06T00:00:00"/>
    <n v="0"/>
    <n v="0"/>
  </r>
  <r>
    <s v="09.3.3"/>
    <x v="9"/>
    <x v="5"/>
    <m/>
    <m/>
    <s v="Nomura Now"/>
    <s v="Make WALA and WAM in months"/>
    <s v="David Covey"/>
    <d v="2009-10-16T00:00:00"/>
    <n v="0"/>
    <x v="4"/>
    <x v="4"/>
    <d v="2009-11-06T00:00:00"/>
    <n v="0"/>
    <n v="0"/>
  </r>
  <r>
    <s v="08.01.4"/>
    <x v="9"/>
    <x v="5"/>
    <m/>
    <m/>
    <s v="Production Environment"/>
    <s v="Get SAS Insight/JMP installed"/>
    <s v="Danny"/>
    <d v="2009-09-15T00:00:00"/>
    <n v="0"/>
    <x v="4"/>
    <x v="4"/>
    <d v="2009-10-21T00:00:00"/>
    <n v="0"/>
    <n v="0"/>
  </r>
  <r>
    <s v="05.18.1"/>
    <x v="9"/>
    <x v="5"/>
    <m/>
    <m/>
    <s v="Loan level data"/>
    <s v="1st implementation of 2nd Level Loan Mapper"/>
    <s v="David Covey"/>
    <d v="2009-09-18T00:00:00"/>
    <n v="0"/>
    <x v="4"/>
    <x v="4"/>
    <d v="2009-10-20T00:00:00"/>
    <n v="0"/>
    <n v="0"/>
  </r>
  <r>
    <s v="05.16.1"/>
    <x v="9"/>
    <x v="5"/>
    <m/>
    <m/>
    <s v="Loan level data"/>
    <s v="Implement revised mapping for RMAC"/>
    <s v="Danny"/>
    <d v="2009-09-18T00:00:00"/>
    <n v="0"/>
    <x v="4"/>
    <x v="4"/>
    <d v="2009-10-16T00:00:00"/>
    <n v="0"/>
    <n v="0"/>
  </r>
  <r>
    <s v="05.18.2"/>
    <x v="9"/>
    <x v="5"/>
    <m/>
    <m/>
    <s v="Loan level data"/>
    <s v="Get requirements for 2nd Level"/>
    <s v="Danny"/>
    <d v="2009-10-16T00:00:00"/>
    <n v="0"/>
    <x v="4"/>
    <x v="4"/>
    <d v="2009-10-16T00:00:00"/>
    <n v="0"/>
    <n v="0"/>
  </r>
  <r>
    <s v="09.2.6"/>
    <x v="9"/>
    <x v="5"/>
    <m/>
    <m/>
    <s v="Nomura Now"/>
    <s v="Changes for first release"/>
    <s v="David Covey"/>
    <d v="2009-09-30T00:00:00"/>
    <n v="0"/>
    <x v="4"/>
    <x v="4"/>
    <d v="2009-10-16T00:00:00"/>
    <n v="0"/>
    <n v="0"/>
  </r>
  <r>
    <s v="11.1.5"/>
    <x v="9"/>
    <x v="5"/>
    <m/>
    <m/>
    <s v="Admin"/>
    <s v="SP for QDB to get factor changes"/>
    <s v="Compliance"/>
    <d v="2009-08-25T00:00:00"/>
    <n v="0"/>
    <x v="4"/>
    <x v="4"/>
    <d v="2009-09-30T00:00:00"/>
    <n v="0"/>
    <n v="0"/>
  </r>
  <r>
    <s v="08.09.2"/>
    <x v="9"/>
    <x v="5"/>
    <m/>
    <m/>
    <s v="Production Environment"/>
    <s v="Get Support permissions on DB set up"/>
    <s v="Neil"/>
    <d v="2009-09-18T00:00:00"/>
    <n v="0"/>
    <x v="4"/>
    <x v="4"/>
    <d v="2009-09-29T00:00:00"/>
    <n v="0"/>
    <n v="0"/>
  </r>
  <r>
    <s v="11.1.2"/>
    <x v="9"/>
    <x v="5"/>
    <m/>
    <m/>
    <s v="Admin"/>
    <s v="Set up Remedy group"/>
    <s v="Compliance"/>
    <d v="2009-06-11T00:00:00"/>
    <n v="0"/>
    <x v="4"/>
    <x v="4"/>
    <d v="2009-09-29T00:00:00"/>
    <n v="0"/>
    <n v="0"/>
  </r>
  <r>
    <s v="09.3.2"/>
    <x v="9"/>
    <x v="5"/>
    <m/>
    <m/>
    <s v="Nomura Now"/>
    <s v="Add 'Total' bucket"/>
    <s v="David Covey"/>
    <d v="2009-09-21T00:00:00"/>
    <n v="0"/>
    <x v="4"/>
    <x v="4"/>
    <d v="2009-09-22T00:00:00"/>
    <n v="0"/>
    <n v="0"/>
  </r>
  <r>
    <s v="09.3.1"/>
    <x v="9"/>
    <x v="5"/>
    <m/>
    <m/>
    <s v="Nomura Now"/>
    <s v="First Implementation of Loan Strats"/>
    <s v="David Covey"/>
    <d v="2009-08-28T00:00:00"/>
    <n v="0"/>
    <x v="4"/>
    <x v="4"/>
    <d v="2009-09-18T00:00:00"/>
    <n v="0"/>
    <n v="0"/>
  </r>
  <r>
    <s v="08.09.1"/>
    <x v="9"/>
    <x v="5"/>
    <m/>
    <m/>
    <s v="Production Environment"/>
    <s v="Get New DB for Nomura Now set up"/>
    <s v="Neil"/>
    <d v="2009-09-04T00:00:00"/>
    <n v="0"/>
    <x v="4"/>
    <x v="4"/>
    <d v="2009-09-15T00:00:00"/>
    <n v="0"/>
    <n v="0"/>
  </r>
  <r>
    <s v="10.3.2"/>
    <x v="9"/>
    <x v="5"/>
    <m/>
    <m/>
    <s v="Radial / Totoro / Other"/>
    <s v="Intra day feed to QDB"/>
    <s v="Operations"/>
    <d v="2009-08-04T00:00:00"/>
    <n v="0"/>
    <x v="4"/>
    <x v="4"/>
    <d v="2009-09-15T00:00:00"/>
    <n v="0"/>
    <n v="0"/>
  </r>
  <r>
    <s v="11.1.3"/>
    <x v="9"/>
    <x v="5"/>
    <m/>
    <m/>
    <s v="Admin"/>
    <s v="Meet with DBA to determine suitable access to production database."/>
    <s v="Compliance"/>
    <d v="2009-06-11T00:00:00"/>
    <n v="0"/>
    <x v="4"/>
    <x v="4"/>
    <d v="2009-09-15T00:00:00"/>
    <n v="0"/>
    <n v="0"/>
  </r>
  <r>
    <s v="09.2.5"/>
    <x v="9"/>
    <x v="5"/>
    <m/>
    <m/>
    <s v="Nomura Now"/>
    <s v="Find out what ReservePct is supposed to be"/>
    <s v="Gerald"/>
    <d v="2009-08-20T00:00:00"/>
    <n v="0"/>
    <x v="4"/>
    <x v="4"/>
    <d v="2009-09-04T00:00:00"/>
    <n v="0"/>
    <n v="0"/>
  </r>
  <r>
    <s v="05.07.3"/>
    <x v="9"/>
    <x v="5"/>
    <m/>
    <m/>
    <s v="Loan level data"/>
    <s v="Modify LoadID and BorrowerID fields for ESAIL"/>
    <s v="Danny"/>
    <d v="2009-08-20T00:00:00"/>
    <n v="0"/>
    <x v="4"/>
    <x v="4"/>
    <d v="2009-09-01T00:00:00"/>
    <n v="0"/>
    <n v="0"/>
  </r>
  <r>
    <s v="14.3"/>
    <x v="9"/>
    <x v="5"/>
    <m/>
    <m/>
    <s v="Stratification tool / PALS"/>
    <s v="Modify according to feedback"/>
    <s v="Neil"/>
    <d v="2009-08-20T00:00:00"/>
    <n v="0"/>
    <x v="4"/>
    <x v="4"/>
    <d v="2009-08-28T00:00:00"/>
    <n v="0"/>
    <n v="0"/>
  </r>
  <r>
    <s v="11.2.6"/>
    <x v="9"/>
    <x v="5"/>
    <m/>
    <m/>
    <s v="Admin"/>
    <s v="Get Intex PC moved"/>
    <s v="Neil"/>
    <d v="2009-08-20T00:00:00"/>
    <n v="0"/>
    <x v="4"/>
    <x v="4"/>
    <d v="2009-08-27T00:00:00"/>
    <n v="0"/>
    <n v="0"/>
  </r>
  <r>
    <s v="14.2"/>
    <x v="9"/>
    <x v="5"/>
    <m/>
    <m/>
    <s v="Stratification tool / PALS"/>
    <s v="Implement first version of application"/>
    <s v="David"/>
    <d v="2009-08-18T00:00:00"/>
    <n v="0"/>
    <x v="4"/>
    <x v="4"/>
    <d v="2009-08-25T00:00:00"/>
    <n v="0"/>
    <n v="0"/>
  </r>
  <r>
    <s v="08.07.1"/>
    <x v="9"/>
    <x v="5"/>
    <m/>
    <m/>
    <s v="Production Environment"/>
    <s v="Get eabs_p1/q1 set up for Internet"/>
    <s v="Pramendra"/>
    <d v="2009-08-24T00:00:00"/>
    <n v="0"/>
    <x v="4"/>
    <x v="4"/>
    <d v="2009-08-20T00:00:00"/>
    <n v="0"/>
    <n v="0"/>
  </r>
  <r>
    <s v="11.1.4"/>
    <x v="9"/>
    <x v="5"/>
    <m/>
    <m/>
    <s v="Admin"/>
    <s v="Write up DR plan"/>
    <s v="Compliance"/>
    <d v="2009-06-11T00:00:00"/>
    <n v="0"/>
    <x v="4"/>
    <x v="4"/>
    <d v="2009-08-20T00:00:00"/>
    <n v="0"/>
    <n v="0"/>
  </r>
  <r>
    <s v="09.2.2"/>
    <x v="9"/>
    <x v="5"/>
    <m/>
    <m/>
    <s v="Nomura Now"/>
    <s v="Determine SP to support Deal Analyser"/>
    <s v="Neil"/>
    <d v="2009-08-04T00:00:00"/>
    <n v="0"/>
    <x v="4"/>
    <x v="4"/>
    <d v="2009-08-18T00:00:00"/>
    <n v="0"/>
    <n v="0"/>
  </r>
  <r>
    <s v="14.1"/>
    <x v="9"/>
    <x v="5"/>
    <m/>
    <m/>
    <s v="Stratification tool / PALS"/>
    <s v="Determine detailed requirements"/>
    <s v="David"/>
    <d v="2009-07-15T00:00:00"/>
    <n v="0"/>
    <x v="4"/>
    <x v="4"/>
    <d v="2009-08-18T00:00:00"/>
    <n v="0"/>
    <n v="0"/>
  </r>
  <r>
    <s v="05.05.3"/>
    <x v="9"/>
    <x v="5"/>
    <m/>
    <m/>
    <s v="Loan level data"/>
    <s v="Add new fields to ESF tables 1st for ESAIL"/>
    <s v="Danny"/>
    <d v="2009-08-03T00:00:00"/>
    <n v="0"/>
    <x v="4"/>
    <x v="4"/>
    <d v="2009-08-07T00:00:00"/>
    <n v="0"/>
    <n v="0"/>
  </r>
  <r>
    <s v="09.2.1"/>
    <x v="9"/>
    <x v="5"/>
    <m/>
    <m/>
    <s v="Nomura Now"/>
    <s v="Plan"/>
    <s v="David Covey"/>
    <d v="2009-08-04T00:00:00"/>
    <n v="0"/>
    <x v="4"/>
    <x v="4"/>
    <d v="2009-08-04T00:00:00"/>
    <n v="0"/>
    <n v="0"/>
  </r>
  <r>
    <s v="01.2.11"/>
    <x v="9"/>
    <x v="5"/>
    <m/>
    <m/>
    <s v="Deals Database"/>
    <s v="Find out why bond XS0112279616 errors on overnight load - Done. Due to BBG bridge access Corp key"/>
    <s v="Neil"/>
    <d v="2009-08-03T00:00:00"/>
    <n v="0"/>
    <x v="4"/>
    <x v="4"/>
    <d v="2009-08-03T00:00:00"/>
    <n v="0"/>
    <n v="0"/>
  </r>
  <r>
    <s v="01.2.15"/>
    <x v="9"/>
    <x v="5"/>
    <m/>
    <m/>
    <s v="Deals Database"/>
    <s v="Add ability to populate many bonds from a list of isins"/>
    <s v="David"/>
    <d v="2009-08-03T00:00:00"/>
    <n v="0"/>
    <x v="4"/>
    <x v="4"/>
    <d v="2009-08-03T00:00:00"/>
    <n v="0"/>
    <n v="0"/>
  </r>
  <r>
    <s v="03.5.06"/>
    <x v="9"/>
    <x v="5"/>
    <m/>
    <m/>
    <s v="Deal Analyser"/>
    <s v="Various enhancements as specified by David"/>
    <s v="David Covey"/>
    <d v="2009-06-11T00:00:00"/>
    <n v="0"/>
    <x v="4"/>
    <x v="4"/>
    <d v="2009-07-31T00:00:00"/>
    <n v="0"/>
    <n v="0"/>
  </r>
  <r>
    <s v="01.2.08"/>
    <x v="9"/>
    <x v="5"/>
    <m/>
    <m/>
    <s v="Deals Database"/>
    <s v="Modify Radial feed to be more secure"/>
    <s v="Compliance"/>
    <d v="2009-06-11T00:00:00"/>
    <n v="0"/>
    <x v="4"/>
    <x v="4"/>
    <d v="2009-07-17T00:00:00"/>
    <n v="0"/>
    <n v="0"/>
  </r>
  <r>
    <s v="01.2.09"/>
    <x v="9"/>
    <x v="5"/>
    <m/>
    <m/>
    <s v="Deals Database"/>
    <s v="Add 'TradesOnCurrentFace' to Radial feed and get it into Totoro"/>
    <s v="Friedel"/>
    <d v="2009-07-07T00:00:00"/>
    <n v="0"/>
    <x v="4"/>
    <x v="4"/>
    <d v="2009-07-17T00:00:00"/>
    <n v="0"/>
    <n v="0"/>
  </r>
  <r>
    <s v="01.2.10"/>
    <x v="9"/>
    <x v="5"/>
    <m/>
    <m/>
    <s v="Deals Database"/>
    <s v="Make Cashflow Generate send emails upon completion"/>
    <s v="Neil"/>
    <d v="2009-07-07T00:00:00"/>
    <n v="0"/>
    <x v="4"/>
    <x v="4"/>
    <d v="2009-07-17T00:00:00"/>
    <n v="0"/>
    <n v="0"/>
  </r>
  <r>
    <s v="01.4"/>
    <x v="9"/>
    <x v="5"/>
    <m/>
    <m/>
    <s v="Deals Database"/>
    <s v="Move Cashflow Generator to production"/>
    <s v="Compliance"/>
    <d v="2009-06-11T00:00:00"/>
    <n v="0"/>
    <x v="4"/>
    <x v="4"/>
    <d v="2009-07-17T00:00:00"/>
    <n v="0"/>
    <n v="0"/>
  </r>
  <r>
    <s v="05.07.2"/>
    <x v="9"/>
    <x v="5"/>
    <m/>
    <m/>
    <s v="Loan level data"/>
    <s v="Release with new interpolation and graph functionality"/>
    <s v="David Covey"/>
    <d v="2009-07-03T00:00:00"/>
    <n v="0"/>
    <x v="4"/>
    <x v="4"/>
    <d v="2009-07-17T00:00:00"/>
    <n v="0"/>
    <n v="0"/>
  </r>
  <r>
    <s v="08.01.1"/>
    <x v="9"/>
    <x v="5"/>
    <m/>
    <m/>
    <s v="Production Environment"/>
    <s v="Get SAS Installed"/>
    <s v="David Covey"/>
    <d v="2009-04-14T00:00:00"/>
    <n v="0"/>
    <x v="4"/>
    <x v="4"/>
    <d v="2009-07-17T00:00:00"/>
    <n v="0"/>
    <n v="0"/>
  </r>
  <r>
    <s v="08.01.3"/>
    <x v="9"/>
    <x v="5"/>
    <m/>
    <m/>
    <s v="Production Environment"/>
    <s v="Get ODBC Drivers purchased"/>
    <s v="Neil"/>
    <d v="2009-06-15T00:00:00"/>
    <n v="0"/>
    <x v="4"/>
    <x v="4"/>
    <d v="2009-07-17T00:00:0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10">
  <r>
    <s v="04.9.1"/>
    <x v="0"/>
    <x v="0"/>
    <m/>
    <n v="1"/>
    <s v="Matrix Pricing Application"/>
    <s v="Research to review Matrix and fully populate."/>
    <s v="David Covey"/>
    <d v="2009-10-28T00:00:00"/>
    <n v="4"/>
    <s v="Other"/>
    <x v="0"/>
    <d v="2010-04-23T00:00:00"/>
    <n v="4"/>
    <n v="13"/>
  </r>
  <r>
    <s v="06.9.4"/>
    <x v="1"/>
    <x v="0"/>
    <m/>
    <m/>
    <s v="Shared application components "/>
    <s v="Make an exception be thrown if databases from more than one server are accessed, except in special circumstances."/>
    <s v="Neil"/>
    <d v="2010-11-23T00:00:00"/>
    <n v="1"/>
    <s v="Enhancement"/>
    <x v="1"/>
    <d v="2010-11-23T00:00:00"/>
    <n v="4"/>
    <n v="13"/>
  </r>
  <r>
    <s v="08.14.2"/>
    <x v="1"/>
    <x v="0"/>
    <m/>
    <m/>
    <s v="Production Environment"/>
    <s v="Remove all mention of specific environments from the registry/environment variables."/>
    <s v="Neil"/>
    <d v="2010-11-23T00:00:00"/>
    <n v="1"/>
    <s v="Maintenance"/>
    <x v="1"/>
    <d v="2010-11-23T00:00:00"/>
    <n v="4"/>
    <n v="13"/>
  </r>
  <r>
    <s v="12.4.1"/>
    <x v="1"/>
    <x v="0"/>
    <m/>
    <m/>
    <s v="Utilities"/>
    <s v="Create addin for simple field retrieval"/>
    <s v="Ajay"/>
    <d v="2010-11-23T00:00:00"/>
    <n v="3"/>
    <s v="NewDevelopment"/>
    <x v="1"/>
    <d v="2010-06-09T00:00:00"/>
    <n v="4"/>
    <n v="13"/>
  </r>
  <r>
    <s v="16.9.2"/>
    <x v="1"/>
    <x v="0"/>
    <m/>
    <m/>
    <s v="Macro Economic Data"/>
    <s v="Productionise Italian Land Registry Downloader"/>
    <s v="Friedel"/>
    <d v="2010-11-23T00:00:00"/>
    <n v="3"/>
    <s v="Maintenance"/>
    <x v="1"/>
    <d v="2010-03-02T00:00:00"/>
    <n v="4"/>
    <n v="13"/>
  </r>
  <r>
    <s v="05.05.6"/>
    <x v="1"/>
    <x v="1"/>
    <m/>
    <m/>
    <s v="Loan level data"/>
    <s v="Modify schema names in 'Loan' database."/>
    <s v="Neil"/>
    <d v="2010-06-23T00:00:00"/>
    <n v="0"/>
    <s v="Maintenance"/>
    <x v="1"/>
    <d v="2010-11-23T00:00:00"/>
    <n v="3"/>
    <n v="4"/>
  </r>
  <r>
    <s v="14.4.2"/>
    <x v="1"/>
    <x v="1"/>
    <m/>
    <m/>
    <s v="Stratification tool / PALS"/>
    <s v="Use DealId in database not BBG Deal Name"/>
    <s v="Neil"/>
    <d v="2010-05-04T00:00:00"/>
    <n v="2"/>
    <s v="Maintenance"/>
    <x v="1"/>
    <d v="2010-11-23T00:00:00"/>
    <n v="3"/>
    <n v="4"/>
  </r>
  <r>
    <s v="29.1.1"/>
    <x v="1"/>
    <x v="1"/>
    <m/>
    <m/>
    <s v="Price monitor"/>
    <s v="Gather requirements"/>
    <s v="Zhuu"/>
    <d v="2010-10-15T00:00:00"/>
    <n v="5"/>
    <s v="NewDevelopment"/>
    <x v="1"/>
    <d v="2010-11-08T00:00:00"/>
    <n v="3"/>
    <n v="4"/>
  </r>
  <r>
    <s v="04.10.32"/>
    <x v="1"/>
    <x v="1"/>
    <m/>
    <m/>
    <s v="Matrix Pricing Application"/>
    <s v="Add 'Bulk upload' functionality to L3 on Matrix GUI, to allow many isins to be set easily by users."/>
    <s v="Zhuu"/>
    <d v="2010-11-05T00:00:00"/>
    <n v="2"/>
    <s v="Enhancement"/>
    <x v="1"/>
    <d v="2010-11-05T00:00:00"/>
    <n v="3"/>
    <n v="4"/>
  </r>
  <r>
    <s v="04.10.31"/>
    <x v="1"/>
    <x v="1"/>
    <m/>
    <m/>
    <s v="Matrix Pricing Application"/>
    <s v="Add 'OriginalPaymentPriority’ functionality"/>
    <s v="Zhuu"/>
    <d v="2010-12-09T00:00:00"/>
    <n v="3"/>
    <s v="Enhancement"/>
    <x v="1"/>
    <d v="2010-11-04T00:00:00"/>
    <n v="3"/>
    <n v="4"/>
  </r>
  <r>
    <s v="30.2.1"/>
    <x v="1"/>
    <x v="1"/>
    <m/>
    <m/>
    <s v="Trader Runs to Bloomberg"/>
    <s v="OpeningRunsGUI: Design"/>
    <s v="Neil"/>
    <d v="2010-11-01T00:00:00"/>
    <n v="1"/>
    <s v="NewDevelopment"/>
    <x v="1"/>
    <d v="2010-11-01T00:00:00"/>
    <n v="3"/>
    <n v="4"/>
  </r>
  <r>
    <s v="30.2.2"/>
    <x v="1"/>
    <x v="1"/>
    <m/>
    <m/>
    <s v="Trader Runs to Bloomberg"/>
    <s v="OpeningRunsGUI: Implement"/>
    <s v="Neil"/>
    <d v="2010-11-01T00:00:00"/>
    <n v="5"/>
    <s v="NewDevelopment"/>
    <x v="1"/>
    <d v="2010-11-01T00:00:00"/>
    <n v="3"/>
    <n v="4"/>
  </r>
  <r>
    <s v="31.2.1"/>
    <x v="1"/>
    <x v="1"/>
    <m/>
    <m/>
    <s v="Daily Book Marking for MIS (AVR)"/>
    <s v="Gather requirements"/>
    <s v="Zhuu"/>
    <d v="2010-10-26T00:00:00"/>
    <n v="2"/>
    <s v="NewDevelopment"/>
    <x v="1"/>
    <d v="2010-10-26T00:00:00"/>
    <n v="3"/>
    <n v="4"/>
  </r>
  <r>
    <s v="10.6.1"/>
    <x v="1"/>
    <x v="1"/>
    <m/>
    <m/>
    <s v="Radial / Totoro / Other"/>
    <s v="Find a way to handle Fingal Exceptions"/>
    <s v="Neil"/>
    <d v="2010-10-08T00:00:00"/>
    <n v="1"/>
    <s v="Enhancement"/>
    <x v="1"/>
    <d v="2010-10-08T00:00:00"/>
    <n v="3"/>
    <n v="4"/>
  </r>
  <r>
    <s v="08.13.1"/>
    <x v="1"/>
    <x v="1"/>
    <m/>
    <m/>
    <s v="Production Environment"/>
    <s v="Daily maintainance of Indices and permissions"/>
    <s v="Neil"/>
    <d v="2010-10-07T00:00:00"/>
    <n v="2"/>
    <s v="Enhancement"/>
    <x v="1"/>
    <d v="2010-10-07T00:00:00"/>
    <n v="3"/>
    <n v="4"/>
  </r>
  <r>
    <s v="09.8.1"/>
    <x v="1"/>
    <x v="1"/>
    <m/>
    <m/>
    <s v="Nomura Now"/>
    <s v="Use Autosys to link to Nomura Now jobs for cache refreshes"/>
    <s v="Neil"/>
    <d v="2010-10-05T00:00:00"/>
    <n v="5"/>
    <s v="NewDevelopment"/>
    <x v="1"/>
    <d v="2010-10-05T00:00:00"/>
    <n v="3"/>
    <n v="4"/>
  </r>
  <r>
    <s v="12.5.1"/>
    <x v="1"/>
    <x v="1"/>
    <m/>
    <m/>
    <s v="Utilities"/>
    <s v="Sheduled job to set DB permissions and refresh Indices"/>
    <s v="Neil"/>
    <d v="2010-10-01T00:00:00"/>
    <n v="2"/>
    <s v="NewDevelopment"/>
    <x v="1"/>
    <d v="2010-10-01T00:00:00"/>
    <n v="3"/>
    <n v="4"/>
  </r>
  <r>
    <s v="06.7.5"/>
    <x v="1"/>
    <x v="1"/>
    <m/>
    <m/>
    <s v="Shared application components "/>
    <s v="Developer a GUI 'attachments' element and add to  TradeBlotter and  ClientTracker"/>
    <s v="Neil"/>
    <d v="2010-09-17T00:00:00"/>
    <n v="3"/>
    <s v="Enhancement"/>
    <x v="1"/>
    <d v="2010-09-17T00:00:00"/>
    <n v="3"/>
    <n v="4"/>
  </r>
  <r>
    <s v="16.11.4"/>
    <x v="1"/>
    <x v="1"/>
    <m/>
    <m/>
    <s v="Macro Economic Data"/>
    <s v="ES Repo Rates: Review"/>
    <s v="Friedel"/>
    <d v="2010-07-05T00:00:00"/>
    <n v="1"/>
    <s v="NewDevelopment"/>
    <x v="1"/>
    <d v="2010-07-05T00:00:00"/>
    <n v="3"/>
    <n v="4"/>
  </r>
  <r>
    <s v="16.11.5"/>
    <x v="1"/>
    <x v="1"/>
    <m/>
    <m/>
    <s v="Macro Economic Data"/>
    <s v="ES Repo Rates: Release"/>
    <s v="Friedel"/>
    <d v="2010-07-05T00:00:00"/>
    <n v="1"/>
    <s v="NewDevelopment"/>
    <x v="1"/>
    <d v="2010-07-05T00:00:00"/>
    <n v="3"/>
    <n v="4"/>
  </r>
  <r>
    <s v="03.6.7"/>
    <x v="1"/>
    <x v="1"/>
    <m/>
    <m/>
    <s v="Deal Analyser"/>
    <s v="Clean up ABS Net Log and other fixes"/>
    <s v="Neil"/>
    <d v="2010-09-17T00:00:00"/>
    <n v="2"/>
    <s v="Maintenance"/>
    <x v="1"/>
    <d v="2010-06-01T00:00:00"/>
    <n v="3"/>
    <n v="4"/>
  </r>
  <r>
    <s v="16.4"/>
    <x v="1"/>
    <x v="1"/>
    <m/>
    <m/>
    <s v="Macro Economic Data"/>
    <s v="Move Halifax HPA data to Surveillance DB"/>
    <s v="Neil"/>
    <d v="2009-09-01T00:00:00"/>
    <n v="2"/>
    <s v="Enhancement"/>
    <x v="1"/>
    <d v="2010-05-27T00:00:00"/>
    <n v="3"/>
    <n v="4"/>
  </r>
  <r>
    <s v="20.1.5"/>
    <x v="1"/>
    <x v="1"/>
    <m/>
    <m/>
    <s v="CMBS - TREPP"/>
    <s v="Automate Trepp data download"/>
    <s v="Neil"/>
    <d v="2010-06-08T00:00:00"/>
    <n v="7"/>
    <s v="NewDevelopment"/>
    <x v="1"/>
    <d v="2010-05-27T00:00:00"/>
    <n v="3"/>
    <n v="4"/>
  </r>
  <r>
    <s v="01.2.41"/>
    <x v="1"/>
    <x v="1"/>
    <m/>
    <m/>
    <s v="Deals Database"/>
    <s v="Represent Master Trusts in the database"/>
    <s v="Neil"/>
    <d v="2010-05-06T00:00:00"/>
    <n v="3"/>
    <s v="Enhancement"/>
    <x v="1"/>
    <d v="2010-05-06T00:00:00"/>
    <n v="3"/>
    <n v="4"/>
  </r>
  <r>
    <s v="05.16.2"/>
    <x v="1"/>
    <x v="1"/>
    <m/>
    <m/>
    <s v="Loan level data"/>
    <s v="Bug with null dates coming in as 1-Jan-1970"/>
    <s v="Danny"/>
    <d v="2009-11-25T00:00:00"/>
    <n v="0.5"/>
    <s v="Maintenance"/>
    <x v="1"/>
    <d v="2010-04-15T00:00:00"/>
    <n v="3"/>
    <n v="4"/>
  </r>
  <r>
    <s v="08.09.3"/>
    <x v="1"/>
    <x v="1"/>
    <m/>
    <m/>
    <s v="Production Environment"/>
    <s v="Get NT Groups set up for Database access"/>
    <s v="Neil"/>
    <d v="2009-09-18T00:00:00"/>
    <n v="3"/>
    <s v="Enhancement"/>
    <x v="1"/>
    <d v="2010-04-15T00:00:00"/>
    <n v="3"/>
    <n v="4"/>
  </r>
  <r>
    <s v="11.2.17"/>
    <x v="1"/>
    <x v="1"/>
    <m/>
    <m/>
    <s v="Admin"/>
    <s v="Log application startup to database to show app usage"/>
    <s v="Neil"/>
    <d v="2010-04-06T00:00:00"/>
    <n v="1"/>
    <s v="NewDevelopment"/>
    <x v="1"/>
    <d v="2010-04-15T00:00:00"/>
    <n v="3"/>
    <n v="4"/>
  </r>
  <r>
    <s v="14.4.1"/>
    <x v="1"/>
    <x v="1"/>
    <m/>
    <m/>
    <s v="Stratification tool / PALS"/>
    <s v="Add BTL flag on filter"/>
    <s v="David"/>
    <d v="2010-01-18T00:00:00"/>
    <n v="1"/>
    <s v="NewDevelopment"/>
    <x v="1"/>
    <d v="2010-04-15T00:00:00"/>
    <n v="3"/>
    <n v="4"/>
  </r>
  <r>
    <s v="15.3.3"/>
    <x v="1"/>
    <x v="1"/>
    <m/>
    <m/>
    <s v="Excel DB Transition"/>
    <s v="Add trigger definitions to Addin"/>
    <s v="Pramendra"/>
    <d v="2009-11-10T00:00:00"/>
    <n v="3"/>
    <s v="NewDevelopment"/>
    <x v="0"/>
    <d v="2010-04-15T00:00:00"/>
    <n v="3"/>
    <n v="4"/>
  </r>
  <r>
    <s v="16.5.1"/>
    <x v="1"/>
    <x v="1"/>
    <m/>
    <m/>
    <s v="Macro Economic Data"/>
    <s v="Automate email to Research"/>
    <s v="Neil"/>
    <d v="2010-02-01T00:00:00"/>
    <n v="3"/>
    <s v="Enhancement"/>
    <x v="1"/>
    <d v="2010-04-15T00:00:00"/>
    <n v="3"/>
    <n v="4"/>
  </r>
  <r>
    <s v="16.7.2"/>
    <x v="1"/>
    <x v="1"/>
    <m/>
    <m/>
    <s v="Macro Economic Data"/>
    <s v="Retrieve Italy HPI data"/>
    <s v="Shubh"/>
    <d v="2009-09-30T00:00:00"/>
    <n v="7"/>
    <s v="NewDevelopment"/>
    <x v="1"/>
    <d v="2010-04-15T00:00:00"/>
    <n v="3"/>
    <n v="4"/>
  </r>
  <r>
    <s v="20.2"/>
    <x v="1"/>
    <x v="1"/>
    <m/>
    <m/>
    <s v="CMBS - TREPP"/>
    <s v="Implement and integrate"/>
    <s v="David Covey"/>
    <d v="2009-11-18T00:00:00"/>
    <n v="180"/>
    <s v="NewDevelopment"/>
    <x v="2"/>
    <d v="2010-04-15T00:00:00"/>
    <n v="3"/>
    <n v="4"/>
  </r>
  <r>
    <s v="01.2.53"/>
    <x v="1"/>
    <x v="2"/>
    <m/>
    <m/>
    <s v="Deals Database"/>
    <s v="Remove dependancy on DealsDbDataAccessLayer from DealsDB App - replace with DealsDbOOLayer."/>
    <s v="Neil"/>
    <d v="2010-10-19T00:00:00"/>
    <n v="2"/>
    <s v="Enhancement"/>
    <x v="1"/>
    <d v="2010-12-02T00:00:00"/>
    <n v="2"/>
    <n v="3"/>
  </r>
  <r>
    <s v="05.14.2"/>
    <x v="1"/>
    <x v="2"/>
    <m/>
    <m/>
    <s v="Loan level data"/>
    <s v="Implement mapping for Great Hall"/>
    <s v="David Covey"/>
    <d v="2009-09-30T00:00:00"/>
    <n v="3"/>
    <s v="NewDevelopment"/>
    <x v="1"/>
    <d v="2010-11-16T00:00:00"/>
    <n v="2"/>
    <n v="3"/>
  </r>
  <r>
    <s v="06.12.1"/>
    <x v="1"/>
    <x v="2"/>
    <m/>
    <m/>
    <s v="Shared application components "/>
    <s v="Modify to take svn login credentials from config"/>
    <s v="Neil"/>
    <d v="2010-10-26T00:00:00"/>
    <n v="1"/>
    <s v="Enhancement"/>
    <x v="1"/>
    <d v="2010-10-26T00:00:00"/>
    <n v="2"/>
    <n v="3"/>
  </r>
  <r>
    <s v="01.2.48"/>
    <x v="1"/>
    <x v="2"/>
    <m/>
    <m/>
    <s v="Deals Database"/>
    <s v="Make POOL_ID mapping via a link table"/>
    <s v="Neil"/>
    <d v="2010-10-01T00:00:00"/>
    <n v="2"/>
    <s v="Enhancement"/>
    <x v="1"/>
    <d v="2010-10-01T00:00:00"/>
    <n v="2"/>
    <n v="3"/>
  </r>
  <r>
    <s v="27.1"/>
    <x v="1"/>
    <x v="2"/>
    <m/>
    <m/>
    <s v="Totoro Reconciliation"/>
    <s v="Gather requirements"/>
    <s v="Juan"/>
    <d v="2010-10-01T00:00:00"/>
    <n v="1"/>
    <s v="NewDevelopment"/>
    <x v="2"/>
    <d v="2010-10-01T00:00:00"/>
    <n v="2"/>
    <n v="3"/>
  </r>
  <r>
    <s v="28.1"/>
    <x v="1"/>
    <x v="2"/>
    <m/>
    <m/>
    <s v="Inventory Viewer"/>
    <s v="Gather Requirements"/>
    <s v="Juan"/>
    <d v="2010-10-01T00:00:00"/>
    <n v="1"/>
    <s v="NewDevelopment"/>
    <x v="2"/>
    <d v="2010-10-01T00:00:00"/>
    <n v="2"/>
    <n v="3"/>
  </r>
  <r>
    <s v="09.1.20"/>
    <x v="1"/>
    <x v="2"/>
    <m/>
    <m/>
    <s v="Nomura Now"/>
    <s v="Make sure all NN SPs return dealIds and bondIds only"/>
    <s v="Neil"/>
    <d v="2010-01-19T00:00:00"/>
    <n v="2"/>
    <s v="Enhancement"/>
    <x v="1"/>
    <d v="2010-08-16T00:00:00"/>
    <n v="2"/>
    <n v="3"/>
  </r>
  <r>
    <s v="03.8.14"/>
    <x v="1"/>
    <x v="2"/>
    <m/>
    <m/>
    <s v="Deal Analyser"/>
    <s v="CE - Design override GUI"/>
    <s v="Neil"/>
    <d v="2010-08-13T00:00:00"/>
    <n v="1"/>
    <s v="Enhancement"/>
    <x v="1"/>
    <d v="2010-08-13T00:00:00"/>
    <n v="2"/>
    <n v="3"/>
  </r>
  <r>
    <s v="16.11.2"/>
    <x v="1"/>
    <x v="2"/>
    <m/>
    <m/>
    <s v="Macro Economic Data"/>
    <s v="ES Repo Rates: Define Requirements"/>
    <s v="Friedel"/>
    <d v="2010-07-05T00:00:00"/>
    <n v="1"/>
    <s v="NewDevelopment"/>
    <x v="1"/>
    <d v="2010-08-10T00:00:00"/>
    <n v="2"/>
    <n v="3"/>
  </r>
  <r>
    <s v="16.11.3"/>
    <x v="1"/>
    <x v="2"/>
    <m/>
    <m/>
    <s v="Macro Economic Data"/>
    <s v="ES Repo Rates: Design and implement"/>
    <s v="Friedel"/>
    <d v="2010-07-05T00:00:00"/>
    <n v="4"/>
    <s v="NewDevelopment"/>
    <x v="1"/>
    <d v="2010-08-10T00:00:00"/>
    <n v="2"/>
    <n v="3"/>
  </r>
  <r>
    <s v="03.8.13"/>
    <x v="1"/>
    <x v="2"/>
    <m/>
    <m/>
    <s v="Deal Analyser"/>
    <s v="CE - Make use of PerformanceDataLib"/>
    <s v="Ruth"/>
    <d v="2010-07-28T00:00:00"/>
    <n v="1"/>
    <s v="Enhancement"/>
    <x v="1"/>
    <d v="2010-07-28T00:00:00"/>
    <n v="2"/>
    <n v="3"/>
  </r>
  <r>
    <s v="23.1.7"/>
    <x v="1"/>
    <x v="2"/>
    <m/>
    <m/>
    <s v="BBG Performance Data"/>
    <s v="Make use of PerformanceData Lib"/>
    <s v="Ruth"/>
    <d v="2010-07-28T00:00:00"/>
    <n v="1"/>
    <s v="Enhancement"/>
    <x v="1"/>
    <d v="2010-07-28T00:00:00"/>
    <n v="2"/>
    <n v="3"/>
  </r>
  <r>
    <s v="01.2.46"/>
    <x v="1"/>
    <x v="2"/>
    <m/>
    <m/>
    <s v="Deals Database"/>
    <s v="Deals DB changes for Master Trusts"/>
    <s v="Neil"/>
    <d v="2010-12-08T00:00:00"/>
    <n v="3"/>
    <s v="Enhancement"/>
    <x v="1"/>
    <d v="2010-06-11T00:00:00"/>
    <n v="2"/>
    <n v="3"/>
  </r>
  <r>
    <s v="01.2.28"/>
    <x v="1"/>
    <x v="2"/>
    <m/>
    <m/>
    <s v="Deals Database"/>
    <s v="Add ability to vew/set custom bond attributes"/>
    <s v="Neil"/>
    <d v="2009-12-16T00:00:00"/>
    <n v="2"/>
    <s v="NewDevelopment"/>
    <x v="1"/>
    <d v="2010-04-15T00:00:00"/>
    <n v="2"/>
    <n v="3"/>
  </r>
  <r>
    <s v="01.3.9"/>
    <x v="1"/>
    <x v="2"/>
    <m/>
    <m/>
    <s v="Deals Database"/>
    <s v="Fix Deal Issue Amount to be in currency of collateral."/>
    <s v="Neil"/>
    <d v="2009-12-07T00:00:00"/>
    <n v="2"/>
    <s v="Maintenance"/>
    <x v="1"/>
    <d v="2010-04-15T00:00:00"/>
    <n v="2"/>
    <n v="3"/>
  </r>
  <r>
    <s v="02.2"/>
    <x v="1"/>
    <x v="2"/>
    <m/>
    <m/>
    <s v="Intex"/>
    <s v="Intex verses BBG cashflow comparator to identify where default BBG cashflows are very different from Intex"/>
    <s v="David Covey"/>
    <d v="2009-11-18T00:00:00"/>
    <n v="45"/>
    <s v="NewDevelopment"/>
    <x v="2"/>
    <d v="2010-04-15T00:00:00"/>
    <n v="2"/>
    <n v="3"/>
  </r>
  <r>
    <s v="03.5.09"/>
    <x v="1"/>
    <x v="2"/>
    <m/>
    <m/>
    <s v="Deal Analyser"/>
    <s v="Make Deal Analyser Handle Master Trusts"/>
    <s v="Neil"/>
    <d v="2009-08-24T00:00:00"/>
    <n v="4"/>
    <s v="NewDevelopment"/>
    <x v="1"/>
    <d v="2010-04-15T00:00:00"/>
    <n v="2"/>
    <n v="3"/>
  </r>
  <r>
    <s v="03.5.13"/>
    <x v="1"/>
    <x v="2"/>
    <m/>
    <m/>
    <s v="Deal Analyser"/>
    <s v="Prevent commas and semi-colons in aggregate names"/>
    <s v="Gerald"/>
    <d v="2009-10-28T00:00:00"/>
    <n v="0.5"/>
    <s v="Maintenance"/>
    <x v="1"/>
    <d v="2010-04-15T00:00:00"/>
    <n v="2"/>
    <n v="3"/>
  </r>
  <r>
    <s v="03.6.4"/>
    <x v="1"/>
    <x v="2"/>
    <m/>
    <m/>
    <s v="Deal Analyser"/>
    <s v="Add checks to the ABSNet data loader to check for any deals missing from the feed, and to email the result to the group."/>
    <s v="Neil"/>
    <d v="2009-07-07T00:00:00"/>
    <n v="4"/>
    <s v="Enhancement"/>
    <x v="1"/>
    <d v="2010-04-15T00:00:00"/>
    <n v="2"/>
    <n v="3"/>
  </r>
  <r>
    <s v="03.7.2"/>
    <x v="1"/>
    <x v="2"/>
    <m/>
    <m/>
    <s v="Deal Analyser"/>
    <s v="Implement Deal Level Delinquencies"/>
    <s v="Danny"/>
    <d v="2009-11-18T00:00:00"/>
    <n v="5"/>
    <s v="NewDevelopment"/>
    <x v="1"/>
    <d v="2010-04-15T00:00:00"/>
    <n v="2"/>
    <n v="3"/>
  </r>
  <r>
    <s v="03.8.6"/>
    <x v="1"/>
    <x v="2"/>
    <m/>
    <m/>
    <s v="Deal Analyser"/>
    <s v="CE - Extend CE for more esoteric deals"/>
    <s v="Ajay"/>
    <d v="2010-05-06T00:00:00"/>
    <n v="10"/>
    <s v="NewDevelopment"/>
    <x v="1"/>
    <d v="2010-04-15T00:00:00"/>
    <n v="2"/>
    <n v="3"/>
  </r>
  <r>
    <s v="05.14.1"/>
    <x v="1"/>
    <x v="2"/>
    <m/>
    <m/>
    <s v="Loan level data"/>
    <s v="Add Great Hall loans -  raw + document"/>
    <s v="David Covey"/>
    <d v="2009-09-30T00:00:00"/>
    <n v="4"/>
    <s v="NewDevelopment"/>
    <x v="0"/>
    <d v="2010-04-15T00:00:00"/>
    <n v="2"/>
    <n v="3"/>
  </r>
  <r>
    <s v="05.19.1"/>
    <x v="1"/>
    <x v="2"/>
    <m/>
    <m/>
    <s v="Loan level data"/>
    <s v="Add EMF loans -  raw + document"/>
    <s v="Danny"/>
    <d v="2010-01-22T00:00:00"/>
    <n v="3"/>
    <s v="NewDevelopment"/>
    <x v="1"/>
    <d v="2010-04-15T00:00:00"/>
    <n v="2"/>
    <n v="3"/>
  </r>
  <r>
    <s v="05.19.2"/>
    <x v="1"/>
    <x v="2"/>
    <m/>
    <m/>
    <s v="Loan level data"/>
    <s v="Implement mapping for EMF"/>
    <s v="Danny"/>
    <d v="2010-01-22T00:00:00"/>
    <n v="4"/>
    <s v="NewDevelopment"/>
    <x v="1"/>
    <d v="2010-04-15T00:00:00"/>
    <n v="2"/>
    <n v="3"/>
  </r>
  <r>
    <s v="05.20.1"/>
    <x v="1"/>
    <x v="2"/>
    <m/>
    <m/>
    <s v="Loan level data"/>
    <s v="Check for duplicate/missing columns in file loader"/>
    <s v="Danny"/>
    <d v="2010-02-05T00:00:00"/>
    <n v="0.5"/>
    <s v="Enhancement"/>
    <x v="1"/>
    <d v="2010-04-15T00:00:00"/>
    <n v="2"/>
    <n v="3"/>
  </r>
  <r>
    <s v="16.3"/>
    <x v="1"/>
    <x v="2"/>
    <m/>
    <m/>
    <s v="Macro Economic Data"/>
    <s v="Add Nationwide House Price Data"/>
    <s v="David"/>
    <d v="2009-08-27T00:00:00"/>
    <n v="4"/>
    <s v="NewDevelopment"/>
    <x v="1"/>
    <d v="2010-03-17T00:00:00"/>
    <n v="2"/>
    <n v="3"/>
  </r>
  <r>
    <s v="17.8"/>
    <x v="1"/>
    <x v="2"/>
    <m/>
    <m/>
    <s v="Trade Blotter"/>
    <s v="Back load old Lehman Blotter Trades"/>
    <s v="Shubh"/>
    <d v="2010-03-16T00:00:00"/>
    <n v="5"/>
    <s v="Other"/>
    <x v="1"/>
    <d v="2010-03-16T00:00:00"/>
    <n v="2"/>
    <n v="3"/>
  </r>
  <r>
    <s v="05.22.1"/>
    <x v="1"/>
    <x v="2"/>
    <m/>
    <m/>
    <s v="Loan level data"/>
    <s v="Understand requirements"/>
    <s v="Danny"/>
    <d v="2010-12-09T00:00:00"/>
    <n v="1"/>
    <s v="Other"/>
    <x v="1"/>
    <d v="2010-03-09T00:00:00"/>
    <n v="2"/>
    <n v="3"/>
  </r>
  <r>
    <s v="09.1.16"/>
    <x v="1"/>
    <x v="2"/>
    <m/>
    <m/>
    <s v="Nomura Now"/>
    <s v="SPs to support Bond Portfolio Pricing"/>
    <s v="Gerald"/>
    <d v="2009-11-18T00:00:00"/>
    <n v="3"/>
    <s v="NewDevelopment"/>
    <x v="1"/>
    <d v="2010-03-02T00:00:00"/>
    <n v="2"/>
    <n v="3"/>
  </r>
  <r>
    <s v="09.2.7"/>
    <x v="1"/>
    <x v="2"/>
    <m/>
    <m/>
    <s v="Nomura Now"/>
    <s v="Issue with Deal+Pool Balance"/>
    <s v="Gerald"/>
    <d v="2010-02-24T00:00:00"/>
    <n v="1"/>
    <s v="Maintenance"/>
    <x v="1"/>
    <d v="2010-02-24T00:00:00"/>
    <n v="2"/>
    <n v="3"/>
  </r>
  <r>
    <s v="16.8.1"/>
    <x v="1"/>
    <x v="2"/>
    <m/>
    <m/>
    <s v="Macro Economic Data"/>
    <s v="Determine Credit Card data requirements"/>
    <s v="David"/>
    <d v="2009-12-03T00:00:00"/>
    <n v="1"/>
    <s v="NewDevelopment"/>
    <x v="1"/>
    <d v="2010-02-09T00:00:00"/>
    <n v="2"/>
    <n v="3"/>
  </r>
  <r>
    <s v="08.11"/>
    <x v="1"/>
    <x v="2"/>
    <m/>
    <m/>
    <s v="Production Environment"/>
    <s v="Figure out appropriate access controls for Server and DB"/>
    <s v="Neil"/>
    <d v="2009-09-18T00:00:00"/>
    <n v="1"/>
    <s v="Enhancement"/>
    <x v="1"/>
    <d v="2009-12-08T00:00:00"/>
    <n v="2"/>
    <n v="3"/>
  </r>
  <r>
    <s v="06.13.1"/>
    <x v="1"/>
    <x v="3"/>
    <m/>
    <m/>
    <s v="Shared application components "/>
    <s v="Move Fingal functions in Common.Utilities to Fingal Wrapper"/>
    <s v="Neil"/>
    <d v="2010-11-02T00:00:00"/>
    <n v="0.5"/>
    <s v="Enhancement"/>
    <x v="1"/>
    <d v="2010-11-02T00:00:00"/>
    <n v="1"/>
    <n v="2"/>
  </r>
  <r>
    <s v="06.13.3"/>
    <x v="1"/>
    <x v="3"/>
    <m/>
    <m/>
    <s v="Shared application components "/>
    <s v="Consider save Fingal Market to our DB rather than to file."/>
    <s v="Ruth"/>
    <d v="2010-11-02T00:00:00"/>
    <n v="2"/>
    <s v="Enhancement"/>
    <x v="1"/>
    <d v="2010-11-02T00:00:00"/>
    <n v="1"/>
    <n v="2"/>
  </r>
  <r>
    <s v="06.13.4"/>
    <x v="1"/>
    <x v="3"/>
    <m/>
    <m/>
    <s v="Shared application components "/>
    <s v="Consider using 'new' Fingal .Net API."/>
    <s v="Ruth"/>
    <d v="2010-11-02T00:00:00"/>
    <n v="3"/>
    <s v="Enhancement"/>
    <x v="1"/>
    <d v="2010-11-02T00:00:00"/>
    <n v="1"/>
    <n v="2"/>
  </r>
  <r>
    <s v="01.2.03"/>
    <x v="1"/>
    <x v="3"/>
    <m/>
    <m/>
    <s v="Deals Database"/>
    <s v="Add window navigator facility to easily locate Windows"/>
    <s v="Neil"/>
    <d v="2009-05-21T00:00:00"/>
    <n v="3"/>
    <s v="Enhancement"/>
    <x v="1"/>
    <d v="2010-04-15T00:00:00"/>
    <n v="1"/>
    <n v="2"/>
  </r>
  <r>
    <s v="01.2.27"/>
    <x v="1"/>
    <x v="3"/>
    <m/>
    <m/>
    <s v="Deals Database"/>
    <s v="Derive correct Pay date rule for Fingal"/>
    <s v="Neil"/>
    <d v="2009-12-15T00:00:00"/>
    <n v="2"/>
    <s v="Enhancement"/>
    <x v="1"/>
    <d v="2010-04-15T00:00:00"/>
    <n v="1"/>
    <n v="2"/>
  </r>
  <r>
    <s v="01.2.29"/>
    <x v="1"/>
    <x v="3"/>
    <m/>
    <m/>
    <s v="Deals Database"/>
    <s v="Make the Bloomberg Gateway a service"/>
    <s v="Pramendra"/>
    <d v="2009-12-21T00:00:00"/>
    <n v="2"/>
    <s v="NewDevelopment"/>
    <x v="1"/>
    <d v="2010-04-15T00:00:00"/>
    <n v="1"/>
    <n v="2"/>
  </r>
  <r>
    <s v="03.7.1"/>
    <x v="1"/>
    <x v="3"/>
    <m/>
    <m/>
    <s v="Deal Analyser"/>
    <s v="Plan design for Deal Level Delinquencies"/>
    <s v="Danny"/>
    <d v="2009-10-19T00:00:00"/>
    <n v="1"/>
    <s v="NewDevelopment"/>
    <x v="1"/>
    <d v="2010-04-15T00:00:00"/>
    <n v="1"/>
    <n v="2"/>
  </r>
  <r>
    <s v="04.7.7"/>
    <x v="1"/>
    <x v="3"/>
    <m/>
    <m/>
    <s v="Matrix Pricing Application"/>
    <s v="Add error summary report"/>
    <s v="Neil"/>
    <d v="2009-10-28T00:00:00"/>
    <n v="2"/>
    <s v="NewDevelopment"/>
    <x v="1"/>
    <d v="2010-04-15T00:00:00"/>
    <n v="1"/>
    <n v="2"/>
  </r>
  <r>
    <s v="06.2.3"/>
    <x v="1"/>
    <x v="3"/>
    <m/>
    <m/>
    <s v="Shared application components "/>
    <s v="Update config GUI for comments"/>
    <s v="Neil"/>
    <d v="2009-08-06T00:00:00"/>
    <n v="3"/>
    <s v="NewDevelopment"/>
    <x v="1"/>
    <d v="2010-04-15T00:00:00"/>
    <n v="1"/>
    <n v="2"/>
  </r>
  <r>
    <s v="08.06"/>
    <x v="1"/>
    <x v="3"/>
    <m/>
    <m/>
    <s v="Production Environment"/>
    <s v="Application to perform daily data quality checks"/>
    <s v="Neil"/>
    <d v="2009-05-29T00:00:00"/>
    <n v="5"/>
    <s v="Enhancement"/>
    <x v="1"/>
    <d v="2010-04-15T00:00:00"/>
    <n v="1"/>
    <n v="2"/>
  </r>
  <r>
    <s v="10.2.1"/>
    <x v="1"/>
    <x v="3"/>
    <m/>
    <m/>
    <s v="Radial / Totoro / Other"/>
    <s v="Get Radial/Totoro to handle irregular schedules"/>
    <s v="Neil"/>
    <d v="2009-04-14T00:00:00"/>
    <n v="10"/>
    <s v="Enhancement"/>
    <x v="1"/>
    <d v="2010-03-02T00:00:00"/>
    <n v="1"/>
    <n v="2"/>
  </r>
  <r>
    <s v="10.2.2"/>
    <x v="1"/>
    <x v="3"/>
    <m/>
    <m/>
    <s v="Radial / Totoro / Other"/>
    <s v="Find how Totoro can correctly represent step ups"/>
    <s v="Friedel"/>
    <d v="2009-04-29T00:00:00"/>
    <n v="10"/>
    <s v="Enhancement"/>
    <x v="1"/>
    <d v="2010-03-02T00:00:00"/>
    <n v="1"/>
    <n v="2"/>
  </r>
  <r>
    <s v="11.2.3"/>
    <x v="1"/>
    <x v="3"/>
    <m/>
    <m/>
    <s v="Admin"/>
    <s v="Investigate BWIC tracker"/>
    <s v="David"/>
    <d v="2009-07-30T00:00:00"/>
    <n v="2"/>
    <s v="NewDevelopment"/>
    <x v="1"/>
    <d v="2010-03-02T00:00:00"/>
    <n v="1"/>
    <n v="2"/>
  </r>
  <r>
    <s v="11.2.4"/>
    <x v="1"/>
    <x v="3"/>
    <m/>
    <m/>
    <s v="Admin"/>
    <s v="Copy old Lehman files"/>
    <s v="Danny"/>
    <d v="2009-08-28T00:00:00"/>
    <n v="1"/>
    <s v="NewDevelopment"/>
    <x v="1"/>
    <d v="2010-03-02T00:00:00"/>
    <n v="1"/>
    <n v="2"/>
  </r>
  <r>
    <s v="16.7.5"/>
    <x v="1"/>
    <x v="3"/>
    <m/>
    <m/>
    <s v="Macro Economic Data"/>
    <s v="TSP Cache Refresh"/>
    <s v="Pramendra"/>
    <d v="2009-10-12T00:00:00"/>
    <n v="3"/>
    <s v="Enhancement"/>
    <x v="1"/>
    <d v="2010-03-02T00:00:00"/>
    <n v="1"/>
    <n v="2"/>
  </r>
  <r>
    <s v="15.3.4"/>
    <x v="1"/>
    <x v="3"/>
    <m/>
    <m/>
    <s v="Excel DB Transition"/>
    <s v="Develop schema to hold aggregate loan data (independent of source)"/>
    <s v="Pramendra"/>
    <d v="2009-11-10T00:00:00"/>
    <n v="3"/>
    <s v="NewDevelopment"/>
    <x v="1"/>
    <d v="2010-02-09T00:00:00"/>
    <n v="1"/>
    <n v="2"/>
  </r>
  <r>
    <s v="15.3.5"/>
    <x v="1"/>
    <x v="3"/>
    <m/>
    <m/>
    <s v="Excel DB Transition"/>
    <s v="Automatically generate aggregate loan data where possible"/>
    <s v="Pramendra"/>
    <d v="2010-08-13T00:00:00"/>
    <n v="10"/>
    <s v="NewDevelopment"/>
    <x v="1"/>
    <d v="2010-02-09T00:00:00"/>
    <n v="1"/>
    <n v="2"/>
  </r>
  <r>
    <s v="15.4.3"/>
    <x v="1"/>
    <x v="3"/>
    <m/>
    <m/>
    <s v="Excel DB Transition"/>
    <s v="App to allow manual entry of aggregate loan data"/>
    <s v="Pramendra"/>
    <d v="2009-11-10T00:00:00"/>
    <n v="3"/>
    <s v="NewDevelopment"/>
    <x v="1"/>
    <d v="2010-02-09T00:00:00"/>
    <n v="1"/>
    <n v="2"/>
  </r>
  <r>
    <s v="16.6.4"/>
    <x v="1"/>
    <x v="3"/>
    <m/>
    <m/>
    <s v="Macro Economic Data"/>
    <s v="Retrieve Unemployment Rate"/>
    <s v="Friedel"/>
    <d v="2009-09-30T00:00:00"/>
    <n v="4"/>
    <s v="NewDevelopment"/>
    <x v="1"/>
    <d v="2010-02-09T00:00:00"/>
    <n v="1"/>
    <n v="2"/>
  </r>
  <r>
    <s v="09.1.11"/>
    <x v="1"/>
    <x v="3"/>
    <m/>
    <m/>
    <s v="Nomura Now"/>
    <s v="Load up very old Lehman spread history"/>
    <s v="Shubh"/>
    <d v="2009-10-16T00:00:00"/>
    <n v="2"/>
    <s v="Other"/>
    <x v="1"/>
    <d v="2009-12-03T00:00:00"/>
    <n v="1"/>
    <n v="2"/>
  </r>
  <r>
    <s v="06.9.1"/>
    <x v="1"/>
    <x v="4"/>
    <m/>
    <m/>
    <s v="Shared application components "/>
    <s v="Consider putting boilerplate startup code in Common.Utilities."/>
    <s v="Neil"/>
    <d v="2010-04-13T00:00:00"/>
    <n v="1"/>
    <s v="Enhancement"/>
    <x v="3"/>
    <d v="2010-10-06T00:00:00"/>
    <n v="0"/>
    <n v="0"/>
  </r>
  <r>
    <s v="05.08.10"/>
    <x v="1"/>
    <x v="5"/>
    <m/>
    <m/>
    <s v="Loan level data"/>
    <s v="Add Buy to Let to filter (duplicate)"/>
    <s v="David Covey"/>
    <d v="2010-08-16T00:00:00"/>
    <n v="2"/>
    <s v="NewDevelopment"/>
    <x v="4"/>
    <d v="2010-08-16T00:00:00"/>
    <n v="0"/>
    <n v="0"/>
  </r>
  <r>
    <s v="05.08.8"/>
    <x v="1"/>
    <x v="5"/>
    <m/>
    <m/>
    <s v="Loan level data"/>
    <s v="Complete ESFData changes for ESAIL and RMAC for Excel"/>
    <s v="Neil"/>
    <d v="2009-06-23T00:00:00"/>
    <n v="0"/>
    <n v="0"/>
    <x v="4"/>
    <d v="2010-06-23T00:00:00"/>
    <n v="0"/>
    <n v="0"/>
  </r>
  <r>
    <s v="11.5.1b"/>
    <x v="2"/>
    <x v="0"/>
    <d v="2010-09-14T00:00:00"/>
    <m/>
    <s v="Admin"/>
    <s v="DocQual: Agree Requirements for Batch Apps"/>
    <s v="Neil"/>
    <d v="2010-08-20T00:00:00"/>
    <n v="1"/>
    <s v="Support"/>
    <x v="1"/>
    <d v="2010-09-08T00:00:00"/>
    <n v="4"/>
    <n v="38"/>
  </r>
  <r>
    <s v="26.1.3"/>
    <x v="2"/>
    <x v="0"/>
    <m/>
    <m/>
    <s v="Bloomberg data feed"/>
    <s v="BBG Feed: Investigate using BBG Accessor for application usage"/>
    <s v="Neil"/>
    <d v="2010-10-26T00:00:00"/>
    <n v="5"/>
    <s v="NewDevelopment"/>
    <x v="0"/>
    <d v="2010-10-26T00:00:00"/>
    <n v="4"/>
    <n v="13"/>
  </r>
  <r>
    <s v="26.1.2"/>
    <x v="2"/>
    <x v="0"/>
    <m/>
    <m/>
    <s v="Bloomberg data feed"/>
    <s v="BBG Feed: Prototype feed process"/>
    <s v="Neil"/>
    <d v="2010-09-17T00:00:00"/>
    <n v="5"/>
    <s v="NewDevelopment"/>
    <x v="0"/>
    <d v="2010-09-17T00:00:00"/>
    <n v="4"/>
    <n v="13"/>
  </r>
  <r>
    <s v="07.5.13"/>
    <x v="2"/>
    <x v="0"/>
    <m/>
    <m/>
    <s v="Development Environment"/>
    <s v="GetQuantify working"/>
    <s v="Neil"/>
    <d v="2010-12-09T00:00:00"/>
    <n v="0.5"/>
    <s v="Other"/>
    <x v="0"/>
    <d v="2010-03-09T00:00:00"/>
    <n v="4"/>
    <n v="13"/>
  </r>
  <r>
    <s v="08.08.2"/>
    <x v="2"/>
    <x v="1"/>
    <m/>
    <m/>
    <s v="Production Environment"/>
    <s v="Have permissions to run commands such as 'sp_who'"/>
    <s v="Neil"/>
    <d v="2010-12-09T00:00:00"/>
    <n v="1"/>
    <s v="Enhancement"/>
    <x v="1"/>
    <d v="2010-12-09T00:00:00"/>
    <n v="3"/>
    <n v="4"/>
  </r>
  <r>
    <s v="07.5.12"/>
    <x v="2"/>
    <x v="1"/>
    <m/>
    <m/>
    <s v="Development Environment"/>
    <s v="Have permissions to run commands such as 'sp_who' and to kill processes"/>
    <s v="Neil"/>
    <d v="2010-12-09T00:00:00"/>
    <n v="1"/>
    <s v="Enhancement"/>
    <x v="1"/>
    <d v="2010-12-09T00:00:00"/>
    <n v="3"/>
    <n v="4"/>
  </r>
  <r>
    <s v="09.3.4"/>
    <x v="2"/>
    <x v="1"/>
    <m/>
    <m/>
    <s v="Nomura Now"/>
    <s v="Additional fields to be added"/>
    <s v="Shubh"/>
    <d v="2010-09-17T00:00:00"/>
    <n v="2"/>
    <s v="NewDevelopment"/>
    <x v="1"/>
    <d v="2010-11-25T00:00:00"/>
    <n v="3"/>
    <n v="4"/>
  </r>
  <r>
    <s v="16.12.4"/>
    <x v="2"/>
    <x v="1"/>
    <m/>
    <m/>
    <s v="Macro Economic Data"/>
    <s v="QDB Rates: UAT"/>
    <s v="Neil"/>
    <d v="2010-11-01T00:00:00"/>
    <n v="2"/>
    <s v="NewDevelopment"/>
    <x v="0"/>
    <d v="2010-11-01T00:00:00"/>
    <n v="3"/>
    <n v="4"/>
  </r>
  <r>
    <s v="16.12.5"/>
    <x v="2"/>
    <x v="1"/>
    <m/>
    <m/>
    <s v="Macro Economic Data"/>
    <s v="QDB Rates: Release"/>
    <s v="Neil"/>
    <d v="2010-11-01T00:00:00"/>
    <n v="1"/>
    <s v="NewDevelopment"/>
    <x v="1"/>
    <d v="2010-11-01T00:00:00"/>
    <n v="3"/>
    <n v="4"/>
  </r>
  <r>
    <s v="11.5.4b"/>
    <x v="2"/>
    <x v="1"/>
    <m/>
    <m/>
    <s v="Admin"/>
    <s v="DocQual: Implement plan for improving doc quality"/>
    <s v="Neil"/>
    <d v="2010-08-20T00:00:00"/>
    <n v="1"/>
    <s v="Support"/>
    <x v="1"/>
    <d v="2010-09-08T00:00:00"/>
    <n v="3"/>
    <n v="4"/>
  </r>
  <r>
    <s v="19.5.5"/>
    <x v="2"/>
    <x v="1"/>
    <m/>
    <m/>
    <s v="Support"/>
    <s v="Develop generic loan PDF file parsing approach"/>
    <s v="Sreevani"/>
    <d v="2010-09-08T00:00:00"/>
    <n v="4"/>
    <s v="Enhancement"/>
    <x v="0"/>
    <d v="2010-09-08T00:00:00"/>
    <n v="3"/>
    <n v="4"/>
  </r>
  <r>
    <s v="11.5.2b"/>
    <x v="2"/>
    <x v="1"/>
    <m/>
    <m/>
    <s v="Admin"/>
    <s v="DocQual: Agree Requirements for GUI Apps"/>
    <s v="Neil"/>
    <d v="2010-08-20T00:00:00"/>
    <n v="1"/>
    <s v="Support"/>
    <x v="1"/>
    <d v="2010-08-20T00:00:00"/>
    <n v="3"/>
    <n v="4"/>
  </r>
  <r>
    <s v="11.5.3b"/>
    <x v="2"/>
    <x v="1"/>
    <m/>
    <m/>
    <s v="Admin"/>
    <s v="DocQual: Agree Requirements for Libraries"/>
    <s v="Neil"/>
    <d v="2010-08-20T00:00:00"/>
    <n v="1"/>
    <s v="Support"/>
    <x v="1"/>
    <d v="2010-08-20T00:00:00"/>
    <n v="3"/>
    <n v="4"/>
  </r>
  <r>
    <s v="01.2.43"/>
    <x v="2"/>
    <x v="1"/>
    <m/>
    <m/>
    <s v="Deals Database"/>
    <s v="Make DealsDB and Cfgen handle bonds that genuinely have no ISIN"/>
    <s v="Neil"/>
    <d v="2010-06-07T00:00:00"/>
    <n v="1"/>
    <s v="Enhancement"/>
    <x v="1"/>
    <d v="2010-06-09T00:00:00"/>
    <n v="3"/>
    <n v="4"/>
  </r>
  <r>
    <s v="10.5.6"/>
    <x v="2"/>
    <x v="4"/>
    <m/>
    <m/>
    <s v="Radial / Totoro / Other"/>
    <s v="BBG Rates: Test and Release"/>
    <s v="Neil"/>
    <d v="2010-09-08T00:00:00"/>
    <n v="3"/>
    <s v="NewDevelopment"/>
    <x v="3"/>
    <d v="2010-12-09T00:00:00"/>
    <n v="0"/>
    <n v="1"/>
  </r>
  <r>
    <s v="09.3.5"/>
    <x v="2"/>
    <x v="4"/>
    <d v="2010-11-01T00:00:00"/>
    <m/>
    <s v="Nomura Now"/>
    <s v="LTV Strat tool: Add series history data to Nomura Now"/>
    <s v="David Covey"/>
    <d v="2010-04-20T00:00:00"/>
    <n v="7"/>
    <s v="NewDevelopment"/>
    <x v="3"/>
    <d v="2010-11-16T00:00:00"/>
    <n v="0"/>
    <n v="0"/>
  </r>
  <r>
    <s v="25.1.6"/>
    <x v="2"/>
    <x v="4"/>
    <d v="2010-09-28T00:00:00"/>
    <m/>
    <s v="Markit"/>
    <s v="Market1: Release"/>
    <s v="Neil"/>
    <d v="2010-09-08T00:00:00"/>
    <n v="1"/>
    <s v="NewDevelopment"/>
    <x v="3"/>
    <d v="2010-11-09T00:00:00"/>
    <n v="0"/>
    <n v="0"/>
  </r>
  <r>
    <s v="16.12.1"/>
    <x v="2"/>
    <x v="4"/>
    <m/>
    <m/>
    <s v="Macro Economic Data"/>
    <s v="QDB Rates: Requirements and Design"/>
    <s v="Neil"/>
    <d v="2010-11-01T00:00:00"/>
    <n v="4"/>
    <s v="NewDevelopment"/>
    <x v="3"/>
    <d v="2010-11-01T00:00:00"/>
    <n v="0"/>
    <n v="0"/>
  </r>
  <r>
    <s v="16.12.2"/>
    <x v="2"/>
    <x v="4"/>
    <m/>
    <m/>
    <s v="Macro Economic Data"/>
    <s v="QDB Rates: Implement"/>
    <s v="Neil"/>
    <d v="2010-11-01T00:00:00"/>
    <n v="5"/>
    <s v="NewDevelopment"/>
    <x v="3"/>
    <d v="2010-11-01T00:00:00"/>
    <n v="0"/>
    <n v="0"/>
  </r>
  <r>
    <s v="16.12.3"/>
    <x v="2"/>
    <x v="4"/>
    <m/>
    <m/>
    <s v="Macro Economic Data"/>
    <s v="QDB Rates: Review"/>
    <s v="Neil"/>
    <d v="2010-11-01T00:00:00"/>
    <n v="1"/>
    <s v="NewDevelopment"/>
    <x v="3"/>
    <d v="2010-11-01T00:00:00"/>
    <n v="0"/>
    <n v="0"/>
  </r>
  <r>
    <s v="17.10.4"/>
    <x v="2"/>
    <x v="4"/>
    <m/>
    <m/>
    <s v="Trade Blotter"/>
    <s v="Trade Blotter Release 5"/>
    <s v="Neil"/>
    <d v="2010-10-06T00:00:00"/>
    <n v="5"/>
    <s v="Enhancement"/>
    <x v="3"/>
    <d v="2010-10-26T00:00:00"/>
    <n v="0"/>
    <n v="0"/>
  </r>
  <r>
    <s v="24.2.1"/>
    <x v="2"/>
    <x v="4"/>
    <m/>
    <m/>
    <s v="Client Tracker"/>
    <s v="Fix Client Data Filter issue and set EntryDate to null for duplicates"/>
    <s v="Neil"/>
    <d v="2010-10-05T00:00:00"/>
    <n v="1"/>
    <s v="Support"/>
    <x v="3"/>
    <d v="2010-10-08T00:00:00"/>
    <n v="0"/>
    <n v="0"/>
  </r>
  <r>
    <s v="17.10.1"/>
    <x v="2"/>
    <x v="4"/>
    <d v="2010-09-22T00:00:00"/>
    <m/>
    <s v="Trade Blotter"/>
    <s v="Fix boolean filters for ReadOnly Users"/>
    <s v="David"/>
    <d v="2010-09-17T00:00:00"/>
    <n v="1"/>
    <s v="Enhancement"/>
    <x v="3"/>
    <d v="2010-10-06T00:00:00"/>
    <n v="0"/>
    <n v="0"/>
  </r>
  <r>
    <s v="17.10.3"/>
    <x v="2"/>
    <x v="4"/>
    <m/>
    <m/>
    <s v="Trade Blotter"/>
    <s v="Make existing three reports more flexible."/>
    <s v="Neil"/>
    <d v="2010-09-22T00:00:00"/>
    <n v="2"/>
    <s v="Enhancement"/>
    <x v="3"/>
    <d v="2010-10-06T00:00:00"/>
    <n v="0"/>
    <n v="0"/>
  </r>
  <r>
    <s v="25.1.4"/>
    <x v="2"/>
    <x v="4"/>
    <d v="2010-09-24T00:00:00"/>
    <m/>
    <s v="Markit"/>
    <s v="Market1: Test"/>
    <s v="Neil"/>
    <d v="2010-09-08T00:00:00"/>
    <n v="1"/>
    <s v="NewDevelopment"/>
    <x v="3"/>
    <d v="2010-10-06T00:00:00"/>
    <n v="0"/>
    <n v="0"/>
  </r>
  <r>
    <s v="10.5.1"/>
    <x v="2"/>
    <x v="4"/>
    <m/>
    <m/>
    <s v="Radial / Totoro / Other"/>
    <s v="BBG Rates: Requirements"/>
    <s v="Neil"/>
    <d v="2010-09-08T00:00:00"/>
    <n v="1"/>
    <s v="NewDevelopment"/>
    <x v="3"/>
    <d v="2010-10-01T00:00:00"/>
    <n v="0"/>
    <n v="0"/>
  </r>
  <r>
    <s v="10.5.2"/>
    <x v="2"/>
    <x v="4"/>
    <m/>
    <m/>
    <s v="Radial / Totoro / Other"/>
    <s v="BBG Rates: Design"/>
    <s v="Neil"/>
    <d v="2010-09-08T00:00:00"/>
    <n v="1"/>
    <s v="NewDevelopment"/>
    <x v="3"/>
    <d v="2010-10-01T00:00:00"/>
    <n v="0"/>
    <n v="0"/>
  </r>
  <r>
    <s v="10.5.4"/>
    <x v="2"/>
    <x v="4"/>
    <m/>
    <m/>
    <s v="Radial / Totoro / Other"/>
    <s v="BBG Rates: Implement"/>
    <s v="Neil"/>
    <d v="2010-09-08T00:00:00"/>
    <n v="5"/>
    <s v="NewDevelopment"/>
    <x v="3"/>
    <d v="2010-09-22T00:00:00"/>
    <n v="0"/>
    <n v="0"/>
  </r>
  <r>
    <s v="24.1.7"/>
    <x v="2"/>
    <x v="4"/>
    <d v="2010-08-23T00:00:00"/>
    <m/>
    <s v="Client Tracker"/>
    <s v="ClientTracker: Release"/>
    <s v="Neil"/>
    <d v="2010-06-24T00:00:00"/>
    <n v="1"/>
    <s v="NewDevelopment"/>
    <x v="3"/>
    <d v="2010-09-22T00:00:00"/>
    <n v="0"/>
    <n v="0"/>
  </r>
  <r>
    <s v="25.1.3"/>
    <x v="2"/>
    <x v="4"/>
    <d v="2010-09-22T00:00:00"/>
    <m/>
    <s v="Markit"/>
    <s v="Market1: Implement"/>
    <s v="Neil"/>
    <d v="2010-09-08T00:00:00"/>
    <n v="3"/>
    <s v="NewDevelopment"/>
    <x v="3"/>
    <d v="2010-09-22T00:00:00"/>
    <n v="0"/>
    <n v="0"/>
  </r>
  <r>
    <s v="19.5.4"/>
    <x v="2"/>
    <x v="4"/>
    <d v="2010-08-25T00:00:00"/>
    <m/>
    <s v="Support"/>
    <s v="Extract PDF data for Reneesh"/>
    <s v="Sachin"/>
    <d v="2010-08-20T00:00:00"/>
    <n v="2"/>
    <s v="Support"/>
    <x v="3"/>
    <d v="2010-09-08T00:00:00"/>
    <n v="0"/>
    <n v="0"/>
  </r>
  <r>
    <s v="24.1.6"/>
    <x v="2"/>
    <x v="4"/>
    <d v="2010-08-21T00:00:00"/>
    <m/>
    <s v="Client Tracker"/>
    <s v="ClientTracker: Final changes and testing"/>
    <s v="Neil"/>
    <d v="2010-06-24T00:00:00"/>
    <n v="3"/>
    <s v="NewDevelopment"/>
    <x v="3"/>
    <d v="2010-09-07T00:00:00"/>
    <n v="0"/>
    <n v="0"/>
  </r>
  <r>
    <s v="24.1.4"/>
    <x v="2"/>
    <x v="4"/>
    <d v="2010-07-12T00:00:00"/>
    <m/>
    <s v="Client Tracker"/>
    <s v="ClientTracker: Implement and Test"/>
    <s v="Neil"/>
    <d v="2010-06-24T00:00:00"/>
    <n v="8"/>
    <s v="NewDevelopment"/>
    <x v="3"/>
    <d v="2010-08-17T00:00:00"/>
    <n v="0"/>
    <n v="0"/>
  </r>
  <r>
    <s v="01.2.42"/>
    <x v="2"/>
    <x v="4"/>
    <d v="2010-06-20T00:00:00"/>
    <m/>
    <s v="Deals Database"/>
    <s v="Make BBG-&gt;Fingal holiday calendar mapping handle 'A$' -&gt; 'MEL,SYD' and make it extendable via the Config without need for a new release"/>
    <s v="Neil"/>
    <d v="2010-05-27T00:00:00"/>
    <n v="2"/>
    <s v="Enhancement"/>
    <x v="3"/>
    <d v="2010-08-13T00:00:00"/>
    <n v="0"/>
    <n v="0"/>
  </r>
  <r>
    <s v="01.2.44"/>
    <x v="2"/>
    <x v="4"/>
    <d v="2010-06-20T00:00:00"/>
    <m/>
    <s v="Deals Database"/>
    <s v="Issue pasting ISIN etc for new bonds"/>
    <s v="Neil"/>
    <d v="2010-06-08T00:00:00"/>
    <n v="1"/>
    <s v="Maintenance"/>
    <x v="3"/>
    <d v="2010-08-13T00:00:00"/>
    <n v="0"/>
    <n v="0"/>
  </r>
  <r>
    <s v="06.1.5"/>
    <x v="2"/>
    <x v="4"/>
    <d v="2010-06-20T00:00:00"/>
    <m/>
    <s v="Shared application components "/>
    <s v="Make default format for DateTime in Logger to be 'dd-MMM-yyyy'"/>
    <s v="Neil"/>
    <d v="2010-04-15T00:00:00"/>
    <n v="1"/>
    <s v="Enhancement"/>
    <x v="3"/>
    <d v="2010-08-13T00:00:00"/>
    <n v="0"/>
    <n v="0"/>
  </r>
  <r>
    <s v="07.5.6"/>
    <x v="2"/>
    <x v="4"/>
    <d v="2010-06-25T00:00:00"/>
    <m/>
    <s v="Development Environment"/>
    <s v="Investigate applicability of WPF"/>
    <s v="Neil"/>
    <d v="2010-06-24T00:00:00"/>
    <n v="2"/>
    <s v="Other"/>
    <x v="3"/>
    <d v="2010-07-14T00:00:00"/>
    <n v="0"/>
    <n v="0"/>
  </r>
  <r>
    <s v="24.1.1"/>
    <x v="2"/>
    <x v="4"/>
    <d v="2010-06-23T00:00:00"/>
    <m/>
    <s v="Client Tracker"/>
    <s v="ClientTracker: Gather requirements"/>
    <s v="Zhuu"/>
    <d v="2010-06-24T00:00:00"/>
    <n v="1"/>
    <s v="NewDevelopment"/>
    <x v="3"/>
    <d v="2010-07-14T00:00:00"/>
    <n v="0"/>
    <n v="0"/>
  </r>
  <r>
    <s v="24.1.2"/>
    <x v="2"/>
    <x v="4"/>
    <d v="2010-06-29T00:00:00"/>
    <m/>
    <s v="Client Tracker"/>
    <s v="ClientTracker: Initial Design"/>
    <s v="Neil"/>
    <d v="2010-06-24T00:00:00"/>
    <n v="3"/>
    <s v="NewDevelopment"/>
    <x v="3"/>
    <d v="2010-07-14T00:00:00"/>
    <n v="0"/>
    <n v="0"/>
  </r>
  <r>
    <s v="01.3.5"/>
    <x v="3"/>
    <x v="4"/>
    <m/>
    <m/>
    <s v="Deals Database"/>
    <s v="Provide 'clean' values for shelf, collateral and Originator"/>
    <s v="Research"/>
    <d v="2009-05-12T00:00:00"/>
    <n v="2"/>
    <s v="Other"/>
    <x v="3"/>
    <d v="2010-09-08T00:00:00"/>
    <n v="0"/>
    <n v="0"/>
  </r>
  <r>
    <s v="01.3.3"/>
    <x v="3"/>
    <x v="4"/>
    <m/>
    <m/>
    <s v="Deals Database"/>
    <s v="Fix duplicate Deals in DealDB"/>
    <s v="Research"/>
    <d v="2009-05-12T00:00:00"/>
    <n v="4"/>
    <n v="0"/>
    <x v="3"/>
    <d v="2010-05-05T00:00:00"/>
    <n v="0"/>
    <n v="0"/>
  </r>
  <r>
    <s v="01.3.4"/>
    <x v="3"/>
    <x v="4"/>
    <m/>
    <m/>
    <s v="Deals Database"/>
    <s v="Add missing deals to DealDB"/>
    <s v="Research"/>
    <d v="2009-05-12T00:00:00"/>
    <n v="0"/>
    <n v="0"/>
    <x v="3"/>
    <d v="2010-05-05T00:00:00"/>
    <n v="0"/>
    <n v="0"/>
  </r>
  <r>
    <s v="04.8.6"/>
    <x v="3"/>
    <x v="4"/>
    <m/>
    <m/>
    <s v="Matrix Pricing Application"/>
    <s v="Validate L2 matrix definitions"/>
    <s v="David Covey"/>
    <d v="2009-12-01T00:00:00"/>
    <n v="0"/>
    <n v="0"/>
    <x v="3"/>
    <d v="2009-07-31T00:00:00"/>
    <n v="0"/>
    <n v="0"/>
  </r>
  <r>
    <s v="07.5.2"/>
    <x v="4"/>
    <x v="0"/>
    <d v="2010-04-08T00:00:00"/>
    <m/>
    <s v="Development Environment"/>
    <s v="Recommend Exception usage and document"/>
    <s v="Neil"/>
    <d v="2010-04-15T00:00:00"/>
    <n v="0.5"/>
    <s v="Enhancement"/>
    <x v="1"/>
    <d v="2010-04-23T00:00:00"/>
    <n v="4"/>
    <n v="78"/>
  </r>
  <r>
    <s v="21.6.2"/>
    <x v="4"/>
    <x v="6"/>
    <m/>
    <m/>
    <s v="Collateral Model"/>
    <s v="ScenarioRateProvider: Design interface to model"/>
    <s v="Neil"/>
    <d v="2010-12-09T00:00:00"/>
    <n v="2"/>
    <s v="NewDevelopment"/>
    <x v="0"/>
    <d v="2010-12-09T00:00:00"/>
    <n v="5"/>
    <n v="26"/>
  </r>
  <r>
    <s v="21.6.3"/>
    <x v="4"/>
    <x v="6"/>
    <m/>
    <m/>
    <s v="Collateral Model"/>
    <s v="ScenarioRateProvider: Implement database only scenarios"/>
    <s v="Neil"/>
    <d v="2010-12-09T00:00:00"/>
    <n v="5"/>
    <s v="NewDevelopment"/>
    <x v="1"/>
    <d v="2010-12-09T00:00:00"/>
    <n v="5"/>
    <n v="26"/>
  </r>
  <r>
    <s v="06.8.4"/>
    <x v="4"/>
    <x v="0"/>
    <m/>
    <m/>
    <s v="Shared application components "/>
    <s v="IntegrationService:Testing and UAT"/>
    <s v="Sachin"/>
    <d v="2010-11-23T00:00:00"/>
    <n v="2"/>
    <s v="NewDevelopment"/>
    <x v="0"/>
    <d v="2010-11-23T00:00:00"/>
    <n v="4"/>
    <n v="13"/>
  </r>
  <r>
    <s v="06.8.5"/>
    <x v="4"/>
    <x v="0"/>
    <m/>
    <m/>
    <s v="Shared application components "/>
    <s v="IntegrationService:Code review and resulting changes"/>
    <s v="Neil"/>
    <d v="2010-11-23T00:00:00"/>
    <n v="1"/>
    <s v="NewDevelopment"/>
    <x v="1"/>
    <d v="2010-11-23T00:00:00"/>
    <n v="4"/>
    <n v="13"/>
  </r>
  <r>
    <s v="06.8.6"/>
    <x v="4"/>
    <x v="0"/>
    <m/>
    <m/>
    <s v="Shared application components "/>
    <s v="IntegrationService:Release to production"/>
    <s v="Neil"/>
    <d v="2010-11-23T00:00:00"/>
    <n v="1"/>
    <s v="NewDevelopment"/>
    <x v="1"/>
    <d v="2010-11-23T00:00:00"/>
    <n v="4"/>
    <n v="13"/>
  </r>
  <r>
    <s v="11.5.1a"/>
    <x v="4"/>
    <x v="1"/>
    <m/>
    <m/>
    <s v="Admin"/>
    <s v="DocQual: Agree Requirements for Batch Apps"/>
    <s v="Neil"/>
    <d v="2010-08-20T00:00:00"/>
    <n v="1"/>
    <s v="Support"/>
    <x v="1"/>
    <d v="2010-11-23T00:00:00"/>
    <n v="3"/>
    <n v="4"/>
  </r>
  <r>
    <s v="21.6.1"/>
    <x v="4"/>
    <x v="1"/>
    <m/>
    <m/>
    <s v="Collateral Model"/>
    <s v="ScenarioRateProvider: Define requirements and plan"/>
    <s v="Neil"/>
    <d v="2010-12-09T00:00:00"/>
    <n v="2"/>
    <s v="NewDevelopment"/>
    <x v="1"/>
    <d v="2010-11-23T00:00:00"/>
    <n v="3"/>
    <n v="4"/>
  </r>
  <r>
    <s v="03.8.15"/>
    <x v="4"/>
    <x v="2"/>
    <m/>
    <m/>
    <s v="Deal Analyser"/>
    <s v="CE - Improve email logging and avoid issuing as a Warning"/>
    <s v="Neil"/>
    <d v="2010-09-17T00:00:00"/>
    <n v="1"/>
    <s v="Enhancement"/>
    <x v="1"/>
    <d v="2010-11-23T00:00:00"/>
    <n v="2"/>
    <n v="3"/>
  </r>
  <r>
    <s v="11.5.2a"/>
    <x v="4"/>
    <x v="2"/>
    <m/>
    <m/>
    <s v="Admin"/>
    <s v="DocQual: Agree Requirements for GUI Apps"/>
    <s v="Neil"/>
    <d v="2010-08-20T00:00:00"/>
    <n v="1"/>
    <s v="Support"/>
    <x v="1"/>
    <d v="2010-11-23T00:00:00"/>
    <n v="2"/>
    <n v="3"/>
  </r>
  <r>
    <s v="11.5.3a"/>
    <x v="4"/>
    <x v="2"/>
    <m/>
    <m/>
    <s v="Admin"/>
    <s v="DocQual: Agree Requirements for Libraries"/>
    <s v="Neil"/>
    <d v="2010-08-20T00:00:00"/>
    <n v="1"/>
    <s v="Support"/>
    <x v="1"/>
    <d v="2010-11-23T00:00:00"/>
    <n v="2"/>
    <n v="3"/>
  </r>
  <r>
    <s v="11.5.4a"/>
    <x v="4"/>
    <x v="2"/>
    <m/>
    <m/>
    <s v="Admin"/>
    <s v="DocQual: Implement plan for improving doc quality"/>
    <s v="Neil"/>
    <d v="2010-08-20T00:00:00"/>
    <n v="1"/>
    <s v="Support"/>
    <x v="1"/>
    <d v="2010-11-23T00:00:00"/>
    <n v="2"/>
    <n v="3"/>
  </r>
  <r>
    <s v="18.1.8"/>
    <x v="4"/>
    <x v="4"/>
    <d v="2010-11-24T00:00:00"/>
    <m/>
    <s v="Roll Rate Analyser"/>
    <s v="Add BTL to filter on RR analyser"/>
    <s v="David"/>
    <d v="2010-01-18T00:00:00"/>
    <n v="2"/>
    <s v="NewDevelopment"/>
    <x v="3"/>
    <d v="2010-11-30T00:00:00"/>
    <n v="0"/>
    <n v="1"/>
  </r>
  <r>
    <s v="18.1.9"/>
    <x v="4"/>
    <x v="4"/>
    <d v="2010-11-24T00:00:00"/>
    <m/>
    <s v="Roll Rate Analyser"/>
    <s v="Add 'Adjusted months in arrears' as an option to RR analyser"/>
    <s v="Neil"/>
    <d v="2010-08-04T00:00:00"/>
    <n v="2"/>
    <s v="NewDevelopment"/>
    <x v="3"/>
    <d v="2010-11-30T00:00:00"/>
    <n v="0"/>
    <n v="1"/>
  </r>
  <r>
    <s v="11.4.2"/>
    <x v="4"/>
    <x v="4"/>
    <d v="2010-11-05T00:00:00"/>
    <m/>
    <s v="Admin"/>
    <s v="NoHo Migration: Get VM and user accounts set up"/>
    <s v="Neil"/>
    <d v="2010-09-17T00:00:00"/>
    <n v="2"/>
    <s v="Maintenance"/>
    <x v="3"/>
    <d v="2010-11-23T00:00:00"/>
    <n v="0"/>
    <n v="0"/>
  </r>
  <r>
    <s v="06.8.2"/>
    <x v="4"/>
    <x v="4"/>
    <d v="2010-09-10T00:00:00"/>
    <m/>
    <s v="Shared application components "/>
    <s v="IntegrationService:Build integration architecture"/>
    <s v="Sachin"/>
    <d v="2010-11-23T00:00:00"/>
    <n v="9"/>
    <s v="NewDevelopment"/>
    <x v="3"/>
    <d v="2010-11-01T00:00:00"/>
    <n v="0"/>
    <n v="0"/>
  </r>
  <r>
    <s v="06.8.3"/>
    <x v="4"/>
    <x v="4"/>
    <m/>
    <m/>
    <s v="Shared application components "/>
    <s v="IntegrationService:Incorporate into Trade Blotter, CommentViewer and DealAnalyser"/>
    <s v="Neil"/>
    <d v="2010-11-23T00:00:00"/>
    <n v="2"/>
    <s v="NewDevelopment"/>
    <x v="3"/>
    <d v="2010-11-01T00:00:00"/>
    <n v="0"/>
    <n v="0"/>
  </r>
  <r>
    <s v="09.4.6"/>
    <x v="4"/>
    <x v="4"/>
    <d v="2010-09-09T00:00:00"/>
    <m/>
    <s v="Nomura Now"/>
    <s v="NN RRA: Release"/>
    <s v="Neil"/>
    <d v="2010-08-20T00:00:00"/>
    <n v="1"/>
    <s v="NewDevelopment"/>
    <x v="3"/>
    <d v="2010-10-28T00:00:00"/>
    <n v="0"/>
    <n v="0"/>
  </r>
  <r>
    <s v="09.4.4"/>
    <x v="4"/>
    <x v="4"/>
    <d v="2010-09-01T00:00:00"/>
    <m/>
    <s v="Nomura Now"/>
    <s v="NN RRA: UAT"/>
    <s v="Gerald"/>
    <d v="2010-08-20T00:00:00"/>
    <n v="4"/>
    <s v="NewDevelopment"/>
    <x v="3"/>
    <d v="2010-09-10T00:00:00"/>
    <n v="0"/>
    <n v="0"/>
  </r>
  <r>
    <s v="09.4.3"/>
    <x v="4"/>
    <x v="4"/>
    <d v="2010-08-31T00:00:00"/>
    <m/>
    <s v="Nomura Now"/>
    <s v="NN RRA: Implement RR Analyser cache"/>
    <s v="David Covey"/>
    <d v="2010-08-20T00:00:00"/>
    <n v="7"/>
    <s v="NewDevelopment"/>
    <x v="3"/>
    <d v="2010-09-07T00:00:00"/>
    <n v="0"/>
    <n v="0"/>
  </r>
  <r>
    <s v="09.4.1"/>
    <x v="4"/>
    <x v="4"/>
    <m/>
    <m/>
    <s v="Nomura Now"/>
    <s v="NN RRA: Initial requirements &amp; design"/>
    <s v="David Covey"/>
    <d v="2010-04-16T00:00:00"/>
    <n v="2"/>
    <s v="NewDevelopment"/>
    <x v="3"/>
    <d v="2010-08-27T00:00:00"/>
    <n v="0"/>
    <n v="0"/>
  </r>
  <r>
    <s v="19.5.3"/>
    <x v="4"/>
    <x v="4"/>
    <m/>
    <m/>
    <s v="Support"/>
    <s v="Extract PDF data for Danny"/>
    <s v="Danny"/>
    <d v="2010-07-28T00:00:00"/>
    <n v="2"/>
    <s v="Support"/>
    <x v="3"/>
    <d v="2010-08-16T00:00:00"/>
    <n v="0"/>
    <n v="0"/>
  </r>
  <r>
    <s v="06.8.1"/>
    <x v="4"/>
    <x v="4"/>
    <m/>
    <m/>
    <s v="Shared application components "/>
    <s v="IntegrationService: Design integration mechanisms"/>
    <s v="Neil"/>
    <d v="2010-11-23T00:00:00"/>
    <n v="5"/>
    <s v="NewDevelopment"/>
    <x v="3"/>
    <d v="2010-08-04T00:00:00"/>
    <n v="0"/>
    <n v="0"/>
  </r>
  <r>
    <s v="17.7.5"/>
    <x v="4"/>
    <x v="4"/>
    <d v="2010-07-13T00:00:00"/>
    <m/>
    <s v="Trade Blotter"/>
    <s v="TradeBlotter3: Final changes and testing"/>
    <s v="Neil"/>
    <d v="2010-06-24T00:00:00"/>
    <n v="2"/>
    <s v="NewDevelopment"/>
    <x v="3"/>
    <d v="2010-07-16T00:00:00"/>
    <n v="0"/>
    <n v="0"/>
  </r>
  <r>
    <s v="17.7.6"/>
    <x v="4"/>
    <x v="4"/>
    <d v="2010-07-15T00:00:00"/>
    <m/>
    <s v="Trade Blotter"/>
    <s v="TradeBlotter3: Make release"/>
    <s v="Neil"/>
    <d v="2010-06-24T00:00:00"/>
    <n v="1"/>
    <s v="NewDevelopment"/>
    <x v="3"/>
    <d v="2010-07-16T00:00:00"/>
    <n v="0"/>
    <n v="0"/>
  </r>
  <r>
    <s v="17.7.2"/>
    <x v="4"/>
    <x v="4"/>
    <d v="2010-07-02T00:00:00"/>
    <m/>
    <s v="Trade Blotter"/>
    <s v="TradeBlotter3: Implement changes"/>
    <s v="Neil"/>
    <d v="2010-06-24T00:00:00"/>
    <n v="6"/>
    <s v="NewDevelopment"/>
    <x v="3"/>
    <d v="2010-07-14T00:00:00"/>
    <n v="0"/>
    <n v="0"/>
  </r>
  <r>
    <s v="17.7.3"/>
    <x v="4"/>
    <x v="4"/>
    <d v="2010-07-05T00:00:00"/>
    <m/>
    <s v="Trade Blotter"/>
    <s v="TradeBlotter3: Test changes"/>
    <s v="Neil"/>
    <d v="2010-06-24T00:00:00"/>
    <n v="0.5"/>
    <s v="NewDevelopment"/>
    <x v="3"/>
    <d v="2010-07-14T00:00:00"/>
    <n v="0"/>
    <n v="0"/>
  </r>
  <r>
    <s v="17.7.4"/>
    <x v="4"/>
    <x v="4"/>
    <d v="2010-07-07T00:00:00"/>
    <m/>
    <s v="Trade Blotter"/>
    <s v="TradeBlotter3: Review changes"/>
    <s v="Neil"/>
    <d v="2010-06-24T00:00:00"/>
    <n v="0.5"/>
    <s v="NewDevelopment"/>
    <x v="3"/>
    <d v="2010-07-14T00:00:00"/>
    <n v="0"/>
    <n v="0"/>
  </r>
  <r>
    <s v="11.2.22d"/>
    <x v="4"/>
    <x v="4"/>
    <d v="2010-06-14T00:00:00"/>
    <m/>
    <s v="Admin"/>
    <s v="Set goals for 2010_2011"/>
    <s v="Neil"/>
    <d v="2010-06-07T00:00:00"/>
    <n v="0.5"/>
    <s v="Other"/>
    <x v="3"/>
    <d v="2010-07-02T00:00:00"/>
    <n v="0"/>
    <n v="0"/>
  </r>
  <r>
    <s v="17.7.1"/>
    <x v="4"/>
    <x v="4"/>
    <d v="2010-06-24T00:00:00"/>
    <m/>
    <s v="Trade Blotter"/>
    <s v="TradeBlotter3: Agree items to include in release"/>
    <s v="Neil"/>
    <d v="2010-06-24T00:00:00"/>
    <n v="0.5"/>
    <s v="NewDevelopment"/>
    <x v="3"/>
    <d v="2010-06-24T00:00:00"/>
    <n v="0"/>
    <n v="0"/>
  </r>
  <r>
    <s v="22.2.7"/>
    <x v="4"/>
    <x v="4"/>
    <d v="2010-05-07T00:00:00"/>
    <m/>
    <s v="Support Tools"/>
    <s v="Support Tool - Release GUI and Batch to Prod"/>
    <s v="Neil"/>
    <d v="2010-05-06T00:00:00"/>
    <n v="1"/>
    <s v="NewDevelopment"/>
    <x v="3"/>
    <d v="2010-06-24T00:00:00"/>
    <n v="0"/>
    <n v="0"/>
  </r>
  <r>
    <s v="03.8.11"/>
    <x v="4"/>
    <x v="4"/>
    <d v="2010-06-01T00:00:00"/>
    <m/>
    <s v="Deal Analyser"/>
    <s v="CE - Release CE to Prod for June conference"/>
    <s v="Pramendra"/>
    <d v="2010-05-06T00:00:00"/>
    <n v="15"/>
    <s v="NewDevelopment"/>
    <x v="3"/>
    <d v="2010-06-21T00:00:00"/>
    <n v="0"/>
    <n v="0"/>
  </r>
  <r>
    <s v="03.8.10"/>
    <x v="4"/>
    <x v="4"/>
    <d v="2010-05-14T00:00:00"/>
    <m/>
    <s v="Deal Analyser"/>
    <s v="CE - Implement updated algorithm as specified by Ajay"/>
    <s v="Pramendra"/>
    <d v="2010-05-06T00:00:00"/>
    <n v="2"/>
    <s v="NewDevelopment"/>
    <x v="3"/>
    <d v="2010-06-07T00:00:00"/>
    <n v="0"/>
    <n v="0"/>
  </r>
  <r>
    <s v="19.5.2"/>
    <x v="4"/>
    <x v="4"/>
    <d v="2010-05-06T00:00:00"/>
    <m/>
    <s v="Support"/>
    <s v="Extract PDF data for Friedel #2"/>
    <s v="Friedel"/>
    <d v="2010-05-06T00:00:00"/>
    <n v="2"/>
    <n v="0"/>
    <x v="3"/>
    <d v="2010-05-07T00:00:00"/>
    <n v="0"/>
    <n v="0"/>
  </r>
  <r>
    <s v="22.2.5"/>
    <x v="4"/>
    <x v="4"/>
    <d v="2010-05-07T00:00:00"/>
    <m/>
    <s v="Support Tools"/>
    <s v="Support Tool - Loan load - Full Implementation"/>
    <s v="Neil"/>
    <d v="2010-04-13T00:00:00"/>
    <n v="10"/>
    <s v="NewDevelopment"/>
    <x v="3"/>
    <d v="2010-05-06T00:00:00"/>
    <n v="0"/>
    <n v="0"/>
  </r>
  <r>
    <s v="19.5.1"/>
    <x v="4"/>
    <x v="4"/>
    <m/>
    <m/>
    <s v="Support"/>
    <s v="Extract PDF data for Friedel"/>
    <s v="Friedel"/>
    <d v="2010-04-20T00:00:00"/>
    <n v="2"/>
    <n v="0"/>
    <x v="3"/>
    <d v="2010-05-05T00:00:00"/>
    <n v="0"/>
    <n v="0"/>
  </r>
  <r>
    <s v="22.2.3"/>
    <x v="4"/>
    <x v="4"/>
    <d v="2010-04-10T00:00:00"/>
    <m/>
    <s v="Support Tools"/>
    <s v="Support Tool - Loan load - 1st Draft Implementation"/>
    <s v="Neil"/>
    <d v="2010-03-08T00:00:00"/>
    <n v="5"/>
    <s v="NewDevelopment"/>
    <x v="3"/>
    <d v="2010-05-05T00:00:00"/>
    <n v="0"/>
    <n v="0"/>
  </r>
  <r>
    <s v="22.2.4"/>
    <x v="4"/>
    <x v="4"/>
    <m/>
    <m/>
    <s v="Support Tools"/>
    <s v="Support Tool - Loan load - Code Review"/>
    <s v="Neil"/>
    <d v="2010-03-08T00:00:00"/>
    <n v="1"/>
    <s v="NewDevelopment"/>
    <x v="3"/>
    <d v="2010-05-05T00:00:00"/>
    <n v="0"/>
    <n v="0"/>
  </r>
  <r>
    <s v="22.2.6"/>
    <x v="4"/>
    <x v="4"/>
    <d v="2010-04-20T00:00:00"/>
    <m/>
    <s v="Support Tools"/>
    <s v="Support Tool - Incorporate comments from group review"/>
    <s v="Neil"/>
    <d v="2010-04-13T00:00:00"/>
    <n v="1"/>
    <s v="NewDevelopment"/>
    <x v="3"/>
    <d v="2010-05-05T00:00:00"/>
    <n v="0"/>
    <n v="0"/>
  </r>
  <r>
    <s v="11.2.13"/>
    <x v="4"/>
    <x v="4"/>
    <m/>
    <n v="1"/>
    <s v="Admin"/>
    <s v="Get Sachin all set up"/>
    <s v="Neil"/>
    <d v="2010-02-23T00:00:00"/>
    <n v="1"/>
    <n v="0"/>
    <x v="3"/>
    <d v="2010-04-15T00:00:00"/>
    <n v="0"/>
    <n v="0"/>
  </r>
  <r>
    <s v="22.1.1"/>
    <x v="4"/>
    <x v="4"/>
    <m/>
    <n v="1"/>
    <s v="Support Tools"/>
    <s v="Generic Suppot Tool Design"/>
    <s v="Neil"/>
    <d v="2010-03-08T00:00:00"/>
    <n v="15"/>
    <n v="0"/>
    <x v="3"/>
    <d v="2010-04-15T00:00:00"/>
    <n v="0"/>
    <n v="0"/>
  </r>
  <r>
    <s v="22.2.1"/>
    <x v="4"/>
    <x v="4"/>
    <m/>
    <n v="1"/>
    <s v="Support Tools"/>
    <s v="Gather current load status"/>
    <s v="Neil"/>
    <d v="2010-03-08T00:00:00"/>
    <n v="1"/>
    <n v="0"/>
    <x v="3"/>
    <d v="2010-04-15T00:00:00"/>
    <n v="0"/>
    <n v="0"/>
  </r>
  <r>
    <s v="22.2.2"/>
    <x v="4"/>
    <x v="4"/>
    <m/>
    <n v="1"/>
    <s v="Support Tools"/>
    <s v="Support Tool - Loan load - Design"/>
    <s v="Neil"/>
    <d v="2010-03-08T00:00:00"/>
    <n v="4"/>
    <n v="0"/>
    <x v="3"/>
    <d v="2010-04-15T00:00:00"/>
    <n v="0"/>
    <n v="0"/>
  </r>
  <r>
    <s v="11.2.9"/>
    <x v="4"/>
    <x v="4"/>
    <m/>
    <m/>
    <s v="Admin"/>
    <s v="Find a better way to show accurate loan load status info on the wiki"/>
    <s v="Neil"/>
    <d v="2010-01-04T00:00:00"/>
    <n v="15"/>
    <n v="0"/>
    <x v="3"/>
    <d v="2010-03-08T00:00:00"/>
    <n v="0"/>
    <n v="0"/>
  </r>
  <r>
    <s v="05.12.2"/>
    <x v="5"/>
    <x v="6"/>
    <m/>
    <m/>
    <s v="Loan level data"/>
    <s v="Implement mapping for Resloc"/>
    <s v="David Covey"/>
    <d v="2009-09-11T00:00:00"/>
    <n v="3"/>
    <s v="NewDevelopment"/>
    <x v="0"/>
    <d v="2010-12-06T00:00:00"/>
    <n v="5"/>
    <n v="26"/>
  </r>
  <r>
    <s v="04.10.35"/>
    <x v="5"/>
    <x v="6"/>
    <m/>
    <m/>
    <s v="Matrix Pricing Application"/>
    <s v="Make 'businessDate' the actual COB date, not the run date"/>
    <s v="Neil"/>
    <d v="2010-12-09T00:00:00"/>
    <n v="3"/>
    <s v="Enhancement"/>
    <x v="0"/>
    <d v="2010-03-09T00:00:00"/>
    <n v="5"/>
    <n v="26"/>
  </r>
  <r>
    <s v="03.8.12"/>
    <x v="5"/>
    <x v="0"/>
    <m/>
    <m/>
    <s v="Deal Analyser"/>
    <s v="CE - Review database tables for Deal vs Issuer after June conference"/>
    <s v="Neil"/>
    <d v="2010-05-27T00:00:00"/>
    <n v="2"/>
    <s v="Enhancement"/>
    <x v="1"/>
    <d v="2010-11-23T00:00:00"/>
    <n v="4"/>
    <n v="13"/>
  </r>
  <r>
    <s v="06.13.5"/>
    <x v="5"/>
    <x v="0"/>
    <m/>
    <m/>
    <s v="Shared application components "/>
    <s v="Add 'UnitTest' for FingalLoader project for CodeBaseChecker"/>
    <s v="Neil"/>
    <d v="2010-11-12T00:00:00"/>
    <n v="1"/>
    <s v="NewDevelopment"/>
    <x v="1"/>
    <d v="2010-11-23T00:00:00"/>
    <n v="4"/>
    <n v="13"/>
  </r>
  <r>
    <s v="04.10.34"/>
    <x v="5"/>
    <x v="0"/>
    <m/>
    <m/>
    <s v="Matrix Pricing Application"/>
    <s v="Add unit tests to UnitTest project for CodeBaseChecker"/>
    <s v="Neil"/>
    <d v="2010-11-17T00:00:00"/>
    <n v="0.5"/>
    <s v="Enhancement"/>
    <x v="1"/>
    <d v="2010-11-17T00:00:00"/>
    <n v="4"/>
    <n v="13"/>
  </r>
  <r>
    <s v="05.21.11"/>
    <x v="5"/>
    <x v="0"/>
    <m/>
    <m/>
    <s v="Loan level data"/>
    <s v="LoanHandling: Merrill loader change, review,release"/>
    <s v="Pramendra"/>
    <d v="2010-09-08T00:00:00"/>
    <n v="3"/>
    <s v="Maintenance"/>
    <x v="0"/>
    <d v="2010-10-04T00:00:00"/>
    <n v="4"/>
    <n v="13"/>
  </r>
  <r>
    <s v="05.21.12"/>
    <x v="5"/>
    <x v="0"/>
    <m/>
    <m/>
    <s v="Loan level data"/>
    <s v="LoanHandling: LEEK loader change, review,release"/>
    <s v="Pramendra"/>
    <d v="2010-09-08T00:00:00"/>
    <n v="3"/>
    <s v="Maintenance"/>
    <x v="1"/>
    <d v="2010-09-08T00:00:00"/>
    <n v="4"/>
    <n v="13"/>
  </r>
  <r>
    <s v="06.13.6"/>
    <x v="5"/>
    <x v="0"/>
    <m/>
    <m/>
    <s v="Shared application components "/>
    <s v="Modify Fingal Market File name for date format 'YYYYMMDD'"/>
    <s v="Neil"/>
    <d v="2010-12-01T00:00:00"/>
    <n v="1"/>
    <s v="Enhancement"/>
    <x v="1"/>
    <d v="2010-03-09T00:00:00"/>
    <n v="4"/>
    <n v="13"/>
  </r>
  <r>
    <s v="07.2.5"/>
    <x v="5"/>
    <x v="1"/>
    <m/>
    <m/>
    <s v="Development Environment"/>
    <s v="Make schema saver figure out it's own environment and only save the schema for the environment that it is running for,"/>
    <s v="Neil"/>
    <d v="2010-11-22T00:00:00"/>
    <n v="1"/>
    <s v="Enhancement"/>
    <x v="1"/>
    <d v="2010-11-23T00:00:00"/>
    <n v="3"/>
    <n v="4"/>
  </r>
  <r>
    <s v="12.1.2"/>
    <x v="5"/>
    <x v="1"/>
    <m/>
    <m/>
    <s v="Utilities"/>
    <s v="Backup Prod application area to network"/>
    <s v="Neil"/>
    <d v="2009-08-24T00:00:00"/>
    <n v="1.5"/>
    <s v="NewDevelopment"/>
    <x v="1"/>
    <d v="2010-11-23T00:00:00"/>
    <n v="3"/>
    <n v="4"/>
  </r>
  <r>
    <s v="04.10.33"/>
    <x v="5"/>
    <x v="1"/>
    <m/>
    <m/>
    <s v="Matrix Pricing Application"/>
    <s v="Implement a regression test mechanism"/>
    <s v="Neil"/>
    <d v="2010-11-08T00:00:00"/>
    <n v="3"/>
    <s v="Enhancement"/>
    <x v="1"/>
    <d v="2010-11-08T00:00:00"/>
    <n v="3"/>
    <n v="4"/>
  </r>
  <r>
    <s v="16.10.6"/>
    <x v="5"/>
    <x v="1"/>
    <m/>
    <m/>
    <s v="Macro Economic Data"/>
    <s v="Normalised ECB Amount Data "/>
    <s v="Pramendra"/>
    <d v="2010-05-05T00:00:00"/>
    <n v="2"/>
    <s v="Maintenance"/>
    <x v="1"/>
    <d v="2010-08-20T00:00:00"/>
    <n v="3"/>
    <n v="4"/>
  </r>
  <r>
    <s v="16.10.7"/>
    <x v="5"/>
    <x v="1"/>
    <m/>
    <m/>
    <s v="Macro Economic Data"/>
    <s v="Normalised BOE Amount Data "/>
    <s v="Pramendra"/>
    <d v="2010-05-05T00:00:00"/>
    <n v="2"/>
    <s v="Maintenance"/>
    <x v="1"/>
    <d v="2010-08-20T00:00:00"/>
    <n v="3"/>
    <n v="4"/>
  </r>
  <r>
    <s v="07.2.6"/>
    <x v="5"/>
    <x v="1"/>
    <m/>
    <m/>
    <s v="Development Environment"/>
    <s v="Make scripter produce SQL scripts that can be directly run on the server without modification."/>
    <s v="Neil"/>
    <d v="2010-12-09T00:00:00"/>
    <n v="2"/>
    <s v="Enhancement"/>
    <x v="0"/>
    <d v="2010-03-09T00:00:00"/>
    <n v="3"/>
    <n v="4"/>
  </r>
  <r>
    <s v="16.5.2"/>
    <x v="5"/>
    <x v="4"/>
    <d v="2010-11-30T00:00:00"/>
    <m/>
    <s v="Macro Economic Data"/>
    <s v="Add ECB lending data"/>
    <s v="David"/>
    <d v="2010-11-08T00:00:00"/>
    <n v="2"/>
    <s v="Enhancement"/>
    <x v="3"/>
    <d v="2010-11-16T00:00:00"/>
    <n v="0"/>
    <n v="0"/>
  </r>
  <r>
    <s v="04.10.09"/>
    <x v="5"/>
    <x v="4"/>
    <d v="2010-10-01T00:00:00"/>
    <m/>
    <s v="Matrix Pricing Application"/>
    <s v="Mark some prices as bad"/>
    <s v="Zhuu"/>
    <d v="2010-04-19T00:00:00"/>
    <n v="3"/>
    <s v="NewDevelopment"/>
    <x v="3"/>
    <d v="2010-11-08T00:00:00"/>
    <n v="0"/>
    <n v="0"/>
  </r>
  <r>
    <s v="04.10.19"/>
    <x v="5"/>
    <x v="4"/>
    <d v="2010-10-01T00:00:00"/>
    <m/>
    <s v="Matrix Pricing Application"/>
    <s v="Remove un-needed fields from MatrixPricing.Results"/>
    <s v="Neil"/>
    <d v="2010-07-05T00:00:00"/>
    <n v="1"/>
    <s v="NewDevelopment"/>
    <x v="3"/>
    <d v="2010-11-08T00:00:00"/>
    <n v="0"/>
    <n v="0"/>
  </r>
  <r>
    <s v="04.10.20"/>
    <x v="5"/>
    <x v="4"/>
    <d v="2010-10-01T00:00:00"/>
    <m/>
    <s v="Matrix Pricing Application"/>
    <s v="Three fixes proposed by Ruth."/>
    <s v="Ruth"/>
    <d v="2010-07-28T00:00:00"/>
    <n v="3"/>
    <s v="Enhancement"/>
    <x v="3"/>
    <d v="2010-11-08T00:00:00"/>
    <n v="0"/>
    <n v="0"/>
  </r>
  <r>
    <s v="04.10.24"/>
    <x v="5"/>
    <x v="4"/>
    <d v="2010-10-01T00:00:00"/>
    <m/>
    <s v="Matrix Pricing Application"/>
    <s v="Test and UAT all changes"/>
    <s v="Neil"/>
    <d v="2010-07-29T00:00:00"/>
    <n v="1"/>
    <s v="Enhancement"/>
    <x v="3"/>
    <d v="2010-11-08T00:00:00"/>
    <n v="0"/>
    <n v="0"/>
  </r>
  <r>
    <s v="04.10.26"/>
    <x v="5"/>
    <x v="4"/>
    <d v="2010-10-08T00:00:00"/>
    <m/>
    <s v="Matrix Pricing Application"/>
    <s v="Release Matrix Pricing changes"/>
    <s v="Neil"/>
    <d v="2010-07-29T00:00:00"/>
    <n v="1"/>
    <s v="Enhancement"/>
    <x v="3"/>
    <d v="2010-11-08T00:00:00"/>
    <n v="0"/>
    <n v="0"/>
  </r>
  <r>
    <s v="04.10.27"/>
    <x v="5"/>
    <x v="4"/>
    <d v="2010-10-01T00:00:00"/>
    <m/>
    <s v="Matrix Pricing Application"/>
    <s v="Add ability to specify yields"/>
    <s v="Zhuu"/>
    <d v="2010-08-13T00:00:00"/>
    <n v="4"/>
    <s v="Enhancement"/>
    <x v="3"/>
    <d v="2010-11-08T00:00:00"/>
    <n v="0"/>
    <n v="0"/>
  </r>
  <r>
    <s v="04.10.30"/>
    <x v="5"/>
    <x v="4"/>
    <m/>
    <m/>
    <s v="Matrix Pricing Application"/>
    <s v="Refactor DoTierMapLookup()"/>
    <s v="Pramendra"/>
    <d v="2010-09-17T00:00:00"/>
    <n v="2"/>
    <s v="Enhancement"/>
    <x v="3"/>
    <d v="2010-11-08T00:00:00"/>
    <n v="0"/>
    <n v="0"/>
  </r>
  <r>
    <s v="04.10.21"/>
    <x v="5"/>
    <x v="4"/>
    <d v="2010-09-14T00:00:00"/>
    <m/>
    <s v="Matrix Pricing Application"/>
    <s v="Invert concept of FrontPay + BackPay"/>
    <s v="Neil"/>
    <d v="2010-07-29T00:00:00"/>
    <n v="2"/>
    <s v="Maintenance"/>
    <x v="3"/>
    <d v="2010-09-15T00:00:00"/>
    <n v="0"/>
    <n v="0"/>
  </r>
  <r>
    <s v="04.10.22"/>
    <x v="5"/>
    <x v="4"/>
    <d v="2010-09-14T00:00:00"/>
    <m/>
    <s v="Matrix Pricing Application"/>
    <s v="Modify windows sizes so that all columns are displayed"/>
    <s v="Neil"/>
    <d v="2010-07-29T00:00:00"/>
    <n v="1"/>
    <s v="Enhancement"/>
    <x v="3"/>
    <d v="2010-09-15T00:00:00"/>
    <n v="0"/>
    <n v="0"/>
  </r>
  <r>
    <s v="04.10.23"/>
    <x v="5"/>
    <x v="4"/>
    <d v="2010-09-14T00:00:00"/>
    <m/>
    <s v="Matrix Pricing Application"/>
    <s v="Make sure the same columns appear for Levels 1, 2 &amp; 3 between Matrix Editor and Viewer."/>
    <s v="Neil"/>
    <d v="2010-07-29T00:00:00"/>
    <n v="1"/>
    <s v="Enhancement"/>
    <x v="3"/>
    <d v="2010-09-15T00:00:00"/>
    <n v="0"/>
    <n v="0"/>
  </r>
  <r>
    <s v="04.10.28"/>
    <x v="5"/>
    <x v="4"/>
    <d v="2010-09-14T00:00:00"/>
    <m/>
    <s v="Matrix Pricing Application"/>
    <s v="Correct WAL calculation"/>
    <s v="Zhuu"/>
    <d v="2010-09-02T00:00:00"/>
    <n v="1"/>
    <s v="Enhancement"/>
    <x v="3"/>
    <d v="2010-09-15T00:00:00"/>
    <n v="0"/>
    <n v="0"/>
  </r>
  <r>
    <s v="04.10.29"/>
    <x v="5"/>
    <x v="4"/>
    <d v="2010-09-17T00:00:00"/>
    <m/>
    <s v="Matrix Pricing Application"/>
    <s v="Partial Release"/>
    <s v="Neil"/>
    <d v="2010-09-08T00:00:00"/>
    <n v="1"/>
    <s v="Enhancement"/>
    <x v="3"/>
    <d v="2010-09-15T00:00:00"/>
    <n v="0"/>
    <n v="0"/>
  </r>
  <r>
    <s v="07.2.2"/>
    <x v="5"/>
    <x v="4"/>
    <d v="2010-08-21T00:00:00"/>
    <m/>
    <s v="Development Environment"/>
    <s v="Schema save: Build and test"/>
    <s v="Neil"/>
    <d v="2010-08-20T00:00:00"/>
    <n v="5"/>
    <s v="Maintenance"/>
    <x v="3"/>
    <d v="2010-08-27T00:00:00"/>
    <n v="0"/>
    <n v="0"/>
  </r>
  <r>
    <s v="03.8.8"/>
    <x v="5"/>
    <x v="4"/>
    <d v="2010-06-01T00:00:00"/>
    <m/>
    <s v="Deal Analyser"/>
    <s v="CE - Release CE for Master Trusts"/>
    <s v="Ajay"/>
    <d v="2010-05-06T00:00:00"/>
    <n v="5"/>
    <s v="NewDevelopment"/>
    <x v="3"/>
    <d v="2010-08-20T00:00:00"/>
    <n v="0"/>
    <n v="0"/>
  </r>
  <r>
    <s v="05.06.4"/>
    <x v="5"/>
    <x v="4"/>
    <d v="2010-08-18T00:00:00"/>
    <m/>
    <s v="Loan level data"/>
    <s v="Modify Kensington load rules for Danny"/>
    <s v="Danny"/>
    <d v="2010-08-16T00:00:00"/>
    <n v="1"/>
    <s v="Maintenance"/>
    <x v="3"/>
    <d v="2010-08-20T00:00:00"/>
    <n v="0"/>
    <n v="0"/>
  </r>
  <r>
    <s v="05.18.7"/>
    <x v="5"/>
    <x v="4"/>
    <d v="2010-08-11T00:00:00"/>
    <m/>
    <s v="Loan level data"/>
    <s v="Add new Kensington rules for Danny"/>
    <s v="Pramendra"/>
    <d v="2010-08-09T00:00:00"/>
    <n v="3"/>
    <s v="NewDevelopment"/>
    <x v="3"/>
    <d v="2010-08-20T00:00:00"/>
    <n v="0"/>
    <n v="0"/>
  </r>
  <r>
    <s v="12.2"/>
    <x v="5"/>
    <x v="4"/>
    <m/>
    <m/>
    <s v="Utilities"/>
    <s v="Automate version control (svn) of SQL Server objects (schema) (duplicate 7.2.2)"/>
    <s v="Pramendra"/>
    <d v="2010-08-20T00:00:00"/>
    <n v="5"/>
    <s v="NewDevelopment"/>
    <x v="3"/>
    <d v="2010-08-20T00:00:00"/>
    <n v="0"/>
    <n v="0"/>
  </r>
  <r>
    <s v="06.10.2"/>
    <x v="5"/>
    <x v="4"/>
    <d v="2010-07-01T00:00:00"/>
    <m/>
    <s v="Shared application components "/>
    <s v="PerformanceDataLib: 1st Implementation"/>
    <s v="Ruth"/>
    <d v="2010-07-28T00:00:00"/>
    <n v="3"/>
    <s v="NewDevelopment"/>
    <x v="3"/>
    <d v="2010-08-17T00:00:00"/>
    <n v="0"/>
    <n v="0"/>
  </r>
  <r>
    <s v="09.1.08"/>
    <x v="5"/>
    <x v="4"/>
    <m/>
    <m/>
    <s v="Nomura Now"/>
    <s v="Make Deal/ABSNet data available to TSP via SP"/>
    <s v="Gerald"/>
    <d v="2009-12-22T00:00:00"/>
    <n v="1"/>
    <s v="NewDevelopment"/>
    <x v="3"/>
    <d v="2010-08-16T00:00:00"/>
    <n v="0"/>
    <n v="0"/>
  </r>
  <r>
    <s v="04.10.11"/>
    <x v="5"/>
    <x v="4"/>
    <d v="2010-06-25T00:00:00"/>
    <m/>
    <s v="Matrix Pricing Application"/>
    <s v="Tier by Front Pay / Back Pay"/>
    <s v="Zhuu"/>
    <d v="2010-05-06T00:00:00"/>
    <n v="2"/>
    <s v="NewDevelopment"/>
    <x v="3"/>
    <d v="2010-07-29T00:00:00"/>
    <n v="0"/>
    <n v="0"/>
  </r>
  <r>
    <s v="04.10.16"/>
    <x v="5"/>
    <x v="4"/>
    <d v="2010-07-20T00:00:00"/>
    <m/>
    <s v="Matrix Pricing Application"/>
    <s v="Test and UAT all changes"/>
    <s v="Neil"/>
    <d v="2010-06-24T00:00:00"/>
    <n v="2"/>
    <s v="NewDevelopment"/>
    <x v="3"/>
    <d v="2010-07-29T00:00:00"/>
    <n v="0"/>
    <n v="0"/>
  </r>
  <r>
    <s v="04.10.18"/>
    <x v="5"/>
    <x v="4"/>
    <d v="2010-07-23T00:00:00"/>
    <m/>
    <s v="Matrix Pricing Application"/>
    <s v="Release Matrix Pricing changes"/>
    <s v="Neil"/>
    <d v="2010-06-24T00:00:00"/>
    <n v="1"/>
    <s v="NewDevelopment"/>
    <x v="3"/>
    <d v="2010-07-29T00:00:00"/>
    <n v="0"/>
    <n v="0"/>
  </r>
  <r>
    <s v="04.10.05"/>
    <x v="5"/>
    <x v="4"/>
    <d v="2010-06-25T00:00:00"/>
    <m/>
    <s v="Matrix Pricing Application"/>
    <s v="Remove 'ISIN' field from pricing results."/>
    <s v="Neil"/>
    <d v="2009-12-10T00:00:00"/>
    <n v="2"/>
    <s v="Maintenance"/>
    <x v="3"/>
    <d v="2010-07-14T00:00:00"/>
    <n v="0"/>
    <n v="0"/>
  </r>
  <r>
    <s v="04.10.08"/>
    <x v="5"/>
    <x v="4"/>
    <d v="2010-06-25T00:00:00"/>
    <m/>
    <s v="Matrix Pricing Application"/>
    <s v="Various fixes for Zhuu"/>
    <s v="Zhuu"/>
    <d v="2010-03-05T00:00:00"/>
    <n v="2"/>
    <s v="NewDevelopment"/>
    <x v="3"/>
    <d v="2010-07-14T00:00:00"/>
    <n v="0"/>
    <n v="0"/>
  </r>
  <r>
    <s v="04.10.12"/>
    <x v="5"/>
    <x v="4"/>
    <d v="2010-06-25T00:00:00"/>
    <m/>
    <s v="Matrix Pricing Application"/>
    <s v="Tier by Credit Enhancement"/>
    <s v="Zhuu"/>
    <d v="2010-05-06T00:00:00"/>
    <n v="2"/>
    <s v="NewDevelopment"/>
    <x v="3"/>
    <d v="2010-07-14T00:00:00"/>
    <n v="0"/>
    <n v="0"/>
  </r>
  <r>
    <s v="04.10.13"/>
    <x v="5"/>
    <x v="4"/>
    <d v="2010-06-25T00:00:00"/>
    <m/>
    <s v="Matrix Pricing Application"/>
    <s v="Show additional fields on Level 3 to allow filtering/sorting"/>
    <s v="Zhuu"/>
    <d v="2010-05-06T00:00:00"/>
    <n v="2"/>
    <s v="NewDevelopment"/>
    <x v="3"/>
    <d v="2010-07-14T00:00:00"/>
    <n v="0"/>
    <n v="0"/>
  </r>
  <r>
    <s v="04.10.14"/>
    <x v="5"/>
    <x v="4"/>
    <d v="2010-06-25T00:00:00"/>
    <m/>
    <s v="Matrix Pricing Application"/>
    <s v="Add a new comment field for level 2 + 3 rules"/>
    <s v="Zhuu"/>
    <d v="2010-05-06T00:00:00"/>
    <n v="3"/>
    <s v="NewDevelopment"/>
    <x v="3"/>
    <d v="2010-07-14T00:00:00"/>
    <n v="0"/>
    <n v="0"/>
  </r>
  <r>
    <s v="04.10.15"/>
    <x v="5"/>
    <x v="4"/>
    <d v="2010-06-25T00:00:00"/>
    <m/>
    <s v="Matrix Pricing Application"/>
    <s v="Add ability to specify a 1 year WAL bucket"/>
    <s v="Zhuu"/>
    <d v="2010-05-06T00:00:00"/>
    <n v="3"/>
    <s v="NewDevelopment"/>
    <x v="3"/>
    <d v="2010-07-09T00:00:00"/>
    <n v="0"/>
    <n v="0"/>
  </r>
  <r>
    <s v="04.10.01"/>
    <x v="5"/>
    <x v="4"/>
    <d v="2010-06-25T00:00:00"/>
    <m/>
    <s v="Matrix Pricing Application"/>
    <s v="Key Matrix Results on bondID rather than ISIN"/>
    <s v="Neil"/>
    <d v="2009-11-02T00:00:00"/>
    <n v="2"/>
    <s v="Maintenance"/>
    <x v="3"/>
    <d v="2010-07-08T00:00:00"/>
    <n v="0"/>
    <n v="0"/>
  </r>
  <r>
    <s v="04.10.03"/>
    <x v="5"/>
    <x v="4"/>
    <d v="2010-06-25T00:00:00"/>
    <m/>
    <s v="Matrix Pricing Application"/>
    <s v="Add Spread+Price on Viewer and Editor + add all fields to View Search"/>
    <s v="Neil"/>
    <d v="2009-11-09T00:00:00"/>
    <n v="3"/>
    <s v="Enhancement"/>
    <x v="3"/>
    <d v="2010-07-08T00:00:00"/>
    <n v="0"/>
    <n v="0"/>
  </r>
  <r>
    <s v="06.10.1"/>
    <x v="5"/>
    <x v="4"/>
    <m/>
    <m/>
    <s v="Shared application components "/>
    <s v="PerformanceDataLib: Requirements"/>
    <s v="Ruth"/>
    <d v="2010-07-28T00:00:00"/>
    <n v="1"/>
    <s v="NewDevelopment"/>
    <x v="3"/>
    <d v="2010-07-02T00:00:00"/>
    <n v="0"/>
    <n v="0"/>
  </r>
  <r>
    <s v="11.2.22c"/>
    <x v="5"/>
    <x v="4"/>
    <d v="2010-06-14T00:00:00"/>
    <m/>
    <s v="Admin"/>
    <s v="Set goals for 2010_2011"/>
    <s v="Neil"/>
    <d v="2010-06-07T00:00:00"/>
    <n v="0.5"/>
    <s v="Other"/>
    <x v="3"/>
    <d v="2010-07-02T00:00:00"/>
    <n v="0"/>
    <n v="0"/>
  </r>
  <r>
    <s v="03.8.4"/>
    <x v="5"/>
    <x v="4"/>
    <d v="2010-05-22T00:00:00"/>
    <n v="1"/>
    <s v="Deal Analyser"/>
    <s v="CE - Release CE to production"/>
    <s v="Neil"/>
    <d v="2010-05-06T00:00:00"/>
    <n v="5"/>
    <s v="NewDevelopment"/>
    <x v="3"/>
    <d v="2010-06-24T00:00:00"/>
    <n v="0"/>
    <n v="0"/>
  </r>
  <r>
    <s v="04.10.10"/>
    <x v="5"/>
    <x v="4"/>
    <d v="2010-06-15T00:00:00"/>
    <m/>
    <s v="Matrix Pricing Application"/>
    <s v="Tier by Original rating"/>
    <s v="Zhuu"/>
    <d v="2010-04-19T00:00:00"/>
    <n v="2"/>
    <s v="NewDevelopment"/>
    <x v="3"/>
    <d v="2010-06-24T00:00:00"/>
    <n v="0"/>
    <n v="0"/>
  </r>
  <r>
    <s v="09.5.1"/>
    <x v="5"/>
    <x v="4"/>
    <m/>
    <n v="1"/>
    <s v="Nomura Now"/>
    <s v="Deals Page - Implement New Stored procs"/>
    <s v="Jon"/>
    <d v="2010-01-14T00:00:00"/>
    <n v="2"/>
    <s v="NewDevelopment"/>
    <x v="3"/>
    <d v="2010-06-24T00:00:00"/>
    <n v="0"/>
    <n v="0"/>
  </r>
  <r>
    <s v="23.1.6"/>
    <x v="5"/>
    <x v="4"/>
    <d v="2010-05-20T00:00:00"/>
    <m/>
    <s v="BBG Performance Data"/>
    <s v="Release to production"/>
    <s v="Neil"/>
    <d v="2010-03-15T00:00:00"/>
    <n v="5"/>
    <s v="NewDevelopment"/>
    <x v="3"/>
    <d v="2010-06-21T00:00:00"/>
    <n v="0"/>
    <n v="0"/>
  </r>
  <r>
    <s v="03.8.5"/>
    <x v="5"/>
    <x v="4"/>
    <d v="2010-06-01T00:00:00"/>
    <m/>
    <s v="Deal Analyser"/>
    <s v="CE - Extend CE for Master trusts"/>
    <s v="Ajay"/>
    <d v="2010-05-06T00:00:00"/>
    <n v="10"/>
    <s v="NewDevelopment"/>
    <x v="3"/>
    <d v="2010-06-07T00:00:00"/>
    <n v="0"/>
    <n v="0"/>
  </r>
  <r>
    <s v="23.1.5"/>
    <x v="5"/>
    <x v="4"/>
    <d v="2010-05-18T00:00:00"/>
    <m/>
    <s v="BBG Performance Data"/>
    <s v="Code Review"/>
    <s v="Neil"/>
    <d v="2010-03-15T00:00:00"/>
    <n v="2"/>
    <s v="NewDevelopment"/>
    <x v="3"/>
    <d v="2010-06-07T00:00:00"/>
    <n v="0"/>
    <n v="0"/>
  </r>
  <r>
    <s v="07.5.1"/>
    <x v="5"/>
    <x v="4"/>
    <m/>
    <m/>
    <s v="Development Environment"/>
    <s v="Figure out naming convention for WinForm controls and document"/>
    <s v="Neil"/>
    <d v="2010-04-15T00:00:00"/>
    <n v="0.5"/>
    <s v="Enhancement"/>
    <x v="3"/>
    <d v="2010-05-24T00:00:00"/>
    <n v="0"/>
    <n v="0"/>
  </r>
  <r>
    <s v="03.8.9"/>
    <x v="5"/>
    <x v="4"/>
    <d v="2010-04-20T00:00:00"/>
    <m/>
    <s v="Deal Analyser"/>
    <s v="CE - Incorporate comments from group review (apr 10)"/>
    <s v="Neil"/>
    <d v="2010-05-06T00:00:00"/>
    <n v="10"/>
    <s v="NewDevelopment"/>
    <x v="3"/>
    <d v="2010-05-06T00:00:00"/>
    <n v="0"/>
    <n v="0"/>
  </r>
  <r>
    <s v="23.1.2"/>
    <x v="5"/>
    <x v="4"/>
    <m/>
    <m/>
    <s v="BBG Performance Data"/>
    <s v="Design application and database"/>
    <s v="Neil"/>
    <d v="2010-03-15T00:00:00"/>
    <n v="4"/>
    <s v="NewDevelopment"/>
    <x v="3"/>
    <d v="2010-05-05T00:00:00"/>
    <n v="0"/>
    <n v="0"/>
  </r>
  <r>
    <s v="23.1.3"/>
    <x v="5"/>
    <x v="4"/>
    <m/>
    <m/>
    <s v="BBG Performance Data"/>
    <s v="Review design"/>
    <s v="Neil"/>
    <d v="2010-03-15T00:00:00"/>
    <n v="1"/>
    <s v="NewDevelopment"/>
    <x v="3"/>
    <d v="2010-05-05T00:00:00"/>
    <n v="0"/>
    <n v="0"/>
  </r>
  <r>
    <s v="23.1.4"/>
    <x v="5"/>
    <x v="4"/>
    <m/>
    <m/>
    <s v="BBG Performance Data"/>
    <s v="Build first version"/>
    <s v="Neil"/>
    <d v="2010-03-15T00:00:00"/>
    <n v="10"/>
    <s v="NewDevelopment"/>
    <x v="3"/>
    <d v="2010-05-05T00:00:00"/>
    <n v="0"/>
    <n v="0"/>
  </r>
  <r>
    <s v="09.6.2"/>
    <x v="5"/>
    <x v="5"/>
    <m/>
    <m/>
    <s v="Nomura Now"/>
    <s v="Issuance Tool - Implement batch"/>
    <s v="Gerald"/>
    <d v="2010-03-08T00:00:00"/>
    <n v="10"/>
    <n v="0"/>
    <x v="4"/>
    <d v="2010-04-22T00:00:00"/>
    <n v="0"/>
    <n v="0"/>
  </r>
  <r>
    <s v="09.6.3"/>
    <x v="5"/>
    <x v="5"/>
    <m/>
    <m/>
    <s v="Nomura Now"/>
    <s v="Issuance Tool - Test with Nomura Now"/>
    <s v="Gerald"/>
    <d v="2010-02-26T00:00:00"/>
    <n v="10"/>
    <n v="0"/>
    <x v="4"/>
    <d v="2010-04-22T00:00:00"/>
    <n v="0"/>
    <n v="0"/>
  </r>
  <r>
    <s v="09.6.4"/>
    <x v="5"/>
    <x v="5"/>
    <m/>
    <m/>
    <s v="Nomura Now"/>
    <s v="Issuance Tool - Release to production"/>
    <s v="Gerald"/>
    <d v="2010-02-26T00:00:00"/>
    <n v="10"/>
    <n v="0"/>
    <x v="4"/>
    <d v="2010-04-22T00:00:00"/>
    <n v="0"/>
    <n v="0"/>
  </r>
  <r>
    <s v="23.1.1"/>
    <x v="5"/>
    <x v="4"/>
    <m/>
    <m/>
    <s v="BBG Performance Data"/>
    <s v="Gather Requirements"/>
    <s v="Neil"/>
    <d v="2010-03-15T00:00:00"/>
    <n v="2"/>
    <n v="0"/>
    <x v="3"/>
    <d v="2010-04-16T00:00:00"/>
    <n v="0"/>
    <n v="0"/>
  </r>
  <r>
    <s v="05.06.2"/>
    <x v="5"/>
    <x v="4"/>
    <m/>
    <n v="1"/>
    <s v="Loan level data"/>
    <s v="Implement mapping for Kensington"/>
    <s v="David Covey"/>
    <d v="2009-09-29T00:00:00"/>
    <n v="3"/>
    <n v="0"/>
    <x v="3"/>
    <d v="2010-04-15T00:00:00"/>
    <n v="0"/>
    <n v="0"/>
  </r>
  <r>
    <s v="03.6.6"/>
    <x v="5"/>
    <x v="4"/>
    <m/>
    <n v="1"/>
    <s v="Deal Analyser"/>
    <s v="Update ABSNet loader for new SENG schema"/>
    <s v="Ruth"/>
    <d v="2010-02-24T00:00:00"/>
    <n v="5"/>
    <n v="0"/>
    <x v="3"/>
    <d v="2010-03-15T00:00:00"/>
    <n v="0"/>
    <n v="0"/>
  </r>
  <r>
    <s v="03.8.3"/>
    <x v="5"/>
    <x v="4"/>
    <m/>
    <m/>
    <s v="Deal Analyser"/>
    <s v="CE - Integrate CE with Nomura Now"/>
    <s v="Gerald"/>
    <d v="2010-05-06T00:00:00"/>
    <n v="10"/>
    <n v="0"/>
    <x v="3"/>
    <d v="2010-02-26T00:00:00"/>
    <n v="0"/>
    <n v="0"/>
  </r>
  <r>
    <s v="04.10.7"/>
    <x v="5"/>
    <x v="4"/>
    <m/>
    <n v="1"/>
    <s v="Matrix Pricing Application"/>
    <s v="Make setting Priority in L2 easier"/>
    <s v="Zhuu"/>
    <d v="2009-12-21T00:00:00"/>
    <n v="10"/>
    <n v="0"/>
    <x v="3"/>
    <d v="2010-02-26T00:00:00"/>
    <n v="0"/>
    <n v="0"/>
  </r>
  <r>
    <s v="09.6.1"/>
    <x v="5"/>
    <x v="4"/>
    <m/>
    <m/>
    <s v="Nomura Now"/>
    <s v="Issuance Tool - Determine Requirements"/>
    <s v="David Covey"/>
    <d v="2010-01-14T00:00:00"/>
    <n v="3"/>
    <s v="NewDevelopment"/>
    <x v="3"/>
    <d v="2010-02-26T00:00:00"/>
    <n v="0"/>
    <n v="0"/>
  </r>
  <r>
    <s v="03.8.7"/>
    <x v="5"/>
    <x v="4"/>
    <m/>
    <m/>
    <s v="Deal Analyser"/>
    <s v="CE - Release CE GUI"/>
    <s v="Ajay"/>
    <d v="2010-05-06T00:00:00"/>
    <n v="2"/>
    <n v="0"/>
    <x v="3"/>
    <d v="2010-02-01T00:00:00"/>
    <n v="0"/>
    <n v="0"/>
  </r>
  <r>
    <s v="05.06.3"/>
    <x v="5"/>
    <x v="4"/>
    <m/>
    <m/>
    <s v="Loan level data"/>
    <s v="Reload Kensington loan raw data"/>
    <s v="Danny"/>
    <d v="2010-01-18T00:00:00"/>
    <n v="1"/>
    <n v="0"/>
    <x v="3"/>
    <d v="2010-01-20T00:00:00"/>
    <n v="0"/>
    <n v="0"/>
  </r>
  <r>
    <s v="03.8.2"/>
    <x v="5"/>
    <x v="4"/>
    <m/>
    <m/>
    <s v="Deal Analyser"/>
    <s v="CE - Develop application to generate CE"/>
    <s v="Ajay"/>
    <d v="2010-05-06T00:00:00"/>
    <n v="10"/>
    <n v="0"/>
    <x v="3"/>
    <d v="2009-12-16T00:00:00"/>
    <n v="0"/>
    <n v="0"/>
  </r>
  <r>
    <s v="04.10.4"/>
    <x v="5"/>
    <x v="4"/>
    <m/>
    <m/>
    <s v="Matrix Pricing Application"/>
    <s v="Add 'Legal Maturity' and 'Shelf containts' as L2 criteria"/>
    <s v="Zhuu"/>
    <d v="2009-12-02T00:00:00"/>
    <n v="4"/>
    <n v="0"/>
    <x v="3"/>
    <d v="2009-12-10T00:00:00"/>
    <n v="0"/>
    <n v="0"/>
  </r>
  <r>
    <s v="03.6.5"/>
    <x v="5"/>
    <x v="4"/>
    <m/>
    <m/>
    <s v="Deal Analyser"/>
    <s v="Update ABSNet loader for latest DB and email notification"/>
    <s v="Neil"/>
    <d v="2009-11-30T00:00:00"/>
    <n v="1"/>
    <n v="0"/>
    <x v="3"/>
    <d v="2009-12-03T00:00:00"/>
    <n v="0"/>
    <n v="0"/>
  </r>
  <r>
    <s v="03.8.1"/>
    <x v="5"/>
    <x v="4"/>
    <m/>
    <m/>
    <s v="Deal Analyser"/>
    <s v="CE - Determine generic CE algorithm"/>
    <s v="Ajay"/>
    <d v="2010-05-06T00:00:00"/>
    <n v="15"/>
    <n v="0"/>
    <x v="3"/>
    <d v="2009-12-03T00:00:00"/>
    <n v="0"/>
    <n v="0"/>
  </r>
  <r>
    <s v="05.11.3"/>
    <x v="5"/>
    <x v="4"/>
    <m/>
    <m/>
    <s v="Loan level data"/>
    <s v="Load LEEK(Britannia) raw &amp; ESF data - Sept 09"/>
    <s v="Friedel"/>
    <d v="2009-10-09T00:00:00"/>
    <n v="0"/>
    <n v="0"/>
    <x v="3"/>
    <d v="2009-11-30T00:00:00"/>
    <n v="0"/>
    <n v="0"/>
  </r>
  <r>
    <s v="03.5.10"/>
    <x v="5"/>
    <x v="4"/>
    <m/>
    <m/>
    <s v="Deal Analyser"/>
    <s v="Make Deal Analyser use Aggregate library"/>
    <s v="Neil"/>
    <d v="2009-09-18T00:00:00"/>
    <n v="0"/>
    <n v="0"/>
    <x v="3"/>
    <d v="2009-10-25T00:00:00"/>
    <n v="0"/>
    <n v="0"/>
  </r>
  <r>
    <s v="03.5.12"/>
    <x v="5"/>
    <x v="4"/>
    <m/>
    <m/>
    <s v="Deal Analyser"/>
    <s v="Take comments from Peer review of Aggregate library"/>
    <s v="Neil"/>
    <d v="2009-09-30T00:00:00"/>
    <n v="0"/>
    <n v="0"/>
    <x v="3"/>
    <d v="2009-10-15T00:00:00"/>
    <n v="0"/>
    <n v="0"/>
  </r>
  <r>
    <s v="09.1.10"/>
    <x v="5"/>
    <x v="4"/>
    <m/>
    <m/>
    <s v="Nomura Now"/>
    <s v="Modify Sector Spreads SP to allow for * in Currency Field"/>
    <s v="Shubh"/>
    <d v="2009-10-08T00:00:00"/>
    <n v="0"/>
    <n v="0"/>
    <x v="3"/>
    <d v="2009-10-15T00:00:00"/>
    <n v="0"/>
    <n v="0"/>
  </r>
  <r>
    <s v="05.06.1"/>
    <x v="5"/>
    <x v="4"/>
    <m/>
    <m/>
    <s v="Loan level data"/>
    <s v="Add Kensington loans - raw data + document"/>
    <s v="David Covey"/>
    <d v="2009-07-31T00:00:00"/>
    <n v="0"/>
    <n v="0"/>
    <x v="3"/>
    <d v="2009-09-18T00:00:00"/>
    <n v="0"/>
    <n v="0"/>
  </r>
  <r>
    <s v="05.11.1"/>
    <x v="5"/>
    <x v="4"/>
    <m/>
    <m/>
    <s v="Loan level data"/>
    <s v="Add LEEK (Britannia) loans - raw data + document"/>
    <s v="David Covey"/>
    <d v="2009-07-31T00:00:00"/>
    <n v="0"/>
    <n v="0"/>
    <x v="3"/>
    <d v="2009-09-18T00:00:00"/>
    <n v="0"/>
    <n v="0"/>
  </r>
  <r>
    <s v="05.12.1"/>
    <x v="5"/>
    <x v="4"/>
    <m/>
    <m/>
    <s v="Loan level data"/>
    <s v="Add Resloc data - raw data + document"/>
    <s v="David Covey"/>
    <d v="2009-07-31T00:00:00"/>
    <n v="0"/>
    <n v="0"/>
    <x v="3"/>
    <d v="2009-09-18T00:00:00"/>
    <n v="0"/>
    <n v="0"/>
  </r>
  <r>
    <s v="09.2.3"/>
    <x v="5"/>
    <x v="4"/>
    <m/>
    <m/>
    <s v="Nomura Now"/>
    <s v="Generate public aggregates"/>
    <s v="Neil"/>
    <d v="2009-08-04T00:00:00"/>
    <n v="0"/>
    <n v="0"/>
    <x v="3"/>
    <d v="2009-09-16T00:00:00"/>
    <n v="0"/>
    <n v="0"/>
  </r>
  <r>
    <s v="03.5.05"/>
    <x v="5"/>
    <x v="4"/>
    <m/>
    <m/>
    <s v="Deal Analyser"/>
    <s v="Move aggregate definitions to UserConfig DB"/>
    <s v="Neil"/>
    <d v="2009-06-11T00:00:00"/>
    <n v="0"/>
    <n v="0"/>
    <x v="3"/>
    <d v="2009-08-28T00:00:00"/>
    <n v="0"/>
    <n v="0"/>
  </r>
  <r>
    <s v="03.5.07"/>
    <x v="5"/>
    <x v="4"/>
    <m/>
    <m/>
    <s v="Deal Analyser"/>
    <s v="Add 180+ and 360+ DQ"/>
    <s v="David Covey"/>
    <d v="2009-07-31T00:00:00"/>
    <n v="0"/>
    <n v="0"/>
    <x v="3"/>
    <d v="2009-08-28T00:00:00"/>
    <n v="0"/>
    <n v="0"/>
  </r>
  <r>
    <s v="03.5.08"/>
    <x v="5"/>
    <x v="4"/>
    <m/>
    <m/>
    <s v="Deal Analyser"/>
    <s v="Update PlotGrapth to latest version"/>
    <s v="Neil"/>
    <d v="2009-08-04T00:00:00"/>
    <n v="0"/>
    <n v="0"/>
    <x v="3"/>
    <d v="2009-08-28T00:00:00"/>
    <n v="0"/>
    <n v="0"/>
  </r>
  <r>
    <s v="06.7.4"/>
    <x v="5"/>
    <x v="4"/>
    <m/>
    <m/>
    <s v="Shared application components "/>
    <s v="Modifications to Plot Graph"/>
    <s v="Neil"/>
    <d v="2009-08-20T00:00:00"/>
    <n v="0"/>
    <n v="0"/>
    <x v="3"/>
    <d v="2009-08-28T00:00:00"/>
    <n v="0"/>
    <n v="0"/>
  </r>
  <r>
    <s v="09.2.4"/>
    <x v="5"/>
    <x v="4"/>
    <m/>
    <m/>
    <s v="Nomura Now"/>
    <s v="Develop first cut of SPs for Deal Analyser"/>
    <s v="Neil"/>
    <d v="2009-08-20T00:00:00"/>
    <n v="0"/>
    <n v="0"/>
    <x v="3"/>
    <d v="2009-08-27T00:00:00"/>
    <n v="0"/>
    <n v="0"/>
  </r>
  <r>
    <s v="09.1.06"/>
    <x v="5"/>
    <x v="4"/>
    <m/>
    <m/>
    <s v="Nomura Now"/>
    <s v="Add TS facility for Granite"/>
    <s v="David Covey"/>
    <d v="2009-07-31T00:00:00"/>
    <n v="0"/>
    <n v="0"/>
    <x v="3"/>
    <d v="2009-08-04T00:00:00"/>
    <n v="0"/>
    <n v="0"/>
  </r>
  <r>
    <s v="04.8.5"/>
    <x v="5"/>
    <x v="4"/>
    <m/>
    <m/>
    <s v="Matrix Pricing Application"/>
    <s v="Matrix Editor - Make modification as required and release"/>
    <s v="Neil"/>
    <d v="2009-07-14T00:00:00"/>
    <n v="0"/>
    <n v="0"/>
    <x v="3"/>
    <d v="2009-07-31T00:00:00"/>
    <n v="0"/>
    <n v="0"/>
  </r>
  <r>
    <s v="06.7.2"/>
    <x v="5"/>
    <x v="4"/>
    <m/>
    <m/>
    <s v="Shared application components "/>
    <s v="Add generic charting component"/>
    <s v="Neil"/>
    <d v="2009-06-11T00:00:00"/>
    <n v="0"/>
    <n v="0"/>
    <x v="3"/>
    <d v="2009-07-31T00:00:00"/>
    <n v="0"/>
    <n v="0"/>
  </r>
  <r>
    <s v="06.7.3"/>
    <x v="5"/>
    <x v="4"/>
    <m/>
    <m/>
    <s v="Shared application components "/>
    <s v="Implement Plot Graph"/>
    <s v="Neil"/>
    <d v="2009-07-30T00:00:00"/>
    <n v="0"/>
    <n v="0"/>
    <x v="3"/>
    <d v="2009-07-31T00:00:00"/>
    <n v="0"/>
    <n v="0"/>
  </r>
  <r>
    <s v="04.7.4"/>
    <x v="5"/>
    <x v="4"/>
    <m/>
    <m/>
    <s v="Matrix Pricing Application"/>
    <s v="Collect comments and implement fixes"/>
    <s v="Neil"/>
    <d v="2009-06-11T00:00:00"/>
    <n v="0"/>
    <n v="0"/>
    <x v="3"/>
    <d v="2009-07-14T00:00:00"/>
    <n v="0"/>
    <n v="0"/>
  </r>
  <r>
    <s v="04.8.2"/>
    <x v="5"/>
    <x v="4"/>
    <m/>
    <m/>
    <s v="Matrix Pricing Application"/>
    <s v="Editor - Make first implementation - L1 Matrix"/>
    <s v="Neil"/>
    <d v="2009-06-11T00:00:00"/>
    <n v="0"/>
    <n v="0"/>
    <x v="3"/>
    <d v="2009-06-19T00:00:00"/>
    <n v="0"/>
    <n v="0"/>
  </r>
  <r>
    <s v="04.8.4"/>
    <x v="5"/>
    <x v="4"/>
    <m/>
    <m/>
    <s v="Matrix Pricing Application"/>
    <s v="Editor - Research review 1st implementation"/>
    <s v="Neil"/>
    <d v="2009-05-12T00:00:00"/>
    <n v="0"/>
    <n v="0"/>
    <x v="3"/>
    <d v="2009-06-19T00:00:00"/>
    <n v="0"/>
    <n v="0"/>
  </r>
  <r>
    <s v="04.7.1"/>
    <x v="5"/>
    <x v="4"/>
    <m/>
    <m/>
    <s v="Matrix Pricing Application"/>
    <s v="Price Viewer - Separate out application"/>
    <s v="Neil"/>
    <d v="2009-05-27T00:00:00"/>
    <n v="0"/>
    <n v="0"/>
    <x v="3"/>
    <d v="2009-06-08T00:00:00"/>
    <n v="0"/>
    <n v="0"/>
  </r>
  <r>
    <s v="04.7.2"/>
    <x v="5"/>
    <x v="4"/>
    <m/>
    <m/>
    <s v="Matrix Pricing Application"/>
    <s v="Price Viewer - Make first release with limited filter functionality"/>
    <s v="Neil"/>
    <d v="2009-05-27T00:00:00"/>
    <n v="0"/>
    <n v="0"/>
    <x v="3"/>
    <d v="2009-06-08T00:00:00"/>
    <n v="0"/>
    <n v="0"/>
  </r>
  <r>
    <s v="09.1.05"/>
    <x v="5"/>
    <x v="4"/>
    <m/>
    <m/>
    <s v="Nomura Now"/>
    <s v="Migrate TS to PROD database"/>
    <s v="Neil"/>
    <d v="2009-05-27T00:00:00"/>
    <n v="0"/>
    <n v="0"/>
    <x v="3"/>
    <d v="2009-06-02T00:00:00"/>
    <n v="0"/>
    <n v="0"/>
  </r>
  <r>
    <s v="09.1.04"/>
    <x v="5"/>
    <x v="4"/>
    <m/>
    <m/>
    <s v="Nomura Now"/>
    <s v="Agree 'menu' definition and interface with Duncan"/>
    <s v="David Covey"/>
    <d v="2009-04-29T00:00:00"/>
    <n v="0"/>
    <n v="0"/>
    <x v="3"/>
    <d v="2009-05-27T00:00:00"/>
    <n v="0"/>
    <n v="0"/>
  </r>
  <r>
    <s v="04.5"/>
    <x v="5"/>
    <x v="4"/>
    <m/>
    <m/>
    <s v="Matrix Pricing Application"/>
    <s v="Port Application matrix functionality to 'Trunk'"/>
    <s v="Neil"/>
    <d v="2009-04-21T00:00:00"/>
    <n v="0"/>
    <n v="0"/>
    <x v="3"/>
    <d v="2009-05-12T00:00:00"/>
    <n v="0"/>
    <n v="0"/>
  </r>
  <r>
    <s v="04.6"/>
    <x v="5"/>
    <x v="4"/>
    <m/>
    <m/>
    <s v="Matrix Pricing Application"/>
    <s v="Port Application GUI to 'Trunk'"/>
    <s v="Neil"/>
    <d v="2009-04-21T00:00:00"/>
    <n v="0"/>
    <n v="0"/>
    <x v="3"/>
    <d v="2009-05-12T00:00:00"/>
    <n v="0"/>
    <n v="0"/>
  </r>
  <r>
    <s v="06.4.1"/>
    <x v="5"/>
    <x v="4"/>
    <m/>
    <m/>
    <s v="Shared application components "/>
    <s v="Possible enhancements"/>
    <s v="Neil"/>
    <d v="2009-04-14T00:00:00"/>
    <n v="0"/>
    <n v="0"/>
    <x v="3"/>
    <d v="2009-04-29T00:00:00"/>
    <n v="0"/>
    <n v="0"/>
  </r>
  <r>
    <s v="04.1"/>
    <x v="5"/>
    <x v="4"/>
    <m/>
    <m/>
    <s v="Matrix Pricing Application"/>
    <s v="Various modifications before prototype given to Research "/>
    <s v="Neil"/>
    <d v="2009-04-08T00:00:00"/>
    <n v="0"/>
    <n v="0"/>
    <x v="3"/>
    <d v="2009-04-21T00:00:00"/>
    <n v="0"/>
    <n v="0"/>
  </r>
  <r>
    <s v="06.3.1"/>
    <x v="5"/>
    <x v="4"/>
    <m/>
    <m/>
    <s v="Shared application components "/>
    <s v="Make first release of Database library"/>
    <s v="Neil"/>
    <d v="2009-04-08T00:00:00"/>
    <n v="0"/>
    <n v="0"/>
    <x v="3"/>
    <d v="2009-04-21T00:00:00"/>
    <n v="0"/>
    <n v="0"/>
  </r>
  <r>
    <s v="06.3.2"/>
    <x v="5"/>
    <x v="4"/>
    <m/>
    <m/>
    <s v="Shared application components "/>
    <s v="Add in usage of Config library to Database library"/>
    <s v="Neil"/>
    <d v="2009-04-08T00:00:00"/>
    <n v="0"/>
    <n v="0"/>
    <x v="3"/>
    <d v="2009-04-21T00:00:00"/>
    <n v="0"/>
    <n v="0"/>
  </r>
  <r>
    <s v="07.2.3"/>
    <x v="5"/>
    <x v="4"/>
    <d v="2010-08-23T00:00:00"/>
    <m/>
    <s v="Development Environment"/>
    <s v="Schema save: Code review"/>
    <s v="Neil"/>
    <d v="2010-08-20T00:00:00"/>
    <n v="1"/>
    <s v="Maintenance"/>
    <x v="3"/>
    <d v="2010-08-27T00:00:00"/>
    <m/>
    <m/>
  </r>
  <r>
    <s v="07.2.4"/>
    <x v="5"/>
    <x v="4"/>
    <d v="2010-08-27T00:00:00"/>
    <m/>
    <s v="Development Environment"/>
    <s v="Schema save: Release"/>
    <s v="Neil"/>
    <d v="2010-08-20T00:00:00"/>
    <n v="1"/>
    <s v="Maintenance"/>
    <x v="3"/>
    <d v="2010-08-27T00:00:00"/>
    <m/>
    <m/>
  </r>
  <r>
    <s v="10.3.1"/>
    <x v="6"/>
    <x v="4"/>
    <m/>
    <m/>
    <s v="Radial / Totoro / Other"/>
    <s v="Feed principal schedule to QDB"/>
    <s v="Operations"/>
    <d v="2009-05-05T00:00:00"/>
    <n v="0"/>
    <n v="0"/>
    <x v="3"/>
    <d v="2009-06-11T00:00:00"/>
    <n v="0"/>
    <n v="0"/>
  </r>
  <r>
    <s v="07.5.11"/>
    <x v="7"/>
    <x v="6"/>
    <m/>
    <m/>
    <s v="Development Environment"/>
    <s v="Get individual dev data server for Mumbai"/>
    <s v="Neil"/>
    <d v="2010-12-09T00:00:00"/>
    <n v="2"/>
    <s v="Other"/>
    <x v="0"/>
    <d v="2010-12-09T00:00:00"/>
    <n v="5"/>
    <n v="26"/>
  </r>
  <r>
    <s v="08.10.2"/>
    <x v="7"/>
    <x v="0"/>
    <m/>
    <m/>
    <s v="Production Environment"/>
    <s v="Coordinate moving jobs to Autosys"/>
    <s v="Neil"/>
    <d v="2010-12-08T00:00:00"/>
    <n v="3"/>
    <s v="Enhancement"/>
    <x v="1"/>
    <d v="2010-12-08T00:00:00"/>
    <n v="4"/>
    <n v="13"/>
  </r>
  <r>
    <s v="06.13.7"/>
    <x v="7"/>
    <x v="0"/>
    <m/>
    <m/>
    <s v="Shared application components "/>
    <s v="Change Fingal wrapper interface so that it does not return any values of type 'object'"/>
    <s v="Neil"/>
    <d v="2010-12-02T00:00:00"/>
    <n v="1"/>
    <s v="Infrastructure"/>
    <x v="1"/>
    <d v="2010-12-02T00:00:00"/>
    <n v="4"/>
    <n v="13"/>
  </r>
  <r>
    <s v="05.17.3"/>
    <x v="7"/>
    <x v="0"/>
    <m/>
    <m/>
    <s v="Loan level data"/>
    <s v="Changes to ALBA Mappings"/>
    <s v="Danny"/>
    <d v="2010-02-24T00:00:00"/>
    <n v="1"/>
    <s v="Enhancement"/>
    <x v="0"/>
    <d v="2010-11-23T00:00:00"/>
    <n v="4"/>
    <n v="13"/>
  </r>
  <r>
    <s v="21.2.7"/>
    <x v="7"/>
    <x v="0"/>
    <m/>
    <m/>
    <s v="Collateral Model"/>
    <s v="Collateral Model: UAT - Backtesting"/>
    <s v="Danny"/>
    <d v="2010-07-02T00:00:00"/>
    <n v="4"/>
    <s v="NewDevelopment"/>
    <x v="0"/>
    <d v="2010-09-01T00:00:00"/>
    <n v="4"/>
    <n v="13"/>
  </r>
  <r>
    <s v="05.21.4"/>
    <x v="7"/>
    <x v="0"/>
    <m/>
    <m/>
    <s v="Loan level data"/>
    <s v="LoanHandling: Modify each loader to conform to procedure."/>
    <s v="Pramendra"/>
    <d v="2010-07-29T00:00:00"/>
    <n v="10"/>
    <s v="Enhancement"/>
    <x v="0"/>
    <d v="2010-08-09T00:00:00"/>
    <n v="4"/>
    <n v="13"/>
  </r>
  <r>
    <s v="06.3.4"/>
    <x v="7"/>
    <x v="0"/>
    <m/>
    <m/>
    <s v="Shared application components "/>
    <s v="Make database calls retry 3 times upon a deadlock"/>
    <s v="Neil"/>
    <d v="2010-12-02T00:00:00"/>
    <n v="1"/>
    <s v="Enhancement"/>
    <x v="1"/>
    <d v="2010-03-09T00:00:00"/>
    <n v="4"/>
    <n v="13"/>
  </r>
  <r>
    <s v="16.7.10"/>
    <x v="7"/>
    <x v="0"/>
    <m/>
    <m/>
    <s v="Macro Economic Data"/>
    <s v="Elabortate log contents for Spanish INE download data"/>
    <s v="Neil"/>
    <d v="2010-12-02T00:00:00"/>
    <n v="1"/>
    <s v="Enhancement"/>
    <x v="1"/>
    <d v="2010-03-09T00:00:00"/>
    <n v="4"/>
    <n v="13"/>
  </r>
  <r>
    <s v="16.7.9"/>
    <x v="7"/>
    <x v="0"/>
    <m/>
    <m/>
    <s v="Macro Economic Data"/>
    <s v="Elaborate wiki for Spanish INE download data"/>
    <s v="Neil"/>
    <d v="2010-12-02T00:00:00"/>
    <n v="0.2"/>
    <s v="Maintenance"/>
    <x v="1"/>
    <d v="2010-03-09T00:00:00"/>
    <n v="4"/>
    <n v="13"/>
  </r>
  <r>
    <s v="09.8.2"/>
    <x v="7"/>
    <x v="1"/>
    <m/>
    <m/>
    <s v="Nomura Now"/>
    <s v="Gather requirements and make plan for UK Prime Page"/>
    <s v="Neil"/>
    <d v="2010-11-16T00:00:00"/>
    <n v="1"/>
    <s v="NewDevelopment"/>
    <x v="1"/>
    <d v="2010-11-08T00:00:00"/>
    <n v="3"/>
    <n v="4"/>
  </r>
  <r>
    <s v="05.21.7"/>
    <x v="7"/>
    <x v="1"/>
    <m/>
    <m/>
    <s v="Loan level data"/>
    <s v="LoanHandling: Full release for all loaders"/>
    <s v="Pramendra"/>
    <d v="2010-09-08T00:00:00"/>
    <n v="12"/>
    <s v="NewDevelopment"/>
    <x v="0"/>
    <d v="2010-11-01T00:00:00"/>
    <n v="3"/>
    <n v="4"/>
  </r>
  <r>
    <s v="05.17.4"/>
    <x v="7"/>
    <x v="1"/>
    <m/>
    <m/>
    <s v="Loan level data"/>
    <s v="Problem with some ALBA loans between QA and Prod"/>
    <s v="Danny"/>
    <d v="2010-04-19T00:00:00"/>
    <n v="1"/>
    <s v="Maintenance"/>
    <x v="0"/>
    <d v="2010-10-26T00:00:00"/>
    <n v="3"/>
    <n v="4"/>
  </r>
  <r>
    <s v="11.2.33"/>
    <x v="7"/>
    <x v="1"/>
    <m/>
    <m/>
    <s v="Admin"/>
    <s v="Figure out scope and priority for Power PT Monthly summary"/>
    <s v="Ajay"/>
    <d v="2010-10-04T00:00:00"/>
    <n v="1"/>
    <s v="Other"/>
    <x v="1"/>
    <d v="2010-10-05T00:00:00"/>
    <n v="3"/>
    <n v="4"/>
  </r>
  <r>
    <s v="06.4.3a"/>
    <x v="7"/>
    <x v="1"/>
    <m/>
    <m/>
    <s v="Shared application components "/>
    <s v="Find better way to use C# objects with GUI controls"/>
    <s v="Neil"/>
    <d v="2010-10-01T00:00:00"/>
    <n v="3"/>
    <s v="NewDevelopment"/>
    <x v="1"/>
    <d v="2010-10-01T00:00:00"/>
    <n v="3"/>
    <n v="4"/>
  </r>
  <r>
    <s v="10.1.10"/>
    <x v="7"/>
    <x v="1"/>
    <m/>
    <m/>
    <s v="Radial / Totoro / Other"/>
    <s v="Radial start up time is very slow in Mumbai"/>
    <s v="Neil"/>
    <d v="2010-04-06T00:00:00"/>
    <n v="1"/>
    <s v="Enhancement"/>
    <x v="0"/>
    <d v="2010-08-27T00:00:00"/>
    <n v="3"/>
    <n v="4"/>
  </r>
  <r>
    <s v="16.6.7"/>
    <x v="7"/>
    <x v="1"/>
    <m/>
    <m/>
    <s v="Macro Economic Data"/>
    <s v="Various fixes to BoE downloader"/>
    <s v="Neil"/>
    <d v="2010-06-07T00:00:00"/>
    <n v="2"/>
    <s v="Maintenance"/>
    <x v="1"/>
    <d v="2010-08-13T00:00:00"/>
    <n v="3"/>
    <n v="4"/>
  </r>
  <r>
    <s v="01.2.45"/>
    <x v="7"/>
    <x v="1"/>
    <m/>
    <m/>
    <s v="Deals Database"/>
    <s v="Investigate Fingal build errors"/>
    <s v="Neil"/>
    <d v="2010-06-09T00:00:00"/>
    <n v="0.5"/>
    <s v="Maintenance"/>
    <x v="1"/>
    <d v="2010-06-09T00:00:00"/>
    <n v="3"/>
    <n v="4"/>
  </r>
  <r>
    <s v="08.14.1"/>
    <x v="7"/>
    <x v="2"/>
    <m/>
    <m/>
    <s v="Production Environment"/>
    <s v="Slow Mumbai network issue"/>
    <s v="Ajay"/>
    <d v="2010-10-26T00:00:00"/>
    <n v="2"/>
    <s v="Enhancement"/>
    <x v="0"/>
    <d v="2010-11-23T00:00:00"/>
    <n v="2"/>
    <n v="3"/>
  </r>
  <r>
    <s v="19.5.7"/>
    <x v="7"/>
    <x v="4"/>
    <d v="2010-11-23T00:00:00"/>
    <m/>
    <s v="Support"/>
    <s v="Download INE population statistics "/>
    <s v="Friedel"/>
    <d v="2010-11-22T00:00:00"/>
    <n v="1"/>
    <s v="Support"/>
    <x v="3"/>
    <d v="2010-11-30T00:00:00"/>
    <n v="0"/>
    <n v="1"/>
  </r>
  <r>
    <s v="05.04"/>
    <x v="7"/>
    <x v="4"/>
    <m/>
    <m/>
    <s v="Loan level data"/>
    <s v="Add Halifax HPI data"/>
    <s v="David Covey"/>
    <d v="2009-04-14T00:00:00"/>
    <n v="0"/>
    <n v="0"/>
    <x v="3"/>
    <d v="2010-11-23T00:00:00"/>
    <n v="0"/>
    <n v="0"/>
  </r>
  <r>
    <s v="11.4.1b"/>
    <x v="7"/>
    <x v="4"/>
    <m/>
    <m/>
    <s v="Admin"/>
    <s v="NoHo Migration: Develop plan"/>
    <s v="Neil"/>
    <d v="2010-10-26T00:00:00"/>
    <n v="2"/>
    <s v="Support"/>
    <x v="3"/>
    <d v="2010-11-23T00:00:00"/>
    <n v="0"/>
    <n v="0"/>
  </r>
  <r>
    <s v="07.5.9"/>
    <x v="7"/>
    <x v="4"/>
    <m/>
    <m/>
    <s v="Development Environment"/>
    <s v="Determine correct usage for task branches"/>
    <s v="Neil"/>
    <d v="2010-10-01T00:00:00"/>
    <n v="1"/>
    <s v="Enhancement"/>
    <x v="3"/>
    <d v="2010-11-16T00:00:00"/>
    <n v="0"/>
    <n v="0"/>
  </r>
  <r>
    <s v="04.10.25"/>
    <x v="7"/>
    <x v="4"/>
    <d v="2010-10-08T00:00:00"/>
    <m/>
    <s v="Matrix Pricing Application"/>
    <s v="Review Matrix Pricing changes"/>
    <s v="Neil"/>
    <d v="2010-07-29T00:00:00"/>
    <n v="1"/>
    <s v="Enhancement"/>
    <x v="3"/>
    <d v="2010-11-08T00:00:00"/>
    <n v="0"/>
    <n v="0"/>
  </r>
  <r>
    <s v="11.2.29"/>
    <x v="7"/>
    <x v="4"/>
    <d v="2010-10-04T00:00:00"/>
    <m/>
    <s v="Admin"/>
    <s v="Get desk for Parth"/>
    <s v="Pramendra"/>
    <d v="2010-10-01T00:00:00"/>
    <n v="0.1"/>
    <s v="Other"/>
    <x v="3"/>
    <d v="2010-10-26T00:00:00"/>
    <n v="0"/>
    <n v="0"/>
  </r>
  <r>
    <s v="11.2.30"/>
    <x v="7"/>
    <x v="4"/>
    <d v="2010-10-04T00:00:00"/>
    <m/>
    <s v="Admin"/>
    <s v="Get PurifyPlus license for Paresh"/>
    <s v="Pramendra"/>
    <d v="2010-10-01T00:00:00"/>
    <n v="0.1"/>
    <s v="Other"/>
    <x v="3"/>
    <d v="2010-10-26T00:00:00"/>
    <n v="0"/>
    <n v="0"/>
  </r>
  <r>
    <s v="11.2.31"/>
    <x v="7"/>
    <x v="4"/>
    <m/>
    <m/>
    <s v="Admin"/>
    <s v="Get Parth fully set up"/>
    <s v="Pramendra"/>
    <d v="2010-10-01T00:00:00"/>
    <n v="0.1"/>
    <s v="Other"/>
    <x v="3"/>
    <d v="2010-10-26T00:00:00"/>
    <n v="0"/>
    <n v="0"/>
  </r>
  <r>
    <s v="21.4.3"/>
    <x v="7"/>
    <x v="4"/>
    <m/>
    <m/>
    <s v="Collateral Model"/>
    <s v="IntexCduPss: Review Design"/>
    <s v="Neil"/>
    <d v="2010-07-02T00:00:00"/>
    <n v="0.5"/>
    <s v="NewDevelopment"/>
    <x v="3"/>
    <d v="2010-10-06T00:00:00"/>
    <n v="0"/>
    <n v="0"/>
  </r>
  <r>
    <s v="05.18.8"/>
    <x v="7"/>
    <x v="4"/>
    <d v="2010-09-14T00:00:00"/>
    <m/>
    <s v="Loan level data"/>
    <s v="Add new Kensington 2nd Lien rules for Danny"/>
    <s v="Pramendra"/>
    <d v="2010-09-13T00:00:00"/>
    <n v="1"/>
    <s v="NewDevelopment"/>
    <x v="3"/>
    <d v="2010-10-04T00:00:00"/>
    <n v="0"/>
    <n v="0"/>
  </r>
  <r>
    <s v="05.21.3"/>
    <x v="7"/>
    <x v="4"/>
    <d v="2010-09-17T00:00:00"/>
    <m/>
    <s v="Loan level data"/>
    <s v="LoanHandling: First release with just ALBA"/>
    <s v="Pramendra"/>
    <d v="2010-07-29T00:00:00"/>
    <n v="3"/>
    <s v="NewDevelopment"/>
    <x v="3"/>
    <d v="2010-10-04T00:00:00"/>
    <n v="0"/>
    <n v="0"/>
  </r>
  <r>
    <s v="12.1.3"/>
    <x v="7"/>
    <x v="4"/>
    <m/>
    <m/>
    <s v="Utilities"/>
    <s v="Make startup faster in Mumbai - re logging"/>
    <s v="Neil"/>
    <d v="2010-04-06T00:00:00"/>
    <n v="1.5"/>
    <s v="Enhancement"/>
    <x v="3"/>
    <d v="2010-10-04T00:00:00"/>
    <n v="0"/>
    <n v="0"/>
  </r>
  <r>
    <s v="05.21.2"/>
    <x v="7"/>
    <x v="4"/>
    <d v="2010-09-10T00:00:00"/>
    <m/>
    <s v="Loan level data"/>
    <s v="LoanHandling: Design schema and library"/>
    <s v="Pramendra"/>
    <d v="2010-07-29T00:00:00"/>
    <n v="2"/>
    <s v="Enhancement"/>
    <x v="3"/>
    <d v="2010-09-08T00:00:00"/>
    <n v="0"/>
    <n v="0"/>
  </r>
  <r>
    <s v="11.2.19"/>
    <x v="7"/>
    <x v="4"/>
    <d v="2010-05-01T00:00:00"/>
    <m/>
    <s v="Admin"/>
    <s v="Get Mumbai located IT share set up for logging and other uses."/>
    <s v="Neil"/>
    <d v="2010-04-13T00:00:00"/>
    <n v="0.5"/>
    <s v="NewDevelopment"/>
    <x v="3"/>
    <d v="2010-08-17T00:00:00"/>
    <n v="0"/>
    <n v="0"/>
  </r>
  <r>
    <s v="04.10.17"/>
    <x v="7"/>
    <x v="4"/>
    <d v="2010-07-21T00:00:00"/>
    <m/>
    <s v="Matrix Pricing Application"/>
    <s v="Review Matrix Pricing changes"/>
    <s v="Neil"/>
    <d v="2010-06-24T00:00:00"/>
    <n v="1"/>
    <s v="NewDevelopment"/>
    <x v="3"/>
    <d v="2010-07-28T00:00:00"/>
    <n v="0"/>
    <n v="0"/>
  </r>
  <r>
    <s v="05.21.1"/>
    <x v="7"/>
    <x v="4"/>
    <d v="2010-04-20T00:00:00"/>
    <m/>
    <s v="Loan level data"/>
    <s v="LoanHandling: Define loan data file handling procedure."/>
    <s v="Neil"/>
    <d v="2010-07-29T00:00:00"/>
    <n v="0.5"/>
    <s v="Enhancement"/>
    <x v="3"/>
    <d v="2010-07-14T00:00:00"/>
    <n v="0"/>
    <n v="0"/>
  </r>
  <r>
    <s v="21.2.5"/>
    <x v="7"/>
    <x v="4"/>
    <d v="2010-03-26T00:00:00"/>
    <n v="1"/>
    <s v="Collateral Model"/>
    <s v="Collateral Model: Complete implementation"/>
    <s v="Neil"/>
    <d v="2010-04-16T00:00:00"/>
    <n v="15"/>
    <s v="NewDevelopment"/>
    <x v="3"/>
    <d v="2010-07-06T00:00:00"/>
    <n v="0"/>
    <n v="0"/>
  </r>
  <r>
    <s v="11.2.22b"/>
    <x v="7"/>
    <x v="4"/>
    <d v="2010-06-14T00:00:00"/>
    <m/>
    <s v="Admin"/>
    <s v="Set goals for 2010_2011"/>
    <s v="Neil"/>
    <d v="2010-06-07T00:00:00"/>
    <n v="0.5"/>
    <s v="Other"/>
    <x v="3"/>
    <d v="2010-06-24T00:00:00"/>
    <n v="0"/>
    <n v="0"/>
  </r>
  <r>
    <s v="12.3.1"/>
    <x v="7"/>
    <x v="4"/>
    <m/>
    <m/>
    <s v="Utilities"/>
    <s v="Add 'Bonds' View"/>
    <s v="Ajay"/>
    <d v="2010-11-23T00:00:00"/>
    <n v="1"/>
    <s v="NewDevelopment"/>
    <x v="3"/>
    <d v="2010-06-09T00:00:00"/>
    <n v="0"/>
    <n v="0"/>
  </r>
  <r>
    <s v="07.4.1"/>
    <x v="7"/>
    <x v="4"/>
    <d v="2010-03-20T00:00:00"/>
    <n v="1"/>
    <s v="Development Environment"/>
    <s v="Linq: determine appropriate usage and document"/>
    <s v="Neil"/>
    <d v="2010-04-15T00:00:00"/>
    <n v="1"/>
    <s v="Enhancement"/>
    <x v="3"/>
    <d v="2010-06-07T00:00:00"/>
    <n v="0"/>
    <n v="0"/>
  </r>
  <r>
    <s v="01.3.12"/>
    <x v="7"/>
    <x v="4"/>
    <m/>
    <m/>
    <s v="Deals Database"/>
    <s v="Add missing Original WAL data"/>
    <s v="Zhuu"/>
    <d v="2010-04-28T00:00:00"/>
    <n v="0.5"/>
    <s v="Maintenance"/>
    <x v="3"/>
    <d v="2010-05-24T00:00:00"/>
    <n v="0"/>
    <n v="0"/>
  </r>
  <r>
    <s v="21.3.1"/>
    <x v="7"/>
    <x v="4"/>
    <m/>
    <m/>
    <s v="Collateral Model"/>
    <s v="ModelCashflows: Gather requirements"/>
    <s v="Danny"/>
    <d v="2010-05-27T00:00:00"/>
    <n v="1"/>
    <s v="NewDevelopment"/>
    <x v="3"/>
    <d v="2010-05-24T00:00:00"/>
    <n v="0"/>
    <n v="0"/>
  </r>
  <r>
    <s v="16.10.3"/>
    <x v="7"/>
    <x v="4"/>
    <m/>
    <m/>
    <s v="Macro Economic Data"/>
    <s v="Normalised BOE Rate Data "/>
    <s v="Neil"/>
    <d v="2010-03-31T00:00:00"/>
    <n v="2"/>
    <s v="Maintenance"/>
    <x v="3"/>
    <d v="2010-05-05T00:00:00"/>
    <n v="0"/>
    <n v="0"/>
  </r>
  <r>
    <s v="16.10.2"/>
    <x v="7"/>
    <x v="4"/>
    <m/>
    <m/>
    <s v="Macro Economic Data"/>
    <s v="Normalised ECB Rate Data "/>
    <s v="Neil"/>
    <d v="2010-03-31T00:00:00"/>
    <n v="2"/>
    <s v="Maintenance"/>
    <x v="3"/>
    <d v="2010-04-28T00:00:00"/>
    <n v="0"/>
    <n v="0"/>
  </r>
  <r>
    <s v="21.2.3"/>
    <x v="7"/>
    <x v="4"/>
    <m/>
    <n v="1"/>
    <s v="Collateral Model"/>
    <s v="Collateral Model: First core implementation"/>
    <s v="Neil"/>
    <d v="2010-02-09T00:00:00"/>
    <n v="5"/>
    <n v="0"/>
    <x v="3"/>
    <d v="2010-04-15T00:00:00"/>
    <n v="0"/>
    <n v="0"/>
  </r>
  <r>
    <s v="16.9.1"/>
    <x v="7"/>
    <x v="4"/>
    <m/>
    <n v="1"/>
    <s v="Macro Economic Data"/>
    <s v="Italian Land Registry quick and dirty data extraction"/>
    <s v="Friedel"/>
    <d v="2010-03-03T00:00:00"/>
    <n v="2"/>
    <n v="0"/>
    <x v="3"/>
    <d v="2010-03-03T00:00:00"/>
    <n v="0"/>
    <n v="0"/>
  </r>
  <r>
    <s v="01.2.35"/>
    <x v="7"/>
    <x v="4"/>
    <m/>
    <n v="1"/>
    <s v="Deals Database"/>
    <s v="Fix 'NextFixingDate' on DealsDB and CFGenerator"/>
    <s v="Neil"/>
    <d v="2010-02-10T00:00:00"/>
    <n v="1"/>
    <n v="0"/>
    <x v="3"/>
    <d v="2010-02-26T00:00:00"/>
    <n v="0"/>
    <n v="0"/>
  </r>
  <r>
    <s v="21.2.1"/>
    <x v="7"/>
    <x v="4"/>
    <m/>
    <n v="1"/>
    <s v="Collateral Model"/>
    <s v="Collateral Model: Initial Design of Framework"/>
    <s v="Neil"/>
    <d v="2010-02-23T00:00:00"/>
    <n v="5"/>
    <n v="0"/>
    <x v="3"/>
    <d v="2010-02-23T00:00:00"/>
    <n v="0"/>
    <n v="0"/>
  </r>
  <r>
    <s v="01.2.13"/>
    <x v="7"/>
    <x v="4"/>
    <m/>
    <m/>
    <s v="Deals Database"/>
    <s v="Improve error message when BBG API is not present"/>
    <s v="Neil"/>
    <d v="2009-07-31T00:00:00"/>
    <n v="0.5"/>
    <n v="0"/>
    <x v="3"/>
    <d v="2010-02-09T00:00:00"/>
    <n v="0"/>
    <n v="0"/>
  </r>
  <r>
    <s v="01.2.17"/>
    <x v="7"/>
    <x v="4"/>
    <m/>
    <m/>
    <s v="Deals Database"/>
    <s v="In Deals DB - Check that bonds can be built with Fingal"/>
    <s v="Neil"/>
    <d v="2009-08-24T00:00:00"/>
    <n v="3"/>
    <n v="0"/>
    <x v="3"/>
    <d v="2010-02-09T00:00:00"/>
    <n v="0"/>
    <n v="0"/>
  </r>
  <r>
    <s v="01.2.18"/>
    <x v="7"/>
    <x v="4"/>
    <m/>
    <m/>
    <s v="Deals Database"/>
    <s v="In Cashflow Generator - Check that bonds can be built with Fingal"/>
    <s v="Neil"/>
    <d v="2009-08-24T00:00:00"/>
    <n v="3"/>
    <n v="0"/>
    <x v="3"/>
    <d v="2010-02-09T00:00:00"/>
    <n v="0"/>
    <n v="0"/>
  </r>
  <r>
    <s v="01.2.33"/>
    <x v="7"/>
    <x v="4"/>
    <m/>
    <m/>
    <s v="Deals Database"/>
    <s v="BUG - Refresh from BBG does not populate the BBG Name for bond, example ES0347789002."/>
    <s v="David"/>
    <d v="2010-01-28T00:00:00"/>
    <n v="0.5"/>
    <n v="0"/>
    <x v="3"/>
    <d v="2010-02-09T00:00:00"/>
    <n v="0"/>
    <n v="0"/>
  </r>
  <r>
    <s v="15.3.6"/>
    <x v="7"/>
    <x v="4"/>
    <m/>
    <m/>
    <s v="Excel DB Transition"/>
    <s v="Copy deal structure to comments."/>
    <s v="Pramendra"/>
    <d v="2009-11-10T00:00:00"/>
    <n v="7"/>
    <n v="0"/>
    <x v="3"/>
    <d v="2010-02-09T00:00:00"/>
    <n v="0"/>
    <n v="0"/>
  </r>
  <r>
    <s v="15.3.7"/>
    <x v="7"/>
    <x v="4"/>
    <m/>
    <m/>
    <s v="Excel DB Transition"/>
    <s v="Get Reseach to fully populate triggers in DealsDB"/>
    <s v="Pramendra"/>
    <d v="2010-01-22T00:00:00"/>
    <n v="2"/>
    <n v="0"/>
    <x v="3"/>
    <d v="2010-02-09T00:00:00"/>
    <n v="0"/>
    <n v="0"/>
  </r>
  <r>
    <s v="15.4.1"/>
    <x v="7"/>
    <x v="4"/>
    <m/>
    <m/>
    <s v="Excel DB Transition"/>
    <s v="Set up Counterparties (DealDB app)"/>
    <s v="Pramendra"/>
    <d v="2009-11-10T00:00:00"/>
    <n v="3"/>
    <n v="0"/>
    <x v="3"/>
    <d v="2010-02-09T00:00:00"/>
    <n v="0"/>
    <n v="0"/>
  </r>
  <r>
    <s v="15.4.2"/>
    <x v="7"/>
    <x v="4"/>
    <m/>
    <m/>
    <s v="Excel DB Transition"/>
    <s v="Set up Deal Triggers and allow state changes (DealDB app)"/>
    <s v="Pramendra"/>
    <d v="2009-11-18T00:00:00"/>
    <n v="3"/>
    <n v="0"/>
    <x v="3"/>
    <d v="2010-02-09T00:00:00"/>
    <n v="0"/>
    <n v="0"/>
  </r>
  <r>
    <s v="04.10.6"/>
    <x v="7"/>
    <x v="4"/>
    <m/>
    <m/>
    <s v="Matrix Pricing Application"/>
    <s v="Add Custom attributes for L2 criteria"/>
    <s v="Neil"/>
    <d v="2009-12-16T00:00:00"/>
    <n v="4"/>
    <n v="0"/>
    <x v="3"/>
    <d v="2010-01-22T00:00:00"/>
    <n v="0"/>
    <n v="0"/>
  </r>
  <r>
    <s v="15.3.2"/>
    <x v="7"/>
    <x v="4"/>
    <m/>
    <m/>
    <s v="Excel DB Transition"/>
    <s v="Move trigger definition and state to DB"/>
    <s v="Pramendra"/>
    <d v="2009-11-10T00:00:00"/>
    <n v="10"/>
    <n v="0"/>
    <x v="3"/>
    <d v="2010-01-22T00:00:00"/>
    <n v="0"/>
    <n v="0"/>
  </r>
  <r>
    <s v="15.3.1"/>
    <x v="7"/>
    <x v="4"/>
    <m/>
    <m/>
    <s v="Excel DB Transition"/>
    <s v="Move Deal Transaction Participants to DB + Addin"/>
    <s v="Pramendra"/>
    <d v="2009-11-10T00:00:00"/>
    <n v="3"/>
    <n v="0"/>
    <x v="3"/>
    <d v="2010-01-04T00:00:00"/>
    <n v="0"/>
    <n v="0"/>
  </r>
  <r>
    <s v="10.1.7"/>
    <x v="7"/>
    <x v="4"/>
    <m/>
    <m/>
    <s v="Radial / Totoro / Other"/>
    <s v="Radial creates new bonds automatically."/>
    <s v="Neil"/>
    <d v="2009-08-07T00:00:00"/>
    <n v="0"/>
    <n v="0"/>
    <x v="3"/>
    <d v="2009-11-17T00:00:00"/>
    <n v="0"/>
    <n v="0"/>
  </r>
  <r>
    <s v="04.10.2"/>
    <x v="7"/>
    <x v="4"/>
    <m/>
    <m/>
    <s v="Matrix Pricing Application"/>
    <s v="Modify L2 so that criteria can be edited"/>
    <s v="Shubh"/>
    <d v="2009-11-03T00:00:00"/>
    <n v="0.5"/>
    <n v="0"/>
    <x v="3"/>
    <d v="2009-11-09T00:00:00"/>
    <n v="0"/>
    <n v="0"/>
  </r>
  <r>
    <s v="09.1.12"/>
    <x v="7"/>
    <x v="4"/>
    <m/>
    <m/>
    <s v="Nomura Now"/>
    <s v="Load up historical level 2 granite prices"/>
    <s v="Neil"/>
    <d v="2009-10-23T00:00:00"/>
    <n v="0"/>
    <n v="0"/>
    <x v="3"/>
    <d v="2009-11-03T00:00:00"/>
    <n v="0"/>
    <n v="0"/>
  </r>
  <r>
    <s v="15.1.2"/>
    <x v="7"/>
    <x v="4"/>
    <m/>
    <m/>
    <s v="Excel DB Transition"/>
    <s v="Access Surveillance DB from UKNC spread sheet"/>
    <s v="Pramendra"/>
    <d v="2009-07-31T00:00:00"/>
    <n v="0"/>
    <n v="0"/>
    <x v="3"/>
    <d v="2009-11-03T00:00:00"/>
    <n v="0"/>
    <n v="0"/>
  </r>
  <r>
    <s v="15.1.3"/>
    <x v="7"/>
    <x v="4"/>
    <m/>
    <m/>
    <s v="Excel DB Transition"/>
    <s v="Formulate full plan for transition"/>
    <s v="Pramendra"/>
    <d v="2009-09-30T00:00:00"/>
    <n v="0"/>
    <n v="0"/>
    <x v="3"/>
    <d v="2009-11-03T00:00:00"/>
    <n v="0"/>
    <n v="0"/>
  </r>
  <r>
    <s v="15.2.1"/>
    <x v="7"/>
    <x v="4"/>
    <m/>
    <m/>
    <s v="Excel DB Transition"/>
    <s v="Create Excel Addin"/>
    <s v="Pramendra"/>
    <d v="2009-11-03T00:00:00"/>
    <n v="0"/>
    <n v="0"/>
    <x v="3"/>
    <d v="2009-11-03T00:00:00"/>
    <n v="0"/>
    <n v="0"/>
  </r>
  <r>
    <s v="01.2.16"/>
    <x v="7"/>
    <x v="4"/>
    <m/>
    <m/>
    <s v="Deals Database"/>
    <s v="Make sure time stamps in feed files are London time"/>
    <s v="Neil"/>
    <d v="2009-08-05T00:00:00"/>
    <n v="0"/>
    <n v="0"/>
    <x v="3"/>
    <d v="2009-10-20T00:00:00"/>
    <n v="0"/>
    <n v="0"/>
  </r>
  <r>
    <s v="01.2.14"/>
    <x v="7"/>
    <x v="4"/>
    <m/>
    <m/>
    <s v="Deals Database"/>
    <s v="Move to latest BBG Gateway API"/>
    <s v="Neil"/>
    <d v="2009-09-30T00:00:00"/>
    <n v="0"/>
    <n v="0"/>
    <x v="3"/>
    <d v="2009-10-13T00:00:00"/>
    <n v="0"/>
    <n v="0"/>
  </r>
  <r>
    <s v="01.2.19"/>
    <x v="7"/>
    <x v="4"/>
    <m/>
    <m/>
    <s v="Deals Database"/>
    <s v="Investigate Date error for Cashflow schedules"/>
    <s v="Neil"/>
    <d v="2009-09-30T00:00:00"/>
    <n v="0"/>
    <n v="0"/>
    <x v="3"/>
    <d v="2009-10-13T00:00:00"/>
    <n v="0"/>
    <n v="0"/>
  </r>
  <r>
    <s v="16.5"/>
    <x v="7"/>
    <x v="4"/>
    <m/>
    <m/>
    <s v="Macro Economic Data"/>
    <s v="Add ECB Data"/>
    <s v="David"/>
    <d v="2009-09-30T00:00:00"/>
    <n v="0"/>
    <n v="0"/>
    <x v="3"/>
    <d v="2009-10-13T00:00:00"/>
    <n v="0"/>
    <n v="0"/>
  </r>
  <r>
    <s v="04.7.6 "/>
    <x v="7"/>
    <x v="4"/>
    <m/>
    <m/>
    <s v="Matrix Pricing Application"/>
    <s v="Enhance matrix viewer"/>
    <s v="Neil"/>
    <d v="2009-08-03T00:00:00"/>
    <n v="0"/>
    <n v="0"/>
    <x v="3"/>
    <d v="2009-09-30T00:00:00"/>
    <n v="0"/>
    <n v="0"/>
  </r>
  <r>
    <s v="04.8.10"/>
    <x v="7"/>
    <x v="4"/>
    <m/>
    <m/>
    <s v="Matrix Pricing Application"/>
    <s v="Multiple L2 tier match"/>
    <s v="David Covey"/>
    <d v="2009-08-04T00:00:00"/>
    <n v="0"/>
    <n v="0"/>
    <x v="3"/>
    <d v="2009-09-30T00:00:00"/>
    <n v="0"/>
    <n v="0"/>
  </r>
  <r>
    <s v="04.8.7"/>
    <x v="7"/>
    <x v="4"/>
    <m/>
    <m/>
    <s v="Matrix Pricing Application"/>
    <s v="Redesign L2 matrix screen"/>
    <s v="Neil"/>
    <d v="2009-07-31T00:00:00"/>
    <n v="0"/>
    <n v="0"/>
    <x v="3"/>
    <d v="2009-09-30T00:00:00"/>
    <n v="0"/>
    <n v="0"/>
  </r>
  <r>
    <s v="04.8.9"/>
    <x v="7"/>
    <x v="4"/>
    <m/>
    <m/>
    <s v="Matrix Pricing Application"/>
    <s v="Price large universe of bonds for Aug month end."/>
    <s v="David Covey"/>
    <d v="2009-08-03T00:00:00"/>
    <n v="0"/>
    <n v="0"/>
    <x v="3"/>
    <d v="2009-09-30T00:00:00"/>
    <n v="0"/>
    <n v="0"/>
  </r>
  <r>
    <s v="09.1.07"/>
    <x v="7"/>
    <x v="4"/>
    <m/>
    <m/>
    <s v="Nomura Now"/>
    <s v="Add TS for Macro Economic Data"/>
    <s v="David Covey"/>
    <d v="2009-08-24T00:00:00"/>
    <n v="0"/>
    <n v="0"/>
    <x v="3"/>
    <d v="2009-09-18T00:00:00"/>
    <n v="0"/>
    <n v="0"/>
  </r>
  <r>
    <s v="12.1.1"/>
    <x v="7"/>
    <x v="4"/>
    <m/>
    <m/>
    <s v="Utilities"/>
    <s v="Build log file tidy tool"/>
    <s v="Neil"/>
    <d v="2009-08-20T00:00:00"/>
    <n v="0"/>
    <n v="0"/>
    <x v="3"/>
    <d v="2009-08-27T00:00:00"/>
    <n v="0"/>
    <n v="0"/>
  </r>
  <r>
    <s v="16.2"/>
    <x v="7"/>
    <x v="4"/>
    <m/>
    <m/>
    <s v="Macro Economic Data"/>
    <s v="Develop app to download data to DB"/>
    <s v="David"/>
    <d v="2009-08-20T00:00:00"/>
    <n v="0"/>
    <n v="0"/>
    <x v="3"/>
    <d v="2009-08-27T00:00:00"/>
    <n v="0"/>
    <n v="0"/>
  </r>
  <r>
    <s v="16.1"/>
    <x v="7"/>
    <x v="4"/>
    <m/>
    <m/>
    <s v="Macro Economic Data"/>
    <s v="Initial Plan with Ajay"/>
    <s v="David"/>
    <d v="2009-08-04T00:00:00"/>
    <n v="0"/>
    <n v="0"/>
    <x v="3"/>
    <d v="2009-08-20T00:00:00"/>
    <n v="0"/>
    <n v="0"/>
  </r>
  <r>
    <s v="04.4.8"/>
    <x v="7"/>
    <x v="4"/>
    <m/>
    <m/>
    <s v="Matrix Pricing Application"/>
    <s v="Productionise Matrix Pricer Batch"/>
    <s v="Neil"/>
    <d v="2009-07-14T00:00:00"/>
    <n v="0"/>
    <n v="0"/>
    <x v="3"/>
    <d v="2009-07-31T00:00:00"/>
    <n v="0"/>
    <n v="0"/>
  </r>
  <r>
    <s v="04.4.9"/>
    <x v="7"/>
    <x v="4"/>
    <m/>
    <m/>
    <s v="Matrix Pricing Application"/>
    <s v="Run Matrix Pricer Batch in QA and get sign off"/>
    <s v="Neil"/>
    <d v="2009-07-14T00:00:00"/>
    <n v="0"/>
    <n v="0"/>
    <x v="3"/>
    <d v="2009-07-31T00:00:00"/>
    <n v="0"/>
    <n v="0"/>
  </r>
  <r>
    <s v="04.7.5"/>
    <x v="7"/>
    <x v="4"/>
    <m/>
    <m/>
    <s v="Matrix Pricing Application"/>
    <s v="Use Price viewer in QA and get sign off"/>
    <s v="Neil"/>
    <d v="2009-07-14T00:00:00"/>
    <n v="0"/>
    <n v="0"/>
    <x v="3"/>
    <d v="2009-07-31T00:00:00"/>
    <n v="0"/>
    <n v="0"/>
  </r>
  <r>
    <s v="15.1.1"/>
    <x v="7"/>
    <x v="4"/>
    <m/>
    <m/>
    <s v="Excel DB Transition"/>
    <s v="Initial Plan"/>
    <s v="Neil"/>
    <d v="2009-07-20T00:00:00"/>
    <n v="0"/>
    <n v="0"/>
    <x v="3"/>
    <d v="2009-07-31T00:00:00"/>
    <n v="0"/>
    <n v="0"/>
  </r>
  <r>
    <s v="04.4.6"/>
    <x v="7"/>
    <x v="4"/>
    <m/>
    <m/>
    <s v="Matrix Pricing Application"/>
    <s v="Store 'All' intermediate calcs and useful outputs in DB"/>
    <s v="Neil"/>
    <d v="2009-06-11T00:00:00"/>
    <n v="0"/>
    <n v="0"/>
    <x v="3"/>
    <d v="2009-07-14T00:00:00"/>
    <n v="0"/>
    <n v="0"/>
  </r>
  <r>
    <s v="04.4.7"/>
    <x v="7"/>
    <x v="4"/>
    <m/>
    <m/>
    <s v="Matrix Pricing Application"/>
    <s v="Get sign off for batch pricing"/>
    <s v="Neil"/>
    <d v="2009-06-11T00:00:00"/>
    <n v="0"/>
    <n v="0"/>
    <x v="3"/>
    <d v="2009-07-14T00:00:00"/>
    <n v="0"/>
    <n v="0"/>
  </r>
  <r>
    <s v="06.7.1"/>
    <x v="7"/>
    <x v="4"/>
    <m/>
    <m/>
    <s v="Shared application components "/>
    <s v="Add Exception Dialog with mail send option"/>
    <s v="Neil"/>
    <d v="2009-06-11T00:00:00"/>
    <n v="0"/>
    <n v="0"/>
    <x v="3"/>
    <d v="2009-07-14T00:00:00"/>
    <n v="0"/>
    <n v="0"/>
  </r>
  <r>
    <s v="08.04.1"/>
    <x v="7"/>
    <x v="4"/>
    <m/>
    <m/>
    <s v="Production Environment"/>
    <s v="Get Job Scheduling working on QA machine"/>
    <s v="Neil"/>
    <d v="2009-05-06T00:00:00"/>
    <n v="0"/>
    <n v="0"/>
    <x v="3"/>
    <d v="2009-07-03T00:00:00"/>
    <n v="0"/>
    <n v="0"/>
  </r>
  <r>
    <s v="04.8.3"/>
    <x v="7"/>
    <x v="4"/>
    <m/>
    <m/>
    <s v="Matrix Pricing Application"/>
    <s v="Editor - Make first implementation"/>
    <s v="Neil"/>
    <d v="2009-06-11T00:00:00"/>
    <n v="0"/>
    <n v="0"/>
    <x v="3"/>
    <d v="2009-06-19T00:00:00"/>
    <n v="0"/>
    <n v="0"/>
  </r>
  <r>
    <s v="07.3.2"/>
    <x v="7"/>
    <x v="4"/>
    <m/>
    <m/>
    <s v="Development Environment"/>
    <s v="Stop license warning box displaying"/>
    <s v="Neil"/>
    <d v="2009-06-11T00:00:00"/>
    <n v="0"/>
    <n v="0"/>
    <x v="3"/>
    <d v="2009-06-19T00:00:00"/>
    <n v="0"/>
    <n v="0"/>
  </r>
  <r>
    <s v="04.4.3"/>
    <x v="7"/>
    <x v="4"/>
    <m/>
    <m/>
    <s v="Matrix Pricing Application"/>
    <s v="Test Pricing and get business sign off"/>
    <s v="Neil"/>
    <d v="2009-04-24T00:00:00"/>
    <n v="0"/>
    <n v="0"/>
    <x v="3"/>
    <d v="2009-06-11T00:00:00"/>
    <n v="0"/>
    <n v="0"/>
  </r>
  <r>
    <s v="04.4.1"/>
    <x v="7"/>
    <x v="4"/>
    <m/>
    <m/>
    <s v="Matrix Pricing Application"/>
    <s v="Add pricing functionality to Batch and Application"/>
    <s v="David Covey"/>
    <d v="2009-04-08T00:00:00"/>
    <n v="0"/>
    <n v="0"/>
    <x v="3"/>
    <d v="2009-06-08T00:00:00"/>
    <n v="0"/>
    <n v="0"/>
  </r>
  <r>
    <s v="04.4.5"/>
    <x v="7"/>
    <x v="4"/>
    <m/>
    <m/>
    <s v="Matrix Pricing Application"/>
    <s v="Implement not ('!') as well as 'and' for Level 2 Matrix"/>
    <s v="Neil"/>
    <d v="2009-05-27T00:00:00"/>
    <n v="0"/>
    <n v="0"/>
    <x v="3"/>
    <d v="2009-06-08T00:00:00"/>
    <n v="0"/>
    <n v="0"/>
  </r>
  <r>
    <s v="04.8.1"/>
    <x v="7"/>
    <x v="4"/>
    <m/>
    <m/>
    <s v="Matrix Pricing Application"/>
    <s v="Editor - Agree requirements"/>
    <s v="Neil"/>
    <d v="2009-05-12T00:00:00"/>
    <n v="0"/>
    <n v="0"/>
    <x v="3"/>
    <d v="2009-06-02T00:00:00"/>
    <n v="0"/>
    <n v="0"/>
  </r>
  <r>
    <s v="06.1.1"/>
    <x v="7"/>
    <x v="4"/>
    <m/>
    <m/>
    <s v="Shared application components "/>
    <s v="Make first release of logging library"/>
    <s v="Neil"/>
    <d v="2009-04-08T00:00:00"/>
    <n v="0"/>
    <n v="0"/>
    <x v="3"/>
    <d v="2009-05-08T00:00:00"/>
    <n v="0"/>
    <n v="0"/>
  </r>
  <r>
    <s v="08.10.1"/>
    <x v="8"/>
    <x v="0"/>
    <m/>
    <m/>
    <s v="Production Environment"/>
    <s v="Investigate Autosys feasibility on DEV"/>
    <s v="Neil"/>
    <d v="2009-09-04T00:00:00"/>
    <n v="2"/>
    <s v="Enhancement"/>
    <x v="0"/>
    <d v="2010-12-08T00:00:00"/>
    <n v="4"/>
    <n v="13"/>
  </r>
  <r>
    <s v="05.21.10"/>
    <x v="8"/>
    <x v="0"/>
    <m/>
    <m/>
    <s v="Loan level data"/>
    <s v="LoanHandling: Kennsington loader change, review,release"/>
    <s v="Pramendra"/>
    <d v="2010-09-08T00:00:00"/>
    <n v="3"/>
    <s v="Maintenance"/>
    <x v="0"/>
    <d v="2010-11-01T00:00:00"/>
    <n v="4"/>
    <n v="13"/>
  </r>
  <r>
    <s v="16.7.3"/>
    <x v="8"/>
    <x v="2"/>
    <m/>
    <m/>
    <s v="Macro Economic Data"/>
    <s v="Retrieve Ireland HPI data"/>
    <s v="Ajay"/>
    <d v="2010-10-04T00:00:00"/>
    <n v="7"/>
    <s v="NewDevelopment"/>
    <x v="1"/>
    <d v="2010-10-05T00:00:00"/>
    <n v="2"/>
    <n v="3"/>
  </r>
  <r>
    <s v="11.1.8"/>
    <x v="9"/>
    <x v="0"/>
    <m/>
    <m/>
    <s v="Admin"/>
    <s v="Design Triggers for Auditing"/>
    <s v="Neil"/>
    <d v="2010-04-06T00:00:00"/>
    <n v="0.5"/>
    <s v="Enhancement"/>
    <x v="1"/>
    <d v="2010-11-23T00:00:00"/>
    <n v="4"/>
    <n v="13"/>
  </r>
  <r>
    <s v="21.5.6"/>
    <x v="9"/>
    <x v="1"/>
    <m/>
    <m/>
    <s v="Collateral Model"/>
    <s v="Model2Intex: UAT Testing"/>
    <s v="Neil"/>
    <d v="2010-07-03T00:00:00"/>
    <n v="5"/>
    <s v="NewDevelopment"/>
    <x v="0"/>
    <d v="2010-11-23T00:00:00"/>
    <n v="3"/>
    <n v="4"/>
  </r>
  <r>
    <s v="21.5.4"/>
    <x v="9"/>
    <x v="1"/>
    <m/>
    <m/>
    <s v="Collateral Model"/>
    <s v="Model2Intex: Implement"/>
    <s v="Neil"/>
    <d v="2010-07-02T00:00:00"/>
    <n v="5"/>
    <s v="NewDevelopment"/>
    <x v="0"/>
    <d v="2010-11-01T00:00:00"/>
    <n v="3"/>
    <n v="4"/>
  </r>
  <r>
    <s v="21.3.10"/>
    <x v="9"/>
    <x v="1"/>
    <m/>
    <m/>
    <s v="Collateral Model"/>
    <s v="ModelCashflows: Complete"/>
    <s v="Neil"/>
    <d v="2010-06-24T00:00:00"/>
    <n v="1"/>
    <s v="NewDevelopment"/>
    <x v="0"/>
    <d v="2010-10-26T00:00:00"/>
    <n v="3"/>
    <n v="4"/>
  </r>
  <r>
    <s v="21.3.9"/>
    <x v="9"/>
    <x v="1"/>
    <m/>
    <m/>
    <s v="Collateral Model"/>
    <s v="ModelCashflows: Modifications for comments"/>
    <s v="Neil"/>
    <d v="2010-06-24T00:00:00"/>
    <n v="2"/>
    <s v="NewDevelopment"/>
    <x v="1"/>
    <d v="2010-10-26T00:00:00"/>
    <n v="3"/>
    <n v="4"/>
  </r>
  <r>
    <s v="21.5.8"/>
    <x v="9"/>
    <x v="1"/>
    <m/>
    <m/>
    <s v="Collateral Model"/>
    <s v="Model2Intex: Modifications for comments"/>
    <s v="Neil"/>
    <d v="2010-07-05T00:00:00"/>
    <n v="1"/>
    <s v="NewDevelopment"/>
    <x v="1"/>
    <d v="2010-10-26T00:00:00"/>
    <n v="3"/>
    <n v="4"/>
  </r>
  <r>
    <s v="21.5.9"/>
    <x v="9"/>
    <x v="1"/>
    <m/>
    <m/>
    <s v="Collateral Model"/>
    <s v="Model2Intex: Complete"/>
    <s v="Neil"/>
    <d v="2010-07-06T00:00:00"/>
    <n v="1"/>
    <s v="NewDevelopment"/>
    <x v="1"/>
    <d v="2010-10-26T00:00:00"/>
    <n v="3"/>
    <n v="4"/>
  </r>
  <r>
    <s v="06.4.3b"/>
    <x v="9"/>
    <x v="1"/>
    <m/>
    <m/>
    <s v="Shared application components "/>
    <s v="Find better way to use C# objects with GUI controls"/>
    <s v="Neil"/>
    <d v="2010-10-01T00:00:00"/>
    <n v="3"/>
    <s v="NewDevelopment"/>
    <x v="1"/>
    <d v="2010-10-01T00:00:00"/>
    <n v="3"/>
    <n v="4"/>
  </r>
  <r>
    <s v="13.2.4"/>
    <x v="9"/>
    <x v="1"/>
    <m/>
    <m/>
    <s v="Comment Viewer"/>
    <s v="Make all Windows refresh when data is changed"/>
    <s v="Neil"/>
    <d v="2009-09-18T00:00:00"/>
    <n v="5"/>
    <s v="Enhancement"/>
    <x v="0"/>
    <d v="2010-04-15T00:00:00"/>
    <n v="3"/>
    <n v="4"/>
  </r>
  <r>
    <s v="13.2.5"/>
    <x v="9"/>
    <x v="1"/>
    <m/>
    <m/>
    <s v="Comment Viewer"/>
    <s v="Issue with seemingly missing comments"/>
    <s v="Neil"/>
    <d v="2009-12-07T00:00:00"/>
    <n v="1"/>
    <s v="Maintenance"/>
    <x v="1"/>
    <d v="2010-04-15T00:00:00"/>
    <n v="3"/>
    <n v="4"/>
  </r>
  <r>
    <s v="13.2.6"/>
    <x v="9"/>
    <x v="2"/>
    <m/>
    <m/>
    <s v="Comment Viewer"/>
    <s v="Write up wiki notes"/>
    <s v="Neil"/>
    <d v="2010-03-22T00:00:00"/>
    <n v="0.5"/>
    <s v="NewDevelopment"/>
    <x v="1"/>
    <d v="2010-11-23T00:00:00"/>
    <n v="2"/>
    <n v="3"/>
  </r>
  <r>
    <s v="21.3.7"/>
    <x v="9"/>
    <x v="4"/>
    <m/>
    <m/>
    <s v="Collateral Model"/>
    <s v="ModelCashflows: UAT Testing"/>
    <s v="Neil"/>
    <d v="2010-06-24T00:00:00"/>
    <n v="3"/>
    <s v="NewDevelopment"/>
    <x v="3"/>
    <d v="2010-12-09T00:00:00"/>
    <n v="0"/>
    <n v="1"/>
  </r>
  <r>
    <s v="21.4.4"/>
    <x v="9"/>
    <x v="4"/>
    <m/>
    <m/>
    <s v="Collateral Model"/>
    <s v="IntexCduPss: Implement"/>
    <s v="Neil"/>
    <d v="2010-07-02T00:00:00"/>
    <n v="2"/>
    <s v="NewDevelopment"/>
    <x v="3"/>
    <d v="2010-11-01T00:00:00"/>
    <n v="0"/>
    <n v="0"/>
  </r>
  <r>
    <s v="21.4.6"/>
    <x v="9"/>
    <x v="4"/>
    <m/>
    <m/>
    <s v="Collateral Model"/>
    <s v="IntexCduPss: Complete"/>
    <s v="Neil"/>
    <d v="2010-07-02T00:00:00"/>
    <n v="0.5"/>
    <s v="NewDevelopment"/>
    <x v="3"/>
    <d v="2010-11-01T00:00:00"/>
    <n v="0"/>
    <n v="0"/>
  </r>
  <r>
    <s v="21.5.2"/>
    <x v="9"/>
    <x v="4"/>
    <m/>
    <m/>
    <s v="Collateral Model"/>
    <s v="Model2Intex: Design"/>
    <s v="Neil"/>
    <d v="2010-07-02T00:00:00"/>
    <n v="1"/>
    <s v="NewDevelopment"/>
    <x v="3"/>
    <d v="2010-11-01T00:00:00"/>
    <n v="0"/>
    <n v="0"/>
  </r>
  <r>
    <s v="11.2.32"/>
    <x v="9"/>
    <x v="4"/>
    <m/>
    <m/>
    <s v="Admin"/>
    <s v="Develop plan for Parth"/>
    <s v="Neil"/>
    <d v="2010-10-04T00:00:00"/>
    <n v="1"/>
    <s v="Other"/>
    <x v="3"/>
    <d v="2010-10-26T00:00:00"/>
    <n v="0"/>
    <n v="0"/>
  </r>
  <r>
    <s v="21.3.6"/>
    <x v="9"/>
    <x v="4"/>
    <d v="2010-07-15T00:00:00"/>
    <m/>
    <s v="Collateral Model"/>
    <s v="ModelCashflows: Complete Implementation"/>
    <s v="Neil"/>
    <d v="2010-06-24T00:00:00"/>
    <n v="5"/>
    <s v="NewDevelopment"/>
    <x v="3"/>
    <d v="2010-10-06T00:00:00"/>
    <n v="0"/>
    <n v="0"/>
  </r>
  <r>
    <s v="21.4.1"/>
    <x v="9"/>
    <x v="4"/>
    <d v="2010-07-16T00:00:00"/>
    <m/>
    <s v="Collateral Model"/>
    <s v="IntexCduPss: Define requirements"/>
    <s v="Neil"/>
    <d v="2010-07-02T00:00:00"/>
    <n v="0.5"/>
    <s v="NewDevelopment"/>
    <x v="3"/>
    <d v="2010-10-06T00:00:00"/>
    <n v="0"/>
    <n v="0"/>
  </r>
  <r>
    <s v="21.4.2"/>
    <x v="9"/>
    <x v="4"/>
    <d v="2010-07-19T00:00:00"/>
    <m/>
    <s v="Collateral Model"/>
    <s v="IntexCduPss: Design"/>
    <s v="Neil"/>
    <d v="2010-07-02T00:00:00"/>
    <n v="0.5"/>
    <s v="NewDevelopment"/>
    <x v="3"/>
    <d v="2010-10-06T00:00:00"/>
    <n v="0"/>
    <n v="0"/>
  </r>
  <r>
    <s v="21.3.4"/>
    <x v="9"/>
    <x v="4"/>
    <d v="2010-07-07T00:00:00"/>
    <m/>
    <s v="Collateral Model"/>
    <s v="ModelCashflows: First Implementation"/>
    <s v="Neil"/>
    <d v="2010-06-24T00:00:00"/>
    <n v="3"/>
    <s v="NewDevelopment"/>
    <x v="3"/>
    <d v="2010-09-03T00:00:00"/>
    <n v="0"/>
    <n v="0"/>
  </r>
  <r>
    <s v="05.01"/>
    <x v="9"/>
    <x v="4"/>
    <m/>
    <m/>
    <s v="Loan level data"/>
    <s v="Add ALBA loans"/>
    <s v="David Covey"/>
    <d v="2009-04-08T00:00:00"/>
    <n v="0"/>
    <n v="0"/>
    <x v="3"/>
    <d v="2010-08-24T00:00:00"/>
    <n v="0"/>
    <n v="0"/>
  </r>
  <r>
    <s v="05.20.2"/>
    <x v="9"/>
    <x v="4"/>
    <d v="2010-08-06T00:00:00"/>
    <m/>
    <s v="Loan level data"/>
    <s v="Add new field to Merrill Raw"/>
    <s v="Danny"/>
    <d v="2010-08-04T00:00:00"/>
    <n v="1"/>
    <s v="Maintenance"/>
    <x v="3"/>
    <d v="2010-08-24T00:00:00"/>
    <n v="0"/>
    <n v="0"/>
  </r>
  <r>
    <s v="20.1.2"/>
    <x v="9"/>
    <x v="4"/>
    <m/>
    <n v="1"/>
    <s v="CMBS - TREPP"/>
    <s v="Analyse Trepp Data"/>
    <s v="Neil"/>
    <d v="2010-02-10T00:00:00"/>
    <n v="1"/>
    <s v="NewDevelopment"/>
    <x v="3"/>
    <d v="2010-08-16T00:00:00"/>
    <n v="0"/>
    <n v="0"/>
  </r>
  <r>
    <s v="20.1.3"/>
    <x v="9"/>
    <x v="4"/>
    <m/>
    <m/>
    <s v="CMBS - TREPP"/>
    <s v="Take a one off copy of historic Trepp data from US"/>
    <s v="Neil"/>
    <d v="2010-03-16T00:00:00"/>
    <n v="1"/>
    <s v="NewDevelopment"/>
    <x v="3"/>
    <d v="2010-08-16T00:00:00"/>
    <n v="0"/>
    <n v="0"/>
  </r>
  <r>
    <s v="16.7.8"/>
    <x v="9"/>
    <x v="4"/>
    <d v="2010-08-06T00:00:00"/>
    <m/>
    <s v="Macro Economic Data"/>
    <s v="Fix Spanish HPI load for data format change"/>
    <s v="Paresh"/>
    <d v="2010-06-24T00:00:00"/>
    <n v="1"/>
    <s v="Maintenance"/>
    <x v="3"/>
    <d v="2010-08-10T00:00:00"/>
    <n v="0"/>
    <n v="0"/>
  </r>
  <r>
    <s v="01.2.07"/>
    <x v="9"/>
    <x v="5"/>
    <m/>
    <m/>
    <s v="Deals Database"/>
    <s v="Add comments functionality"/>
    <s v="David Covey"/>
    <d v="2010-04-15T00:00:00"/>
    <n v="3"/>
    <s v="NewDevelopment"/>
    <x v="4"/>
    <d v="2010-08-04T00:00:00"/>
    <n v="0"/>
    <n v="0"/>
  </r>
  <r>
    <s v="03.5.04"/>
    <x v="9"/>
    <x v="5"/>
    <m/>
    <m/>
    <s v="Deal Analyser"/>
    <s v="Add comments functionality"/>
    <s v="David Covey"/>
    <d v="2010-04-15T00:00:00"/>
    <n v="7"/>
    <s v="NewDevelopment"/>
    <x v="4"/>
    <d v="2010-08-04T00:00:00"/>
    <n v="0"/>
    <n v="0"/>
  </r>
  <r>
    <s v="04.7.3"/>
    <x v="9"/>
    <x v="5"/>
    <m/>
    <m/>
    <s v="Matrix Pricing Application"/>
    <s v="Add comments functionality"/>
    <s v="David Covey"/>
    <d v="2010-04-15T00:00:00"/>
    <n v="5"/>
    <s v="NewDevelopment"/>
    <x v="4"/>
    <d v="2010-08-04T00:00:00"/>
    <n v="0"/>
    <n v="0"/>
  </r>
  <r>
    <s v="18.1.6"/>
    <x v="9"/>
    <x v="5"/>
    <m/>
    <m/>
    <s v="Roll Rate Analyser"/>
    <s v="Add comments functionality"/>
    <s v="David Covey"/>
    <d v="2010-04-15T00:00:00"/>
    <n v="5"/>
    <s v="NewDevelopment"/>
    <x v="4"/>
    <d v="2010-08-04T00:00:00"/>
    <n v="0"/>
    <n v="0"/>
  </r>
  <r>
    <s v="21.2.6"/>
    <x v="9"/>
    <x v="4"/>
    <d v="2010-05-10T00:00:00"/>
    <m/>
    <s v="Collateral Model"/>
    <s v="Collateral Model: Incorporate updated model coefficients"/>
    <s v="Pramendra"/>
    <d v="2010-04-16T00:00:00"/>
    <n v="5"/>
    <s v="NewDevelopment"/>
    <x v="3"/>
    <d v="2010-08-04T00:00:00"/>
    <n v="0"/>
    <n v="0"/>
  </r>
  <r>
    <s v="21.3.2"/>
    <x v="9"/>
    <x v="4"/>
    <d v="2010-06-30T00:00:00"/>
    <m/>
    <s v="Collateral Model"/>
    <s v="ModelCashflows: Produce initial design"/>
    <s v="Pramendra"/>
    <d v="2010-05-27T00:00:00"/>
    <n v="2"/>
    <s v="NewDevelopment"/>
    <x v="3"/>
    <d v="2010-07-14T00:00:00"/>
    <n v="0"/>
    <n v="0"/>
  </r>
  <r>
    <s v="11.2.22a"/>
    <x v="9"/>
    <x v="4"/>
    <d v="2010-06-14T00:00:00"/>
    <m/>
    <s v="Admin"/>
    <s v="Set goals for 2010_2011"/>
    <s v="Neil"/>
    <d v="2010-06-07T00:00:00"/>
    <n v="0.5"/>
    <s v="Other"/>
    <x v="3"/>
    <d v="2010-07-02T00:00:00"/>
    <n v="0"/>
    <n v="0"/>
  </r>
  <r>
    <s v="16.10.4"/>
    <x v="9"/>
    <x v="4"/>
    <m/>
    <m/>
    <s v="Macro Economic Data"/>
    <s v="Normalised Dutch HPI Rate Data "/>
    <s v="Neil"/>
    <d v="2010-03-31T00:00:00"/>
    <n v="2"/>
    <s v="Maintenance"/>
    <x v="3"/>
    <d v="2010-05-24T00:00:00"/>
    <n v="0"/>
    <n v="0"/>
  </r>
  <r>
    <s v="16.10.5"/>
    <x v="9"/>
    <x v="4"/>
    <m/>
    <m/>
    <s v="Macro Economic Data"/>
    <s v="Normalised Spanish HPI Rate Data "/>
    <s v="Neil"/>
    <d v="2010-03-31T00:00:00"/>
    <n v="2"/>
    <s v="Maintenance"/>
    <x v="3"/>
    <d v="2010-05-24T00:00:00"/>
    <n v="0"/>
    <n v="0"/>
  </r>
  <r>
    <s v="16.7.4"/>
    <x v="9"/>
    <x v="4"/>
    <m/>
    <m/>
    <s v="Macro Economic Data"/>
    <s v="Retrieve Spain HPI data + set schema to HPAIndexData"/>
    <s v="Shubh"/>
    <d v="2009-12-10T00:00:00"/>
    <n v="7"/>
    <n v="0"/>
    <x v="3"/>
    <d v="2010-03-15T00:00:00"/>
    <n v="0"/>
    <n v="0"/>
  </r>
  <r>
    <s v="16.7.7"/>
    <x v="9"/>
    <x v="4"/>
    <m/>
    <m/>
    <s v="Macro Economic Data"/>
    <s v="Fully automate Dutch HPI loading"/>
    <s v="Neil"/>
    <d v="2009-12-10T00:00:00"/>
    <n v="2"/>
    <n v="0"/>
    <x v="3"/>
    <d v="2010-03-10T00:00:00"/>
    <n v="0"/>
    <n v="0"/>
  </r>
  <r>
    <s v="16.7.6"/>
    <x v="9"/>
    <x v="4"/>
    <m/>
    <n v="1"/>
    <s v="Macro Economic Data"/>
    <s v="Move Dutch HPI to Prod Nomura Now"/>
    <s v="David"/>
    <d v="2009-12-10T00:00:00"/>
    <n v="1"/>
    <n v="0"/>
    <x v="3"/>
    <d v="2010-03-09T00:00:00"/>
    <n v="0"/>
    <n v="0"/>
  </r>
  <r>
    <s v="17.2"/>
    <x v="9"/>
    <x v="4"/>
    <m/>
    <m/>
    <s v="Trade Blotter"/>
    <s v="Implement data cleaner"/>
    <s v="Neil"/>
    <d v="2009-11-16T00:00:00"/>
    <n v="5"/>
    <n v="0"/>
    <x v="3"/>
    <d v="2010-02-23T00:00:00"/>
    <n v="0"/>
    <n v="0"/>
  </r>
  <r>
    <s v="17.3"/>
    <x v="9"/>
    <x v="4"/>
    <m/>
    <m/>
    <s v="Trade Blotter"/>
    <s v="Implement blotter prototype"/>
    <s v="David"/>
    <d v="2009-12-03T00:00:00"/>
    <n v="15"/>
    <n v="0"/>
    <x v="3"/>
    <d v="2010-02-23T00:00:00"/>
    <n v="0"/>
    <n v="0"/>
  </r>
  <r>
    <s v="17.4"/>
    <x v="9"/>
    <x v="4"/>
    <m/>
    <m/>
    <s v="Trade Blotter"/>
    <s v="Make first release of blotter for research review"/>
    <s v="David"/>
    <d v="2009-12-16T00:00:00"/>
    <n v="10"/>
    <n v="0"/>
    <x v="3"/>
    <d v="2010-02-23T00:00:00"/>
    <n v="0"/>
    <n v="0"/>
  </r>
  <r>
    <s v="17.5"/>
    <x v="9"/>
    <x v="4"/>
    <m/>
    <m/>
    <s v="Trade Blotter"/>
    <s v="Make first release to traders"/>
    <s v="David"/>
    <d v="2009-12-03T00:00:00"/>
    <n v="10"/>
    <n v="0"/>
    <x v="3"/>
    <d v="2010-02-23T00:00:00"/>
    <n v="0"/>
    <n v="0"/>
  </r>
  <r>
    <s v="16.7.1"/>
    <x v="9"/>
    <x v="4"/>
    <m/>
    <m/>
    <s v="Macro Economic Data"/>
    <s v="Retrieve Dutch HPI data"/>
    <s v="Shubh"/>
    <d v="2009-09-30T00:00:00"/>
    <n v="7"/>
    <n v="0"/>
    <x v="3"/>
    <d v="2009-12-10T00:00:00"/>
    <n v="0"/>
    <n v="0"/>
  </r>
  <r>
    <s v="17.1"/>
    <x v="9"/>
    <x v="4"/>
    <m/>
    <m/>
    <s v="Trade Blotter"/>
    <s v="Understand requirements and devise plan"/>
    <s v="David"/>
    <d v="2009-10-21T00:00:00"/>
    <n v="3"/>
    <n v="0"/>
    <x v="3"/>
    <d v="2009-12-03T00:00:00"/>
    <n v="0"/>
    <n v="0"/>
  </r>
  <r>
    <s v="05.17.1"/>
    <x v="9"/>
    <x v="4"/>
    <m/>
    <m/>
    <s v="Loan level data"/>
    <s v="Implement revised mapping for ALBA"/>
    <s v="Danny"/>
    <d v="2009-09-18T00:00:00"/>
    <n v="0"/>
    <n v="0"/>
    <x v="3"/>
    <d v="2009-11-03T00:00:00"/>
    <n v="0"/>
    <n v="0"/>
  </r>
  <r>
    <s v="05.18.3"/>
    <x v="9"/>
    <x v="4"/>
    <m/>
    <m/>
    <s v="Loan level data"/>
    <s v="RMAC Second level Mapper"/>
    <s v="David Covey"/>
    <d v="2009-10-07T00:00:00"/>
    <n v="0"/>
    <n v="0"/>
    <x v="3"/>
    <d v="2009-11-03T00:00:00"/>
    <n v="0"/>
    <n v="0"/>
  </r>
  <r>
    <s v="05.18.4"/>
    <x v="9"/>
    <x v="4"/>
    <m/>
    <m/>
    <s v="Loan level data"/>
    <s v="ESAIL Second Level Mapper"/>
    <s v="David Covey"/>
    <d v="2009-10-07T00:00:00"/>
    <n v="0"/>
    <n v="0"/>
    <x v="3"/>
    <d v="2009-11-03T00:00:00"/>
    <n v="0"/>
    <n v="0"/>
  </r>
  <r>
    <s v="09.1.09"/>
    <x v="9"/>
    <x v="4"/>
    <m/>
    <m/>
    <s v="Nomura Now"/>
    <s v="Load up historical sector spread from old Lehman DB"/>
    <s v="Shubh"/>
    <d v="2009-10-16T00:00:00"/>
    <n v="0"/>
    <n v="0"/>
    <x v="3"/>
    <d v="2009-10-13T00:00:00"/>
    <n v="0"/>
    <n v="0"/>
  </r>
  <r>
    <s v="05.02"/>
    <x v="9"/>
    <x v="4"/>
    <m/>
    <m/>
    <s v="Loan level data"/>
    <s v="Add Merrill loans - raw data + document"/>
    <s v="David Covey"/>
    <d v="2010-02-05T00:00:00"/>
    <n v="0"/>
    <n v="0"/>
    <x v="3"/>
    <d v="2009-10-09T00:00:00"/>
    <n v="0"/>
    <n v="0"/>
  </r>
  <r>
    <s v="05.11.2"/>
    <x v="9"/>
    <x v="4"/>
    <m/>
    <m/>
    <s v="Loan level data"/>
    <s v="Complete mapping loader for LEEK"/>
    <s v="David Covey"/>
    <d v="2009-08-28T00:00:00"/>
    <n v="0"/>
    <n v="0"/>
    <x v="3"/>
    <d v="2009-10-09T00:00:00"/>
    <n v="0"/>
    <n v="0"/>
  </r>
  <r>
    <s v="05.05.4"/>
    <x v="9"/>
    <x v="4"/>
    <m/>
    <m/>
    <s v="Loan level data"/>
    <s v="Add more fields as defined by Danny"/>
    <s v="Danny"/>
    <d v="2009-08-24T00:00:00"/>
    <n v="0"/>
    <n v="0"/>
    <x v="3"/>
    <d v="2009-09-30T00:00:00"/>
    <n v="0"/>
    <n v="0"/>
  </r>
  <r>
    <s v="13.2.2"/>
    <x v="9"/>
    <x v="4"/>
    <m/>
    <m/>
    <s v="Comment Viewer"/>
    <s v="Take comments and modify"/>
    <s v="Neil"/>
    <d v="2009-08-03T00:00:00"/>
    <n v="0"/>
    <n v="0"/>
    <x v="3"/>
    <d v="2009-09-18T00:00:00"/>
    <n v="0"/>
    <n v="0"/>
  </r>
  <r>
    <s v="13.2.3"/>
    <x v="9"/>
    <x v="4"/>
    <m/>
    <m/>
    <s v="Comment Viewer"/>
    <s v="Test and Release"/>
    <s v="Neil"/>
    <d v="2009-08-03T00:00:00"/>
    <n v="0"/>
    <n v="0"/>
    <x v="3"/>
    <d v="2009-09-18T00:00:00"/>
    <n v="0"/>
    <n v="0"/>
  </r>
  <r>
    <s v="06.2.2"/>
    <x v="9"/>
    <x v="4"/>
    <m/>
    <m/>
    <s v="Shared application components "/>
    <s v="GUI to manage config data"/>
    <s v="Neil"/>
    <d v="2009-04-21T00:00:00"/>
    <n v="0"/>
    <n v="0"/>
    <x v="3"/>
    <d v="2009-08-06T00:00:00"/>
    <n v="0"/>
    <n v="0"/>
  </r>
  <r>
    <s v="13.2.1"/>
    <x v="9"/>
    <x v="4"/>
    <m/>
    <m/>
    <s v="Comment Viewer"/>
    <s v="Test and Release"/>
    <s v="Neil"/>
    <d v="2009-07-31T00:00:00"/>
    <n v="0"/>
    <n v="0"/>
    <x v="3"/>
    <d v="2009-08-03T00:00:00"/>
    <n v="0"/>
    <n v="0"/>
  </r>
  <r>
    <s v="13.1"/>
    <x v="9"/>
    <x v="4"/>
    <m/>
    <m/>
    <s v="Comment Viewer"/>
    <s v="Initial Design and plan"/>
    <s v="Neil"/>
    <d v="2009-07-07T00:00:00"/>
    <n v="0"/>
    <n v="0"/>
    <x v="3"/>
    <d v="2009-07-31T00:00:00"/>
    <n v="0"/>
    <n v="0"/>
  </r>
  <r>
    <s v="08.08.1"/>
    <x v="9"/>
    <x v="4"/>
    <m/>
    <m/>
    <s v="Production Environment"/>
    <s v="Get familiar with ABSNetDataLoader"/>
    <s v="Neil"/>
    <d v="2009-06-29T00:00:00"/>
    <n v="0"/>
    <n v="0"/>
    <x v="3"/>
    <d v="2009-07-14T00:00:00"/>
    <n v="0"/>
    <n v="0"/>
  </r>
  <r>
    <s v="06.1.4"/>
    <x v="9"/>
    <x v="4"/>
    <m/>
    <m/>
    <s v="Shared application components "/>
    <s v="BUG - Log file limit"/>
    <s v="Pramendra"/>
    <d v="2009-06-17T00:00:00"/>
    <n v="0"/>
    <n v="0"/>
    <x v="3"/>
    <d v="2009-07-03T00:00:00"/>
    <n v="0"/>
    <n v="0"/>
  </r>
  <r>
    <s v="05.05.2"/>
    <x v="9"/>
    <x v="4"/>
    <m/>
    <m/>
    <s v="Loan level data"/>
    <s v="Add 8 'critical' fields to mapping sheet and database - See 5.5.1 - not needed"/>
    <s v="David Covey"/>
    <d v="2009-06-30T00:00:00"/>
    <n v="0"/>
    <n v="0"/>
    <x v="3"/>
    <d v="2009-06-11T00:00:00"/>
    <n v="0"/>
    <n v="0"/>
  </r>
  <r>
    <s v="03.6.2"/>
    <x v="9"/>
    <x v="4"/>
    <m/>
    <m/>
    <s v="Deal Analyser"/>
    <s v="Investigate and resolve issues with Italian and Dutch loans"/>
    <s v="David Covey"/>
    <d v="2009-05-27T00:00:00"/>
    <n v="0"/>
    <n v="0"/>
    <x v="3"/>
    <d v="2009-06-08T00:00:00"/>
    <n v="0"/>
    <n v="0"/>
  </r>
  <r>
    <s v="05.09"/>
    <x v="9"/>
    <x v="4"/>
    <m/>
    <m/>
    <s v="Loan level data"/>
    <s v="Refactor ESFData and move all loaders to trunk"/>
    <s v="Neil"/>
    <d v="2009-05-26T00:00:00"/>
    <n v="0"/>
    <n v="0"/>
    <x v="3"/>
    <d v="2009-06-08T00:00:00"/>
    <n v="0"/>
    <n v="0"/>
  </r>
  <r>
    <s v="05.10.1"/>
    <x v="9"/>
    <x v="4"/>
    <m/>
    <m/>
    <s v="Loan level data"/>
    <s v="Load Apr 09 Eurosail data"/>
    <s v="Neil"/>
    <d v="2009-06-02T00:00:00"/>
    <n v="0"/>
    <n v="0"/>
    <x v="3"/>
    <d v="2009-06-08T00:00:00"/>
    <n v="0"/>
    <n v="0"/>
  </r>
  <r>
    <s v="06.1.3"/>
    <x v="9"/>
    <x v="4"/>
    <m/>
    <m/>
    <s v="Shared application components "/>
    <s v="Minor Improvements to Logging class"/>
    <s v="Neil"/>
    <d v="2009-04-23T00:00:00"/>
    <n v="0"/>
    <n v="0"/>
    <x v="3"/>
    <d v="2009-05-26T00:00:00"/>
    <n v="0"/>
    <n v="0"/>
  </r>
  <r>
    <s v="06.1.2"/>
    <x v="9"/>
    <x v="4"/>
    <m/>
    <m/>
    <s v="Shared application components "/>
    <s v="Add usage of Config library to logger library"/>
    <s v="Neil"/>
    <d v="2009-04-08T00:00:00"/>
    <n v="0"/>
    <n v="0"/>
    <x v="3"/>
    <d v="2009-04-21T00:00:00"/>
    <n v="0"/>
    <n v="0"/>
  </r>
  <r>
    <s v="06.2.1"/>
    <x v="9"/>
    <x v="4"/>
    <m/>
    <m/>
    <s v="Shared application components "/>
    <s v="First Release of Config Library"/>
    <s v="Neil"/>
    <d v="2009-04-14T00:00:00"/>
    <n v="0"/>
    <n v="0"/>
    <x v="3"/>
    <d v="2009-04-21T00:00:00"/>
    <n v="0"/>
    <n v="0"/>
  </r>
  <r>
    <s v="11.2.27"/>
    <x v="10"/>
    <x v="6"/>
    <d v="2010-10-04T00:00:00"/>
    <m/>
    <s v="Admin"/>
    <s v="Renew Easysoft licenses"/>
    <s v="Neil"/>
    <d v="2010-09-14T00:00:00"/>
    <n v="1"/>
    <s v="Support"/>
    <x v="0"/>
    <d v="2010-10-01T00:00:00"/>
    <n v="5"/>
    <n v="42"/>
  </r>
  <r>
    <s v="08.01.7"/>
    <x v="10"/>
    <x v="6"/>
    <m/>
    <m/>
    <s v="Production Environment"/>
    <s v="SAS EG looses connections for Danny"/>
    <s v="Danny"/>
    <d v="2010-12-08T00:00:00"/>
    <n v="1"/>
    <s v="Support"/>
    <x v="0"/>
    <d v="2010-12-08T00:00:00"/>
    <n v="5"/>
    <n v="26"/>
  </r>
  <r>
    <s v="19.5.6"/>
    <x v="10"/>
    <x v="6"/>
    <m/>
    <m/>
    <s v="Support"/>
    <s v="Intex deals are out of date"/>
    <s v="Neil"/>
    <d v="2010-11-22T00:00:00"/>
    <n v="0.5"/>
    <s v="Support"/>
    <x v="0"/>
    <d v="2010-11-16T00:00:00"/>
    <n v="5"/>
    <n v="26"/>
  </r>
  <r>
    <s v="11.2.28"/>
    <x v="10"/>
    <x v="6"/>
    <m/>
    <m/>
    <s v="Admin"/>
    <s v="Meet up with Martin Price"/>
    <s v="Neil"/>
    <d v="2010-10-01T00:00:00"/>
    <n v="0.1"/>
    <s v="Other"/>
    <x v="1"/>
    <d v="2010-10-01T00:00:00"/>
    <n v="5"/>
    <n v="26"/>
  </r>
  <r>
    <s v="08.08.3"/>
    <x v="10"/>
    <x v="0"/>
    <m/>
    <m/>
    <s v="Production Environment"/>
    <s v="Figure out a better support approach for production"/>
    <s v="Neil"/>
    <d v="2010-12-09T00:00:00"/>
    <n v="1"/>
    <s v="Enhancement"/>
    <x v="1"/>
    <d v="2010-12-09T00:00:00"/>
    <n v="4"/>
    <n v="13"/>
  </r>
  <r>
    <s v="11.2.35"/>
    <x v="10"/>
    <x v="0"/>
    <m/>
    <m/>
    <s v="Admin"/>
    <s v="Get Intex 5.0.0.6 packaged and released"/>
    <s v="Zhuu"/>
    <d v="2010-12-08T00:00:00"/>
    <n v="1"/>
    <s v="Support"/>
    <x v="0"/>
    <d v="2010-12-08T00:00:00"/>
    <n v="4"/>
    <n v="13"/>
  </r>
  <r>
    <s v="11.2.34"/>
    <x v="10"/>
    <x v="0"/>
    <m/>
    <m/>
    <s v="Admin"/>
    <s v="Get ODBCConfig working again"/>
    <s v="Neil"/>
    <d v="2010-11-08T00:00:00"/>
    <n v="1"/>
    <s v="Support"/>
    <x v="0"/>
    <d v="2010-11-08T00:00:00"/>
    <n v="4"/>
    <n v="13"/>
  </r>
  <r>
    <s v="31.1.2"/>
    <x v="10"/>
    <x v="0"/>
    <m/>
    <m/>
    <s v="Daily Book Marking for MIS (AVR)"/>
    <s v="AVR: Design application"/>
    <s v="Neil"/>
    <d v="2010-11-01T00:00:00"/>
    <n v="2"/>
    <s v="NewDevelopment"/>
    <x v="1"/>
    <d v="2010-11-01T00:00:00"/>
    <n v="4"/>
    <n v="13"/>
  </r>
  <r>
    <s v="17.6"/>
    <x v="10"/>
    <x v="0"/>
    <m/>
    <m/>
    <s v="Trade Blotter"/>
    <s v="Need to use triggers to keep a back up of all data"/>
    <s v="Pramendra"/>
    <d v="2010-02-24T00:00:00"/>
    <n v="2"/>
    <s v="NewDevelopment"/>
    <x v="1"/>
    <d v="2010-10-26T00:00:00"/>
    <n v="4"/>
    <n v="13"/>
  </r>
  <r>
    <s v="11.2.16"/>
    <x v="10"/>
    <x v="0"/>
    <m/>
    <m/>
    <s v="Admin"/>
    <s v="Make peer reviews work."/>
    <s v="Neil"/>
    <d v="2010-04-06T00:00:00"/>
    <n v="2"/>
    <s v="NewDevelopment"/>
    <x v="0"/>
    <d v="2010-10-01T00:00:00"/>
    <n v="4"/>
    <n v="13"/>
  </r>
  <r>
    <s v="11.2.25"/>
    <x v="10"/>
    <x v="0"/>
    <m/>
    <m/>
    <s v="Admin"/>
    <s v="Make NSAM2 tickets work"/>
    <s v="Neil"/>
    <d v="2010-08-13T00:00:00"/>
    <n v="1"/>
    <s v="Other"/>
    <x v="0"/>
    <d v="2010-10-01T00:00:00"/>
    <n v="4"/>
    <n v="13"/>
  </r>
  <r>
    <s v="08.09.4"/>
    <x v="10"/>
    <x v="0"/>
    <m/>
    <m/>
    <s v="Production Environment"/>
    <s v="Get EasySoft ODBC drivers renewed"/>
    <s v="Neil"/>
    <d v="2010-09-17T00:00:00"/>
    <n v="1"/>
    <s v="Support"/>
    <x v="0"/>
    <d v="2010-09-17T00:00:00"/>
    <n v="4"/>
    <n v="13"/>
  </r>
  <r>
    <s v="10.4.1"/>
    <x v="10"/>
    <x v="0"/>
    <m/>
    <m/>
    <s v="Radial / Totoro / Other"/>
    <s v="Find appropriate mechanism to download BBG data"/>
    <s v="Neil"/>
    <d v="2010-04-19T00:00:00"/>
    <n v="2"/>
    <s v="Enhancement"/>
    <x v="0"/>
    <d v="2010-09-17T00:00:00"/>
    <n v="4"/>
    <n v="13"/>
  </r>
  <r>
    <s v="26.1.1"/>
    <x v="10"/>
    <x v="0"/>
    <m/>
    <m/>
    <s v="Bloomberg data feed"/>
    <s v="BBG Feed: Gather requirements"/>
    <s v="Neil"/>
    <d v="2010-09-17T00:00:00"/>
    <n v="5"/>
    <s v="NewDevelopment"/>
    <x v="0"/>
    <d v="2010-09-17T00:00:00"/>
    <n v="4"/>
    <n v="13"/>
  </r>
  <r>
    <s v="11.2.8"/>
    <x v="10"/>
    <x v="0"/>
    <m/>
    <m/>
    <s v="Admin"/>
    <s v="Management"/>
    <s v="Neil"/>
    <d v="2009-11-18T00:00:00"/>
    <n v="52"/>
    <s v="Support"/>
    <x v="5"/>
    <d v="2010-05-06T00:00:00"/>
    <n v="4"/>
    <n v="13"/>
  </r>
  <r>
    <s v="20.1.4"/>
    <x v="10"/>
    <x v="1"/>
    <m/>
    <m/>
    <s v="CMBS - TREPP"/>
    <s v="Take regular copies of Trepp download data"/>
    <s v="Neil"/>
    <d v="2010-06-08T00:00:00"/>
    <n v="1"/>
    <s v="NewDevelopment"/>
    <x v="1"/>
    <d v="2010-12-02T00:00:00"/>
    <n v="3"/>
    <n v="4"/>
  </r>
  <r>
    <s v="25.2.1"/>
    <x v="10"/>
    <x v="1"/>
    <m/>
    <m/>
    <s v="Markit"/>
    <s v="Market2: Requirements and Design"/>
    <s v="Neil"/>
    <d v="2010-11-09T00:00:00"/>
    <n v="1"/>
    <s v="NewDevelopment"/>
    <x v="1"/>
    <d v="2010-11-09T00:00:00"/>
    <n v="3"/>
    <n v="4"/>
  </r>
  <r>
    <s v="31.1.1"/>
    <x v="10"/>
    <x v="1"/>
    <m/>
    <m/>
    <s v="Daily Book Marking for MIS (AVR)"/>
    <s v="AVR: Gather requirements"/>
    <s v="Zhuu"/>
    <d v="2010-11-01T00:00:00"/>
    <n v="3"/>
    <s v="NewDevelopment"/>
    <x v="0"/>
    <d v="2010-11-01T00:00:00"/>
    <n v="3"/>
    <n v="4"/>
  </r>
  <r>
    <s v="06.4.2"/>
    <x v="10"/>
    <x v="1"/>
    <m/>
    <m/>
    <s v="Shared application components "/>
    <s v="Find a better way to populate C# objects from DB"/>
    <s v="Neil"/>
    <d v="2010-10-01T00:00:00"/>
    <n v="3"/>
    <s v="NewDevelopment"/>
    <x v="1"/>
    <d v="2010-10-01T00:00:00"/>
    <n v="3"/>
    <n v="4"/>
  </r>
  <r>
    <s v="21.5.5"/>
    <x v="10"/>
    <x v="1"/>
    <m/>
    <m/>
    <s v="Collateral Model"/>
    <s v="Model2Intex: Review Implementation"/>
    <s v="Neil"/>
    <d v="2010-07-02T00:00:00"/>
    <n v="1"/>
    <s v="NewDevelopment"/>
    <x v="1"/>
    <d v="2010-08-24T00:00:00"/>
    <n v="3"/>
    <n v="4"/>
  </r>
  <r>
    <s v="11.2.24"/>
    <x v="10"/>
    <x v="1"/>
    <m/>
    <m/>
    <s v="Admin"/>
    <s v="Get SAS Management Console Packaged"/>
    <s v="Neil"/>
    <d v="2010-07-30T00:00:00"/>
    <n v="1"/>
    <s v="Maintenance"/>
    <x v="0"/>
    <d v="2010-08-20T00:00:00"/>
    <n v="3"/>
    <n v="4"/>
  </r>
  <r>
    <s v="06.9.3"/>
    <x v="10"/>
    <x v="1"/>
    <m/>
    <m/>
    <s v="Shared application components "/>
    <s v="Implement a replacement for 'CommandLineParser' that is more robusts and logs the command line."/>
    <s v="Neil"/>
    <d v="2010-07-28T00:00:00"/>
    <n v="1"/>
    <s v="Enhancement"/>
    <x v="1"/>
    <d v="2010-07-28T00:00:00"/>
    <n v="3"/>
    <n v="4"/>
  </r>
  <r>
    <s v="06.9.2"/>
    <x v="10"/>
    <x v="1"/>
    <m/>
    <m/>
    <s v="Shared application components "/>
    <s v="Agree common terminology (and application level class/method names) for main application classes across all applications"/>
    <s v="Neil"/>
    <d v="2010-04-13T00:00:00"/>
    <n v="1"/>
    <s v="Enhancement"/>
    <x v="1"/>
    <d v="2010-05-10T00:00:00"/>
    <n v="3"/>
    <n v="4"/>
  </r>
  <r>
    <s v="17.9"/>
    <x v="10"/>
    <x v="1"/>
    <m/>
    <m/>
    <s v="Trade Blotter"/>
    <s v="Make C# application to keep trade blottter data tidy"/>
    <s v="Neil"/>
    <d v="2010-04-26T00:00:00"/>
    <n v="1"/>
    <m/>
    <x v="1"/>
    <d v="2010-04-26T00:00:00"/>
    <n v="3"/>
    <n v="4"/>
  </r>
  <r>
    <s v="10.3.4"/>
    <x v="10"/>
    <x v="1"/>
    <m/>
    <m/>
    <s v="Radial / Totoro / Other"/>
    <s v="Turn off feed to QDB"/>
    <s v="Neil"/>
    <d v="2010-05-06T00:00:00"/>
    <n v="2"/>
    <s v="Enhancement"/>
    <x v="0"/>
    <d v="2010-04-19T00:00:00"/>
    <n v="3"/>
    <n v="4"/>
  </r>
  <r>
    <s v="02.4.5"/>
    <x v="10"/>
    <x v="1"/>
    <m/>
    <m/>
    <s v="Intex"/>
    <s v="Intex Wrapper: Complete implementation"/>
    <s v="Neil"/>
    <d v="2010-02-09T00:00:00"/>
    <n v="10"/>
    <s v="NewDevelopment"/>
    <x v="1"/>
    <d v="2010-04-15T00:00:00"/>
    <n v="3"/>
    <n v="4"/>
  </r>
  <r>
    <s v="09.1.19"/>
    <x v="10"/>
    <x v="1"/>
    <m/>
    <m/>
    <s v="Nomura Now"/>
    <s v="Make spreads 'menu' part of the menu applications"/>
    <s v="Neil"/>
    <d v="2010-01-12T00:00:00"/>
    <n v="1"/>
    <s v="Enhancement"/>
    <x v="1"/>
    <d v="2010-04-15T00:00:00"/>
    <n v="3"/>
    <n v="4"/>
  </r>
  <r>
    <s v="20.1"/>
    <x v="10"/>
    <x v="1"/>
    <m/>
    <n v="1"/>
    <s v="CMBS - TREPP"/>
    <s v="Determine initial plan"/>
    <s v="David Covey"/>
    <d v="2009-11-03T00:00:00"/>
    <n v="2"/>
    <s v="NewDevelopment"/>
    <x v="0"/>
    <d v="2010-04-15T00:00:00"/>
    <n v="3"/>
    <n v="4"/>
  </r>
  <r>
    <s v="11.2.36"/>
    <x v="10"/>
    <x v="1"/>
    <m/>
    <m/>
    <s v="Admin"/>
    <s v="Get PurifyPlus packaged"/>
    <s v="Neil"/>
    <d v="2010-12-09T00:00:00"/>
    <n v="1"/>
    <s v="Other"/>
    <x v="0"/>
    <d v="2010-03-09T00:00:00"/>
    <n v="3"/>
    <n v="4"/>
  </r>
  <r>
    <s v="30.1.3"/>
    <x v="10"/>
    <x v="1"/>
    <m/>
    <m/>
    <s v="Trader Runs to Bloomberg"/>
    <s v="Fixes to OpeningRuns App"/>
    <s v="Zhuu"/>
    <d v="2010-12-07T00:00:00"/>
    <n v="1"/>
    <s v="Maintenance"/>
    <x v="1"/>
    <d v="2010-03-09T00:00:00"/>
    <n v="3"/>
    <n v="4"/>
  </r>
  <r>
    <s v="32.1.2"/>
    <x v="10"/>
    <x v="1"/>
    <m/>
    <m/>
    <s v="Mid/Back office data source"/>
    <s v="Produce detailed plan"/>
    <s v="David"/>
    <d v="2010-12-07T00:00:00"/>
    <n v="2"/>
    <s v="Other"/>
    <x v="1"/>
    <d v="2010-03-09T00:00:00"/>
    <n v="3"/>
    <n v="4"/>
  </r>
  <r>
    <s v="07.1.3"/>
    <x v="10"/>
    <x v="1"/>
    <m/>
    <m/>
    <s v="Development Environment"/>
    <s v="Make trunk build cleanly with CodeBaseChecker"/>
    <s v="Nei"/>
    <d v="2010-12-08T00:00:00"/>
    <n v="5"/>
    <s v="Maintenance"/>
    <x v="0"/>
    <d v="2009-04-07T00:00:00"/>
    <n v="3"/>
    <n v="4"/>
  </r>
  <r>
    <s v="05.21.5"/>
    <x v="10"/>
    <x v="2"/>
    <m/>
    <m/>
    <s v="Loan level data"/>
    <s v="LoanHandling: Modify RMAC loader to use C1 Excel component"/>
    <s v="Neil"/>
    <d v="2010-07-29T00:00:00"/>
    <n v="3"/>
    <s v="NewDevelopment"/>
    <x v="1"/>
    <d v="2010-11-01T00:00:00"/>
    <n v="2"/>
    <n v="3"/>
  </r>
  <r>
    <s v="05.21.9"/>
    <x v="10"/>
    <x v="2"/>
    <m/>
    <m/>
    <s v="Loan level data"/>
    <s v="LoanHandling: ESAIL loader change, review,release"/>
    <s v="Pramendra"/>
    <d v="2010-09-08T00:00:00"/>
    <n v="3"/>
    <s v="Maintenance"/>
    <x v="1"/>
    <d v="2010-11-01T00:00:00"/>
    <n v="2"/>
    <n v="3"/>
  </r>
  <r>
    <s v="01.3.10"/>
    <x v="10"/>
    <x v="2"/>
    <m/>
    <m/>
    <s v="Deals Database"/>
    <s v="Fully populate deals/bonds/cashflows"/>
    <s v="David"/>
    <d v="2009-12-21T00:00:00"/>
    <n v="10"/>
    <s v="Other"/>
    <x v="0"/>
    <d v="2010-04-15T00:00:00"/>
    <n v="2"/>
    <n v="3"/>
  </r>
  <r>
    <s v="10.1.6"/>
    <x v="10"/>
    <x v="2"/>
    <m/>
    <m/>
    <s v="Radial / Totoro / Other"/>
    <s v="Keep an eye on blank values in Radial Bond Pricer Pos"/>
    <s v="Neil"/>
    <d v="2009-05-15T00:00:00"/>
    <n v="0.5"/>
    <s v="Support"/>
    <x v="5"/>
    <d v="2010-03-17T00:00:00"/>
    <n v="2"/>
    <n v="3"/>
  </r>
  <r>
    <s v="07.5.14"/>
    <x v="10"/>
    <x v="2"/>
    <m/>
    <m/>
    <s v="Development Environment"/>
    <s v="Move to Firm SVN repository rather than Radial"/>
    <s v="Neil"/>
    <d v="2010-12-09T00:00:00"/>
    <n v="5"/>
    <s v="Maintenance"/>
    <x v="1"/>
    <d v="2010-03-09T00:00:00"/>
    <n v="2"/>
    <n v="3"/>
  </r>
  <r>
    <s v="07.1.1"/>
    <x v="10"/>
    <x v="4"/>
    <m/>
    <m/>
    <s v="Development Environment"/>
    <s v="Use, scripted, daily build mechanism for 'trunk'"/>
    <s v="Neil"/>
    <d v="2010-08-20T00:00:00"/>
    <n v="3"/>
    <s v="Enhancement"/>
    <x v="3"/>
    <d v="2010-12-08T00:00:00"/>
    <n v="0"/>
    <n v="1"/>
  </r>
  <r>
    <s v="07.5.8"/>
    <x v="10"/>
    <x v="5"/>
    <m/>
    <m/>
    <s v="Development Environment"/>
    <s v="Extend Release Manager for Review branches"/>
    <s v="Neil"/>
    <d v="2010-10-01T00:00:00"/>
    <n v="2"/>
    <s v="Enhancement"/>
    <x v="4"/>
    <d v="2010-12-08T00:00:00"/>
    <n v="0"/>
    <n v="1"/>
  </r>
  <r>
    <s v="10.1.8"/>
    <x v="10"/>
    <x v="5"/>
    <m/>
    <m/>
    <s v="Radial / Totoro / Other"/>
    <s v="Radial Bloomberg Bridge historic rate requests"/>
    <s v="Neil"/>
    <d v="2009-12-21T00:00:00"/>
    <n v="2"/>
    <s v="Enhancement"/>
    <x v="4"/>
    <d v="2010-12-08T00:00:00"/>
    <n v="0"/>
    <n v="1"/>
  </r>
  <r>
    <s v="11.4.1a"/>
    <x v="10"/>
    <x v="4"/>
    <m/>
    <m/>
    <s v="Admin"/>
    <s v="NoHo Migration: Develop plan"/>
    <s v="Neil"/>
    <d v="2010-09-17T00:00:00"/>
    <n v="2"/>
    <s v="Support"/>
    <x v="3"/>
    <d v="2010-12-08T00:00:00"/>
    <n v="0"/>
    <n v="1"/>
  </r>
  <r>
    <s v="11.4.3"/>
    <x v="10"/>
    <x v="4"/>
    <m/>
    <m/>
    <s v="Admin"/>
    <s v="NoHo Migration: Project Office Tasks"/>
    <s v="Neil"/>
    <d v="2010-10-14T00:00:00"/>
    <n v="5"/>
    <s v="Maintenance"/>
    <x v="3"/>
    <d v="2010-12-08T00:00:00"/>
    <n v="0"/>
    <n v="1"/>
  </r>
  <r>
    <s v="11.4.4"/>
    <x v="10"/>
    <x v="4"/>
    <m/>
    <m/>
    <s v="Admin"/>
    <s v="NoHo Migration: DR test before migration"/>
    <s v="Neil"/>
    <d v="2010-10-14T00:00:00"/>
    <n v="5"/>
    <s v="Support"/>
    <x v="3"/>
    <d v="2010-12-08T00:00:00"/>
    <n v="0"/>
    <n v="1"/>
  </r>
  <r>
    <s v="30.1.2"/>
    <x v="10"/>
    <x v="4"/>
    <m/>
    <m/>
    <s v="Trader Runs to Bloomberg"/>
    <s v="SaveOpeningRuns: Build app to save runs from email"/>
    <s v="Zhuu"/>
    <d v="2010-11-01T00:00:00"/>
    <n v="2"/>
    <s v="NewDevelopment"/>
    <x v="3"/>
    <d v="2010-12-07T00:00:00"/>
    <n v="0"/>
    <n v="1"/>
  </r>
  <r>
    <s v="01.2.47"/>
    <x v="10"/>
    <x v="4"/>
    <m/>
    <m/>
    <s v="Deals Database"/>
    <s v="Investigate BBG gateway retries"/>
    <s v="Neil"/>
    <d v="2010-06-10T00:00:00"/>
    <n v="1"/>
    <s v="Maintenance"/>
    <x v="3"/>
    <d v="2010-12-02T00:00:00"/>
    <n v="0"/>
    <n v="1"/>
  </r>
  <r>
    <s v="01.2.49"/>
    <x v="10"/>
    <x v="4"/>
    <m/>
    <m/>
    <s v="Deals Database"/>
    <s v="Use BBG Dynamic cashflows"/>
    <s v="Zhuu"/>
    <d v="2010-10-01T00:00:00"/>
    <n v="3"/>
    <s v="Enhancement"/>
    <x v="3"/>
    <d v="2010-12-02T00:00:00"/>
    <n v="0"/>
    <n v="1"/>
  </r>
  <r>
    <s v="01.2.50"/>
    <x v="10"/>
    <x v="4"/>
    <m/>
    <m/>
    <s v="Deals Database"/>
    <s v="Fix bugs for Ajay"/>
    <s v="Ajay"/>
    <d v="2010-10-08T00:00:00"/>
    <n v="1"/>
    <s v="Maintenance"/>
    <x v="3"/>
    <d v="2010-12-02T00:00:00"/>
    <n v="0"/>
    <n v="1"/>
  </r>
  <r>
    <s v="01.2.51"/>
    <x v="10"/>
    <x v="4"/>
    <m/>
    <m/>
    <s v="Deals Database"/>
    <s v="Cashflow generator to not report errors on bonds where the current factor is now zero, and to send them to radial."/>
    <s v="Neil"/>
    <d v="2010-10-18T00:00:00"/>
    <n v="1"/>
    <s v="Enhancement"/>
    <x v="3"/>
    <d v="2010-12-02T00:00:00"/>
    <n v="0"/>
    <n v="1"/>
  </r>
  <r>
    <s v="01.2.52"/>
    <x v="10"/>
    <x v="4"/>
    <m/>
    <m/>
    <s v="Deals Database"/>
    <s v="Cashflow generator should not report warning when everything is fine"/>
    <s v="Neil"/>
    <d v="2010-10-18T00:00:00"/>
    <n v="1"/>
    <s v="Enhancement"/>
    <x v="3"/>
    <d v="2010-12-02T00:00:00"/>
    <n v="0"/>
    <n v="1"/>
  </r>
  <r>
    <s v="01.2.54"/>
    <x v="10"/>
    <x v="4"/>
    <m/>
    <m/>
    <s v="Deals Database"/>
    <s v="Add Cashflow generation source field for each bond"/>
    <s v="Neil"/>
    <d v="2010-11-26T00:00:00"/>
    <n v="1"/>
    <s v="NewDevelopment"/>
    <x v="3"/>
    <d v="2010-12-02T00:00:00"/>
    <n v="0"/>
    <n v="1"/>
  </r>
  <r>
    <s v="01.2.55"/>
    <x v="10"/>
    <x v="4"/>
    <m/>
    <m/>
    <s v="Deals Database"/>
    <s v="Add 'OriginalPaymentPriority’ for each bond"/>
    <s v="Neil"/>
    <d v="2010-11-26T00:00:00"/>
    <n v="1"/>
    <s v="NewDevelopment"/>
    <x v="3"/>
    <d v="2010-12-02T00:00:00"/>
    <n v="0"/>
    <n v="1"/>
  </r>
  <r>
    <s v="01.2.56"/>
    <x v="10"/>
    <x v="4"/>
    <m/>
    <m/>
    <s v="Deals Database"/>
    <s v="Add Warning when saving a bond if FX rate is not set"/>
    <s v="Ajay"/>
    <d v="2010-11-25T00:00:00"/>
    <n v="0.5"/>
    <s v="NewDevelopment"/>
    <x v="3"/>
    <d v="2010-12-02T00:00:00"/>
    <n v="0"/>
    <n v="1"/>
  </r>
  <r>
    <s v="02.6.2"/>
    <x v="10"/>
    <x v="4"/>
    <m/>
    <m/>
    <s v="Intex"/>
    <s v="CFGen: Spec out requirements for using Intex Bond Cfs"/>
    <s v="Zhuu"/>
    <d v="2010-05-12T00:00:00"/>
    <n v="2"/>
    <s v="NewDevelopment"/>
    <x v="3"/>
    <d v="2010-12-02T00:00:00"/>
    <n v="0"/>
    <n v="1"/>
  </r>
  <r>
    <s v="02.6.3"/>
    <x v="10"/>
    <x v="4"/>
    <m/>
    <m/>
    <s v="Intex"/>
    <s v="CFGen: Design and build 1st implementation"/>
    <s v="Neil"/>
    <d v="2010-05-12T00:00:00"/>
    <n v="5"/>
    <s v="NewDevelopment"/>
    <x v="3"/>
    <d v="2010-12-02T00:00:00"/>
    <n v="0"/>
    <n v="1"/>
  </r>
  <r>
    <s v="02.6.4"/>
    <x v="10"/>
    <x v="4"/>
    <m/>
    <m/>
    <s v="Intex"/>
    <s v="CFGen: Review and agree implementation"/>
    <s v="Neil"/>
    <d v="2010-05-12T00:00:00"/>
    <n v="2"/>
    <s v="NewDevelopment"/>
    <x v="3"/>
    <d v="2010-12-02T00:00:00"/>
    <n v="0"/>
    <n v="1"/>
  </r>
  <r>
    <s v="02.6.5"/>
    <x v="10"/>
    <x v="4"/>
    <m/>
    <m/>
    <s v="Intex"/>
    <s v="CFGen: Complete first implementation"/>
    <s v="Neil"/>
    <d v="2010-05-12T00:00:00"/>
    <n v="10"/>
    <s v="NewDevelopment"/>
    <x v="3"/>
    <d v="2010-12-02T00:00:00"/>
    <n v="0"/>
    <n v="1"/>
  </r>
  <r>
    <s v="02.6.6"/>
    <x v="10"/>
    <x v="4"/>
    <m/>
    <m/>
    <s v="Intex"/>
    <s v="CFGen: Test in QA"/>
    <s v="Neil"/>
    <d v="2010-05-12T00:00:00"/>
    <n v="5"/>
    <s v="NewDevelopment"/>
    <x v="3"/>
    <d v="2010-12-02T00:00:00"/>
    <n v="0"/>
    <n v="1"/>
  </r>
  <r>
    <s v="02.6.7"/>
    <x v="10"/>
    <x v="4"/>
    <d v="2010-09-25T00:00:00"/>
    <m/>
    <s v="Intex"/>
    <s v="CFGen: Stand alone version for Aus RMBS"/>
    <s v="Neil"/>
    <d v="2010-09-17T00:00:00"/>
    <n v="3"/>
    <s v="NewDevelopment"/>
    <x v="3"/>
    <d v="2010-12-02T00:00:00"/>
    <n v="0"/>
    <n v="1"/>
  </r>
  <r>
    <s v="06.13.2"/>
    <x v="10"/>
    <x v="4"/>
    <m/>
    <m/>
    <s v="Shared application components "/>
    <s v="Remove exception class 'ABSFingalProxyWrapperException'"/>
    <s v="Neil"/>
    <d v="2010-11-02T00:00:00"/>
    <n v="0.5"/>
    <s v="Enhancement"/>
    <x v="3"/>
    <d v="2010-12-02T00:00:00"/>
    <n v="0"/>
    <n v="1"/>
  </r>
  <r>
    <s v="06.9.5"/>
    <x v="10"/>
    <x v="4"/>
    <m/>
    <m/>
    <s v="Shared application components "/>
    <s v="Modify Environment Helper so that is returns an enum for the environment (throws if it is ambiguous), also a new method to return the EnvironmentDescription as a string."/>
    <s v="Neil"/>
    <d v="2010-11-23T00:00:00"/>
    <n v="1"/>
    <s v="Enhancement"/>
    <x v="3"/>
    <d v="2010-11-23T00:00:00"/>
    <n v="0"/>
    <n v="0"/>
  </r>
  <r>
    <s v="25.1.1"/>
    <x v="10"/>
    <x v="4"/>
    <d v="2010-09-13T00:00:00"/>
    <m/>
    <s v="Markit"/>
    <s v="Market1: Understand requirements"/>
    <s v="Neil"/>
    <d v="2010-09-08T00:00:00"/>
    <n v="1"/>
    <s v="NewDevelopment"/>
    <x v="3"/>
    <d v="2010-11-09T00:00:00"/>
    <n v="0"/>
    <n v="0"/>
  </r>
  <r>
    <s v="25.1.2"/>
    <x v="10"/>
    <x v="4"/>
    <d v="2010-09-17T00:00:00"/>
    <m/>
    <s v="Markit"/>
    <s v="Market1: Design"/>
    <s v="Neil"/>
    <d v="2010-09-08T00:00:00"/>
    <n v="1"/>
    <s v="NewDevelopment"/>
    <x v="3"/>
    <d v="2010-11-09T00:00:00"/>
    <n v="0"/>
    <n v="0"/>
  </r>
  <r>
    <s v="05.21.8"/>
    <x v="10"/>
    <x v="4"/>
    <m/>
    <m/>
    <s v="Loan level data"/>
    <s v="LoanHandling: RMAC loader change, review,release"/>
    <s v="Pramendra"/>
    <d v="2010-09-08T00:00:00"/>
    <n v="3"/>
    <s v="Maintenance"/>
    <x v="3"/>
    <d v="2010-11-01T00:00:00"/>
    <n v="0"/>
    <n v="0"/>
  </r>
  <r>
    <s v="17.10.5"/>
    <x v="10"/>
    <x v="4"/>
    <m/>
    <m/>
    <s v="Trade Blotter"/>
    <s v="Blotter: Add CoverPx functionality"/>
    <s v="Neil"/>
    <d v="2010-11-01T00:00:00"/>
    <n v="2"/>
    <s v="Enhancement"/>
    <x v="3"/>
    <d v="2010-11-01T00:00:00"/>
    <n v="0"/>
    <n v="0"/>
  </r>
  <r>
    <s v="21.5.3"/>
    <x v="10"/>
    <x v="4"/>
    <d v="2010-08-27T00:00:00"/>
    <m/>
    <s v="Collateral Model"/>
    <s v="Model2Intex: Review Design"/>
    <s v="Neil"/>
    <d v="2010-07-02T00:00:00"/>
    <n v="1"/>
    <s v="NewDevelopment"/>
    <x v="3"/>
    <d v="2010-11-01T00:00:00"/>
    <n v="0"/>
    <n v="0"/>
  </r>
  <r>
    <s v="30.1.1"/>
    <x v="10"/>
    <x v="4"/>
    <m/>
    <m/>
    <s v="Trader Runs to Bloomberg"/>
    <s v="SaveOpeningRuns: Gather requirements"/>
    <s v="Zhuu"/>
    <d v="2010-11-01T00:00:00"/>
    <n v="1"/>
    <s v="NewDevelopment"/>
    <x v="3"/>
    <d v="2010-11-01T00:00:00"/>
    <n v="0"/>
    <n v="0"/>
  </r>
  <r>
    <s v="17.10.2"/>
    <x v="10"/>
    <x v="4"/>
    <m/>
    <m/>
    <s v="Trade Blotter"/>
    <s v="Fix (or remove) 'Bonds not in DB' report"/>
    <s v="Paresh"/>
    <d v="2010-09-22T00:00:00"/>
    <n v="1"/>
    <s v="Enhancement"/>
    <x v="3"/>
    <d v="2010-10-06T00:00:00"/>
    <n v="0"/>
    <n v="0"/>
  </r>
  <r>
    <s v="21.3.5"/>
    <x v="10"/>
    <x v="4"/>
    <d v="2010-08-20T00:00:00"/>
    <m/>
    <s v="Collateral Model"/>
    <s v="ModelCashflows: Review Implementation"/>
    <s v="Neil"/>
    <d v="2010-06-24T00:00:00"/>
    <n v="1"/>
    <s v="NewDevelopment"/>
    <x v="3"/>
    <d v="2010-10-06T00:00:00"/>
    <n v="0"/>
    <n v="0"/>
  </r>
  <r>
    <s v="10.5.3"/>
    <x v="10"/>
    <x v="4"/>
    <m/>
    <m/>
    <s v="Radial / Totoro / Other"/>
    <s v="BBG Rates: Design Review"/>
    <s v="Neil"/>
    <d v="2010-09-08T00:00:00"/>
    <n v="1"/>
    <s v="NewDevelopment"/>
    <x v="3"/>
    <d v="2010-10-01T00:00:00"/>
    <n v="0"/>
    <n v="0"/>
  </r>
  <r>
    <s v="07.1.2"/>
    <x v="10"/>
    <x v="4"/>
    <m/>
    <m/>
    <s v="Development Environment"/>
    <s v="Gather dependancy information"/>
    <s v="Neil"/>
    <d v="2010-08-20T00:00:00"/>
    <n v="1"/>
    <s v="Enhancement"/>
    <x v="3"/>
    <d v="2010-09-17T00:00:00"/>
    <n v="0"/>
    <n v="0"/>
  </r>
  <r>
    <s v="13.2.7"/>
    <x v="10"/>
    <x v="4"/>
    <d v="2010-09-12T00:00:00"/>
    <m/>
    <s v="Comment Viewer"/>
    <s v="Make Comment Date and Author visible on the comment window itself."/>
    <s v="David Covey"/>
    <d v="2010-06-03T00:00:00"/>
    <n v="1"/>
    <s v="Enhancement"/>
    <x v="3"/>
    <d v="2010-09-17T00:00:00"/>
    <n v="0"/>
    <n v="0"/>
  </r>
  <r>
    <s v="06.10.3"/>
    <x v="10"/>
    <x v="4"/>
    <d v="2010-07-05T00:00:00"/>
    <m/>
    <s v="Shared application components "/>
    <s v="PerformanceDataLib: Review"/>
    <s v="Ruth"/>
    <d v="2010-07-28T00:00:00"/>
    <n v="1"/>
    <s v="NewDevelopment"/>
    <x v="3"/>
    <d v="2010-08-24T00:00:00"/>
    <n v="0"/>
    <n v="0"/>
  </r>
  <r>
    <s v="07.5.7"/>
    <x v="10"/>
    <x v="4"/>
    <m/>
    <m/>
    <s v="Development Environment"/>
    <s v="Find a good way to patch applications reliably"/>
    <s v="Neil"/>
    <d v="2010-07-28T00:00:00"/>
    <n v="2"/>
    <s v="Enhancement"/>
    <x v="3"/>
    <d v="2010-08-20T00:00:00"/>
    <n v="0"/>
    <n v="0"/>
  </r>
  <r>
    <s v="11.2.26"/>
    <x v="10"/>
    <x v="4"/>
    <m/>
    <m/>
    <s v="Admin"/>
    <s v="Ensure sufficient documentation for all apps"/>
    <s v="Neil"/>
    <d v="2010-08-16T00:00:00"/>
    <n v="2"/>
    <s v="Enhancement"/>
    <x v="3"/>
    <d v="2010-08-20T00:00:00"/>
    <n v="0"/>
    <n v="0"/>
  </r>
  <r>
    <s v="05.17.2"/>
    <x v="10"/>
    <x v="5"/>
    <d v="2010-06-05T00:00:00"/>
    <m/>
    <s v="Loan level data"/>
    <s v="Re-implement raw data aggregation - duplicate (5.17.3)"/>
    <s v="Danny"/>
    <d v="2010-08-16T00:00:00"/>
    <n v="2"/>
    <s v="Enhancement"/>
    <x v="4"/>
    <d v="2010-08-16T00:00:00"/>
    <n v="0"/>
    <n v="0"/>
  </r>
  <r>
    <s v="11.2.15"/>
    <x v="10"/>
    <x v="4"/>
    <m/>
    <m/>
    <s v="Admin"/>
    <s v="Get more UNIX disk space"/>
    <s v="Danny"/>
    <d v="2010-03-08T00:00:00"/>
    <n v="2"/>
    <s v="Enhancement"/>
    <x v="3"/>
    <d v="2010-08-16T00:00:00"/>
    <n v="0"/>
    <n v="0"/>
  </r>
  <r>
    <s v="11.2.5"/>
    <x v="10"/>
    <x v="4"/>
    <m/>
    <m/>
    <s v="Admin"/>
    <s v="Get dedicated PC for Danny"/>
    <s v="Danny"/>
    <d v="2009-08-28T00:00:00"/>
    <n v="0.5"/>
    <s v="Enhancement"/>
    <x v="3"/>
    <d v="2010-08-16T00:00:00"/>
    <n v="0"/>
    <n v="0"/>
  </r>
  <r>
    <s v="06.3.3"/>
    <x v="10"/>
    <x v="4"/>
    <m/>
    <m/>
    <s v="Shared application components "/>
    <s v="Make DealsDbOOLayer easier to use in applications"/>
    <s v="Neil"/>
    <d v="2010-07-09T00:00:00"/>
    <n v="2"/>
    <s v="NewDevelopment"/>
    <x v="3"/>
    <d v="2010-08-10T00:00:00"/>
    <n v="0"/>
    <n v="0"/>
  </r>
  <r>
    <s v="06.11.1"/>
    <x v="10"/>
    <x v="4"/>
    <m/>
    <m/>
    <s v="Shared application components "/>
    <s v="Develop SVN client library"/>
    <s v="Neil"/>
    <d v="2010-07-06T00:00:00"/>
    <n v="2"/>
    <s v="NewDevelopment"/>
    <x v="3"/>
    <d v="2010-07-27T00:00:00"/>
    <n v="0"/>
    <n v="0"/>
  </r>
  <r>
    <s v="07.5.3"/>
    <x v="10"/>
    <x v="4"/>
    <m/>
    <m/>
    <s v="Development Environment"/>
    <s v="Review and acquire VS productivity tools"/>
    <s v="Pramendra"/>
    <d v="2010-04-19T00:00:00"/>
    <n v="1"/>
    <s v="Enhancement"/>
    <x v="3"/>
    <d v="2010-07-27T00:00:00"/>
    <n v="0"/>
    <n v="0"/>
  </r>
  <r>
    <s v="11.2.20"/>
    <x v="10"/>
    <x v="4"/>
    <d v="2010-06-01T00:00:00"/>
    <m/>
    <s v="Admin"/>
    <s v="Get Sreevani all set up"/>
    <s v="Neil"/>
    <d v="2010-05-20T00:00:00"/>
    <n v="0.5"/>
    <s v="NewDevelopment"/>
    <x v="3"/>
    <d v="2010-07-15T00:00:00"/>
    <n v="0"/>
    <n v="0"/>
  </r>
  <r>
    <s v="05.05.5"/>
    <x v="10"/>
    <x v="4"/>
    <d v="2010-06-30T00:00:00"/>
    <m/>
    <s v="Loan level data"/>
    <s v="Add two more fields to ESF_Static"/>
    <s v="Neil"/>
    <d v="2010-06-23T00:00:00"/>
    <n v="0"/>
    <s v="NewDevelopment"/>
    <x v="3"/>
    <d v="2010-07-05T00:00:00"/>
    <n v="0"/>
    <n v="0"/>
  </r>
  <r>
    <s v="09.7.1"/>
    <x v="10"/>
    <x v="4"/>
    <d v="2010-06-10T00:00:00"/>
    <m/>
    <s v="Nomura Now"/>
    <s v="Implement SP to provide bond level prices and analytics"/>
    <s v="Gerald"/>
    <d v="2010-05-21T00:00:00"/>
    <n v="1"/>
    <s v="NewDevelopment"/>
    <x v="3"/>
    <d v="2010-07-05T00:00:00"/>
    <n v="0"/>
    <n v="0"/>
  </r>
  <r>
    <s v="11.3.1"/>
    <x v="10"/>
    <x v="4"/>
    <m/>
    <n v="1"/>
    <s v="Admin"/>
    <s v="SAS Server move"/>
    <s v="Neil"/>
    <d v="2010-01-14T00:00:00"/>
    <n v="2"/>
    <s v="NewDevelopment"/>
    <x v="3"/>
    <d v="2010-07-05T00:00:00"/>
    <n v="0"/>
    <n v="0"/>
  </r>
  <r>
    <s v="16.11.1"/>
    <x v="10"/>
    <x v="4"/>
    <d v="2010-07-05T00:00:00"/>
    <m/>
    <s v="Macro Economic Data"/>
    <s v="ES Repo Rates: Build and release simple app to download files"/>
    <s v="Friedel"/>
    <d v="2010-07-29T00:00:00"/>
    <n v="1"/>
    <s v="NewDevelopment"/>
    <x v="3"/>
    <d v="2010-07-05T00:00:00"/>
    <n v="0"/>
    <n v="0"/>
  </r>
  <r>
    <s v="11.2.23"/>
    <x v="10"/>
    <x v="4"/>
    <d v="2010-06-28T00:00:00"/>
    <m/>
    <s v="Admin"/>
    <s v="All non WIG goals agreed by all team members and Neil and Yogesh"/>
    <s v="Neil"/>
    <d v="2010-06-24T00:00:00"/>
    <n v="1"/>
    <s v="Other"/>
    <x v="3"/>
    <d v="2010-07-02T00:00:00"/>
    <n v="0"/>
    <n v="0"/>
  </r>
  <r>
    <s v="21.5.1"/>
    <x v="10"/>
    <x v="4"/>
    <d v="2010-07-02T00:00:00"/>
    <m/>
    <s v="Collateral Model"/>
    <s v="Model2Intex: Define requirements"/>
    <s v="Neil"/>
    <d v="2010-07-02T00:00:00"/>
    <n v="0.5"/>
    <s v="NewDevelopment"/>
    <x v="3"/>
    <d v="2010-07-02T00:00:00"/>
    <n v="0"/>
    <n v="0"/>
  </r>
  <r>
    <s v="07.5.4"/>
    <x v="10"/>
    <x v="4"/>
    <d v="2010-06-28T00:00:00"/>
    <m/>
    <s v="Development Environment"/>
    <s v="Find better way to tag libraries"/>
    <s v="Neil"/>
    <d v="2010-04-20T00:00:00"/>
    <n v="3"/>
    <s v="Enhancement"/>
    <x v="3"/>
    <d v="2010-07-01T00:00:00"/>
    <n v="0"/>
    <n v="0"/>
  </r>
  <r>
    <s v="11.2.21"/>
    <x v="10"/>
    <x v="4"/>
    <d v="2010-06-01T00:00:00"/>
    <m/>
    <s v="Admin"/>
    <s v="Get London visit organised"/>
    <s v="Neil"/>
    <d v="2010-05-21T00:00:00"/>
    <n v="0.5"/>
    <s v="Other"/>
    <x v="3"/>
    <d v="2010-06-28T00:00:00"/>
    <n v="0"/>
    <n v="0"/>
  </r>
  <r>
    <s v="11.2.2"/>
    <x v="10"/>
    <x v="4"/>
    <m/>
    <m/>
    <s v="Admin"/>
    <s v="Configure SAS backup server"/>
    <s v="Neil"/>
    <d v="2009-07-09T00:00:00"/>
    <n v="2"/>
    <s v="NewDevelopment"/>
    <x v="3"/>
    <d v="2010-06-23T00:00:00"/>
    <n v="0"/>
    <n v="0"/>
  </r>
  <r>
    <s v="05.11.4"/>
    <x v="10"/>
    <x v="4"/>
    <d v="2010-06-05T00:00:00"/>
    <m/>
    <s v="Loan level data"/>
    <s v="Update LEEK mapping for changes by Danny"/>
    <s v="Danny"/>
    <d v="2010-01-22T00:00:00"/>
    <n v="1"/>
    <s v="Enhancement"/>
    <x v="3"/>
    <d v="2010-06-03T00:00:00"/>
    <n v="0"/>
    <n v="0"/>
  </r>
  <r>
    <s v="05.07.4"/>
    <x v="10"/>
    <x v="4"/>
    <d v="2010-05-07T00:00:00"/>
    <m/>
    <s v="Loan level data"/>
    <s v="Modify mappings for REM_TERM across many issuers"/>
    <s v="Danny"/>
    <d v="2010-05-06T00:00:00"/>
    <n v="1"/>
    <s v="Enhancement"/>
    <x v="3"/>
    <d v="2010-06-02T00:00:00"/>
    <n v="0"/>
    <n v="0"/>
  </r>
  <r>
    <s v="02.6.1"/>
    <x v="10"/>
    <x v="4"/>
    <d v="2010-06-01T00:00:00"/>
    <m/>
    <s v="Intex"/>
    <s v="CFGen: Complete Prototype Implementation with Wrapped API and document"/>
    <s v="Neil"/>
    <d v="2010-05-27T00:00:00"/>
    <n v="3"/>
    <s v="NewDevelopment"/>
    <x v="3"/>
    <d v="2010-06-01T00:00:00"/>
    <n v="0"/>
    <n v="0"/>
  </r>
  <r>
    <s v="11.2.10"/>
    <x v="10"/>
    <x v="4"/>
    <m/>
    <n v="1"/>
    <s v="Admin"/>
    <s v="Renew SAS License"/>
    <s v="Neil"/>
    <d v="2010-01-14T00:00:00"/>
    <n v="1"/>
    <s v="Other"/>
    <x v="3"/>
    <d v="2010-05-27T00:00:00"/>
    <n v="0"/>
    <n v="0"/>
  </r>
  <r>
    <s v="02.1.2"/>
    <x v="10"/>
    <x v="4"/>
    <m/>
    <m/>
    <s v="Intex"/>
    <s v="Figure out design to drive cashflows from CPRs etc."/>
    <s v="David Covey"/>
    <d v="2009-04-23T00:00:00"/>
    <n v="4"/>
    <s v="NewDevelopment"/>
    <x v="3"/>
    <d v="2010-05-12T00:00:00"/>
    <n v="0"/>
    <n v="0"/>
  </r>
  <r>
    <s v="02.4.3"/>
    <x v="10"/>
    <x v="4"/>
    <m/>
    <n v="1"/>
    <s v="Intex"/>
    <s v="Intex Wrapper: First core implementation"/>
    <s v="Neil"/>
    <d v="2010-02-09T00:00:00"/>
    <n v="5"/>
    <s v="NewDevelopment"/>
    <x v="3"/>
    <d v="2010-05-12T00:00:00"/>
    <n v="0"/>
    <n v="0"/>
  </r>
  <r>
    <s v="02.5.1"/>
    <x v="10"/>
    <x v="4"/>
    <m/>
    <m/>
    <s v="Intex"/>
    <s v="Scraper - 1st implementation"/>
    <s v="Neil"/>
    <d v="2010-03-16T00:00:00"/>
    <n v="5"/>
    <s v="NewDevelopment"/>
    <x v="3"/>
    <d v="2010-05-12T00:00:00"/>
    <n v="0"/>
    <n v="0"/>
  </r>
  <r>
    <s v="11.2.11"/>
    <x v="10"/>
    <x v="4"/>
    <m/>
    <n v="1"/>
    <s v="Admin"/>
    <s v="Hire new person in London"/>
    <s v="Neil"/>
    <d v="2010-01-14T00:00:00"/>
    <n v="1"/>
    <s v="Other"/>
    <x v="3"/>
    <d v="2010-05-10T00:00:00"/>
    <n v="0"/>
    <n v="0"/>
  </r>
  <r>
    <s v="03.5.14"/>
    <x v="10"/>
    <x v="4"/>
    <d v="2010-05-06T00:00:00"/>
    <m/>
    <s v="Deal Analyser"/>
    <s v="Use DealId in database not BBG Deal Name"/>
    <s v="Neil"/>
    <d v="2010-05-04T00:00:00"/>
    <n v="2"/>
    <s v="Maintenance"/>
    <x v="3"/>
    <d v="2010-05-06T00:00:00"/>
    <n v="0"/>
    <n v="0"/>
  </r>
  <r>
    <s v="11.2.18"/>
    <x v="10"/>
    <x v="4"/>
    <d v="2010-05-01T00:00:00"/>
    <m/>
    <s v="Admin"/>
    <s v="Get Research Team (India) to set up deals"/>
    <s v="Neil"/>
    <d v="2010-04-06T00:00:00"/>
    <n v="1"/>
    <s v="Other"/>
    <x v="3"/>
    <d v="2010-05-06T00:00:00"/>
    <n v="0"/>
    <n v="0"/>
  </r>
  <r>
    <s v="01.2.38"/>
    <x v="10"/>
    <x v="4"/>
    <m/>
    <n v="1"/>
    <s v="Deals Database"/>
    <s v="Insert new Fixing Data when fixing data is missing from BBG"/>
    <s v="Zhuu"/>
    <d v="2010-02-24T00:00:00"/>
    <n v="1"/>
    <s v="Maintenance"/>
    <x v="3"/>
    <d v="2010-04-26T00:00:00"/>
    <n v="0"/>
    <n v="0"/>
  </r>
  <r>
    <s v="01.2.40"/>
    <x v="10"/>
    <x v="4"/>
    <m/>
    <m/>
    <s v="Deals Database"/>
    <s v="Don't update bonds in CashflwoGenerator if their factor it zero"/>
    <s v="Neil"/>
    <d v="2010-04-23T00:00:00"/>
    <n v="0.5"/>
    <s v="Maintenance"/>
    <x v="3"/>
    <d v="2010-04-26T00:00:00"/>
    <n v="0"/>
    <n v="0"/>
  </r>
  <r>
    <s v="01.2.37"/>
    <x v="10"/>
    <x v="4"/>
    <m/>
    <m/>
    <s v="Deals Database"/>
    <s v="Bug with fixing generation for IT0004485063 - 1st fixing is on a holiday - why?"/>
    <s v="Neil"/>
    <d v="2010-02-24T00:00:00"/>
    <n v="0.5"/>
    <s v="Maintenance"/>
    <x v="3"/>
    <d v="2010-04-23T00:00:00"/>
    <n v="0"/>
    <n v="0"/>
  </r>
  <r>
    <s v="01.2.26"/>
    <x v="10"/>
    <x v="4"/>
    <m/>
    <n v="1"/>
    <s v="Deals Database"/>
    <s v="Add Factor to Bonds in Deal DB"/>
    <s v="Neil"/>
    <d v="2009-12-16T00:00:00"/>
    <n v="1"/>
    <n v="0"/>
    <x v="3"/>
    <d v="2010-04-15T00:00:00"/>
    <n v="0"/>
    <n v="0"/>
  </r>
  <r>
    <s v="01.2.34"/>
    <x v="10"/>
    <x v="4"/>
    <m/>
    <n v="1"/>
    <s v="Deals Database"/>
    <s v="Add original FX rate on bonds"/>
    <s v="Ruth"/>
    <d v="2010-02-09T00:00:00"/>
    <n v="1"/>
    <n v="0"/>
    <x v="3"/>
    <d v="2010-04-15T00:00:00"/>
    <n v="0"/>
    <n v="0"/>
  </r>
  <r>
    <s v="01.2.36"/>
    <x v="10"/>
    <x v="4"/>
    <m/>
    <n v="1"/>
    <s v="Deals Database"/>
    <s v="Add 'OriginalPlacement' field to bonds, i.e., private/public/other"/>
    <s v="Ruth"/>
    <d v="2010-02-19T00:00:00"/>
    <n v="1"/>
    <n v="0"/>
    <x v="3"/>
    <d v="2010-04-15T00:00:00"/>
    <n v="0"/>
    <n v="0"/>
  </r>
  <r>
    <s v="01.2.39"/>
    <x v="10"/>
    <x v="4"/>
    <m/>
    <n v="1"/>
    <s v="Deals Database"/>
    <s v="Add 'CPR Type' to deals to specify non-default CPR values to use in BBG for cashflow generation."/>
    <s v="Zhuu"/>
    <d v="2010-03-02T00:00:00"/>
    <n v="3"/>
    <n v="0"/>
    <x v="3"/>
    <d v="2010-04-15T00:00:00"/>
    <n v="0"/>
    <n v="0"/>
  </r>
  <r>
    <s v="02.3.2"/>
    <x v="10"/>
    <x v="4"/>
    <m/>
    <m/>
    <s v="Intex"/>
    <s v="Get US Intex files"/>
    <s v="David Covey"/>
    <d v="2010-03-16T00:00:00"/>
    <n v="2"/>
    <n v="0"/>
    <x v="3"/>
    <d v="2010-04-15T00:00:00"/>
    <n v="0"/>
    <n v="0"/>
  </r>
  <r>
    <s v="08.12.3"/>
    <x v="10"/>
    <x v="4"/>
    <m/>
    <n v="1"/>
    <s v="Production Environment"/>
    <s v="Implement regular Calyon download"/>
    <s v="Neil"/>
    <d v="2010-03-02T00:00:00"/>
    <n v="2"/>
    <n v="0"/>
    <x v="3"/>
    <d v="2010-04-15T00:00:00"/>
    <n v="0"/>
    <n v="0"/>
  </r>
  <r>
    <s v="11.2.14"/>
    <x v="10"/>
    <x v="4"/>
    <m/>
    <n v="1"/>
    <s v="Admin"/>
    <s v="Investigate Intex missing files"/>
    <s v="Zhuu"/>
    <d v="2010-03-03T00:00:00"/>
    <n v="1"/>
    <n v="0"/>
    <x v="3"/>
    <d v="2010-04-15T00:00:00"/>
    <n v="0"/>
    <n v="0"/>
  </r>
  <r>
    <s v="11.2.7"/>
    <x v="10"/>
    <x v="4"/>
    <m/>
    <m/>
    <s v="Admin"/>
    <s v="Make Plan Outlook folder shared"/>
    <s v="Neil"/>
    <d v="2009-09-30T00:00:00"/>
    <n v="0.5"/>
    <n v="0"/>
    <x v="3"/>
    <d v="2010-04-15T00:00:00"/>
    <n v="0"/>
    <n v="0"/>
  </r>
  <r>
    <s v="20.3.1"/>
    <x v="10"/>
    <x v="4"/>
    <m/>
    <m/>
    <s v="CMBS - TREPP"/>
    <s v="Plan collaboration with US"/>
    <s v="Neil"/>
    <d v="2010-04-07T00:00:00"/>
    <n v="2"/>
    <n v="0"/>
    <x v="3"/>
    <d v="2010-04-15T00:00:00"/>
    <n v="0"/>
    <n v="0"/>
  </r>
  <r>
    <s v="08.12.4"/>
    <x v="10"/>
    <x v="4"/>
    <m/>
    <n v="1"/>
    <s v="Production Environment"/>
    <s v="Calyon: Ensure Kennsington data is loaded"/>
    <s v="David"/>
    <d v="2010-03-03T00:00:00"/>
    <n v="1"/>
    <n v="0"/>
    <x v="3"/>
    <d v="2010-03-31T00:00:00"/>
    <n v="0"/>
    <n v="0"/>
  </r>
  <r>
    <s v="16.10.1"/>
    <x v="10"/>
    <x v="4"/>
    <m/>
    <m/>
    <s v="Macro Economic Data"/>
    <s v="Normalised BBG Rate Data "/>
    <s v="Neil"/>
    <d v="2010-03-30T00:00:00"/>
    <n v="0.5"/>
    <n v="0"/>
    <x v="3"/>
    <d v="2010-03-31T00:00:00"/>
    <n v="0"/>
    <n v="0"/>
  </r>
  <r>
    <s v="02.3.3"/>
    <x v="10"/>
    <x v="4"/>
    <m/>
    <m/>
    <s v="Intex"/>
    <s v="Intex files missing"/>
    <s v="Zhuu"/>
    <d v="2010-03-18T00:00:00"/>
    <n v="1"/>
    <n v="0"/>
    <x v="3"/>
    <d v="2010-03-25T00:00:00"/>
    <n v="0"/>
    <n v="0"/>
  </r>
  <r>
    <s v="08.12.1"/>
    <x v="10"/>
    <x v="4"/>
    <m/>
    <n v="1"/>
    <s v="Production Environment"/>
    <s v="Calyon: Figure out a suitable data delivery method"/>
    <s v="David"/>
    <d v="2010-02-02T00:00:00"/>
    <n v="2"/>
    <n v="0"/>
    <x v="3"/>
    <d v="2010-03-25T00:00:00"/>
    <n v="0"/>
    <n v="0"/>
  </r>
  <r>
    <s v="02.4.1"/>
    <x v="10"/>
    <x v="4"/>
    <m/>
    <n v="1"/>
    <s v="Intex"/>
    <s v="Intex Wrapper: Design suitable wrapper"/>
    <s v="Neil"/>
    <d v="2010-02-09T00:00:00"/>
    <n v="5"/>
    <n v="0"/>
    <x v="3"/>
    <d v="2010-03-09T00:00:00"/>
    <n v="0"/>
    <n v="0"/>
  </r>
  <r>
    <s v="32.1.1"/>
    <x v="10"/>
    <x v="4"/>
    <m/>
    <m/>
    <s v="Mid/Back office data source"/>
    <s v="Define approach"/>
    <s v="David"/>
    <d v="2010-12-07T00:00:00"/>
    <n v="1"/>
    <s v="Other"/>
    <x v="3"/>
    <d v="2010-03-09T00:00:00"/>
    <n v="0"/>
    <n v="0"/>
  </r>
  <r>
    <s v="08.12.2"/>
    <x v="10"/>
    <x v="4"/>
    <m/>
    <m/>
    <s v="Production Environment"/>
    <s v="Calyon: Modify loan rule process for Calyon specific tables"/>
    <s v="David"/>
    <d v="2010-02-02T00:00:00"/>
    <n v="5"/>
    <n v="0"/>
    <x v="3"/>
    <d v="2010-02-24T00:00:00"/>
    <n v="0"/>
    <n v="0"/>
  </r>
  <r>
    <s v="11.1.7"/>
    <x v="10"/>
    <x v="4"/>
    <m/>
    <m/>
    <s v="Admin"/>
    <s v="Use 'NSAM' for all changes"/>
    <s v="Dan Balsom"/>
    <d v="2010-02-16T00:00:00"/>
    <n v="0"/>
    <n v="0"/>
    <x v="3"/>
    <d v="2010-02-24T00:00:00"/>
    <n v="0"/>
    <n v="0"/>
  </r>
  <r>
    <s v="11.1.6"/>
    <x v="10"/>
    <x v="4"/>
    <m/>
    <m/>
    <s v="Admin"/>
    <s v="Change Management procedures"/>
    <s v="Compliance"/>
    <d v="2009-09-16T00:00:00"/>
    <n v="0"/>
    <n v="0"/>
    <x v="3"/>
    <d v="2010-02-16T00:00:00"/>
    <n v="0"/>
    <n v="0"/>
  </r>
  <r>
    <s v="20.1.1"/>
    <x v="10"/>
    <x v="4"/>
    <m/>
    <m/>
    <s v="CMBS - TREPP"/>
    <s v="Download Trepp data"/>
    <s v="David Covey"/>
    <d v="2010-02-10T00:00:00"/>
    <n v="0.5"/>
    <n v="0"/>
    <x v="3"/>
    <d v="2010-02-10T00:00:00"/>
    <n v="0"/>
    <n v="0"/>
  </r>
  <r>
    <s v="21.1"/>
    <x v="10"/>
    <x v="4"/>
    <m/>
    <m/>
    <s v="Collateral Model"/>
    <s v="Design Architecture and plan"/>
    <s v="David Covey"/>
    <d v="2010-01-22T00:00:00"/>
    <n v="2"/>
    <n v="0"/>
    <x v="3"/>
    <d v="2010-02-09T00:00:00"/>
    <n v="0"/>
    <n v="0"/>
  </r>
  <r>
    <s v="11.2.12"/>
    <x v="10"/>
    <x v="4"/>
    <m/>
    <m/>
    <s v="Admin"/>
    <s v="Get Intex Desktop 4.9 packaged and released"/>
    <s v="David"/>
    <d v="2010-01-20T00:00:00"/>
    <n v="1"/>
    <n v="0"/>
    <x v="3"/>
    <d v="2010-02-04T00:00:00"/>
    <n v="0"/>
    <n v="0"/>
  </r>
  <r>
    <s v="02.1.3"/>
    <x v="10"/>
    <x v="4"/>
    <m/>
    <m/>
    <s v="Intex"/>
    <s v="Download Intex Wrapper"/>
    <s v="Neil"/>
    <d v="2010-01-22T00:00:00"/>
    <n v="1"/>
    <n v="0"/>
    <x v="3"/>
    <d v="2010-01-28T00:00:00"/>
    <n v="0"/>
    <n v="0"/>
  </r>
  <r>
    <s v="01.2.31"/>
    <x v="10"/>
    <x v="4"/>
    <m/>
    <m/>
    <s v="Deals Database"/>
    <s v="Modify Totoro sector mapping"/>
    <s v="Zhuu"/>
    <d v="2010-01-19T00:00:00"/>
    <n v="2"/>
    <n v="0"/>
    <x v="3"/>
    <d v="2010-01-27T00:00:00"/>
    <n v="0"/>
    <n v="0"/>
  </r>
  <r>
    <s v="01.2.32"/>
    <x v="10"/>
    <x v="4"/>
    <m/>
    <m/>
    <s v="Deals Database"/>
    <s v="Floor WAL to 6 mnths"/>
    <s v="Zhuu"/>
    <d v="2010-01-20T00:00:00"/>
    <n v="1"/>
    <n v="0"/>
    <x v="3"/>
    <d v="2010-01-27T00:00:00"/>
    <n v="0"/>
    <n v="0"/>
  </r>
  <r>
    <s v="05.18.6"/>
    <x v="10"/>
    <x v="4"/>
    <m/>
    <m/>
    <s v="Loan level data"/>
    <s v="Add new rules for Friedel"/>
    <s v="Friedel"/>
    <d v="2010-01-12T00:00:00"/>
    <n v="3"/>
    <n v="0"/>
    <x v="3"/>
    <d v="2010-01-27T00:00:00"/>
    <n v="0"/>
    <n v="0"/>
  </r>
  <r>
    <s v="18.1.7"/>
    <x v="10"/>
    <x v="4"/>
    <m/>
    <m/>
    <s v="Roll Rate Analyser"/>
    <s v="Add interest rate adjustment to roll rates as specified by Zhuu Ang."/>
    <s v="David Covey"/>
    <d v="2009-08-27T00:00:00"/>
    <n v="3"/>
    <n v="0"/>
    <x v="3"/>
    <d v="2010-01-27T00:00:00"/>
    <n v="0"/>
    <n v="0"/>
  </r>
  <r>
    <s v="08.01.5"/>
    <x v="10"/>
    <x v="4"/>
    <m/>
    <m/>
    <s v="Production Environment"/>
    <s v="Get SAS ETS installed."/>
    <s v="Danny"/>
    <d v="2009-10-13T00:00:00"/>
    <n v="1"/>
    <n v="0"/>
    <x v="3"/>
    <d v="2010-01-18T00:00:00"/>
    <n v="0"/>
    <n v="0"/>
  </r>
  <r>
    <s v="01.2.30"/>
    <x v="10"/>
    <x v="4"/>
    <m/>
    <m/>
    <s v="Deals Database"/>
    <s v="Bug with 'Foll' bus day convention - see XS0429125577"/>
    <s v="Neil"/>
    <d v="2010-01-04T00:00:00"/>
    <n v="1"/>
    <n v="0"/>
    <x v="3"/>
    <d v="2010-01-14T00:00:00"/>
    <n v="0"/>
    <n v="0"/>
  </r>
  <r>
    <s v="09.1.13"/>
    <x v="10"/>
    <x v="4"/>
    <m/>
    <m/>
    <s v="Nomura Now"/>
    <s v="Make Spanish HPI available to ChartViewer SP"/>
    <s v="Gerald"/>
    <d v="2009-11-18T00:00:00"/>
    <n v="1"/>
    <n v="0"/>
    <x v="3"/>
    <d v="2010-01-14T00:00:00"/>
    <n v="0"/>
    <n v="0"/>
  </r>
  <r>
    <s v="09.1.14"/>
    <x v="10"/>
    <x v="4"/>
    <m/>
    <m/>
    <s v="Nomura Now"/>
    <s v="Add Spanish HPI to ChartViewer menu"/>
    <s v="Gerald"/>
    <d v="2009-11-18T00:00:00"/>
    <n v="0.25"/>
    <n v="0"/>
    <x v="3"/>
    <d v="2010-01-14T00:00:00"/>
    <n v="0"/>
    <n v="0"/>
  </r>
  <r>
    <s v="09.1.17"/>
    <x v="10"/>
    <x v="4"/>
    <m/>
    <m/>
    <s v="Nomura Now"/>
    <s v="Make Dutch HPI available to ChartViewer SP"/>
    <s v="Gerald"/>
    <d v="2009-12-10T00:00:00"/>
    <n v="1"/>
    <n v="0"/>
    <x v="3"/>
    <d v="2010-01-14T00:00:00"/>
    <n v="0"/>
    <n v="0"/>
  </r>
  <r>
    <s v="09.1.18"/>
    <x v="10"/>
    <x v="4"/>
    <m/>
    <m/>
    <s v="Nomura Now"/>
    <s v="Add Dutch HPI to ChartViewer menu"/>
    <s v="Gerald"/>
    <d v="2009-12-10T00:00:00"/>
    <n v="0.25"/>
    <n v="0"/>
    <x v="3"/>
    <d v="2010-01-14T00:00:00"/>
    <n v="0"/>
    <n v="0"/>
  </r>
  <r>
    <s v="02.1.1"/>
    <x v="10"/>
    <x v="4"/>
    <m/>
    <m/>
    <s v="Intex"/>
    <s v="Decide whether to use batch or wrapper"/>
    <s v="David Covey"/>
    <d v="2009-04-23T00:00:00"/>
    <n v="4"/>
    <n v="0"/>
    <x v="3"/>
    <d v="2010-01-06T00:00:00"/>
    <n v="0"/>
    <n v="0"/>
  </r>
  <r>
    <s v="16.6.1"/>
    <x v="10"/>
    <x v="4"/>
    <m/>
    <m/>
    <s v="Macro Economic Data"/>
    <s v="Build app to retrieve BBG static data"/>
    <s v="Neil"/>
    <d v="2009-09-30T00:00:00"/>
    <n v="4"/>
    <n v="0"/>
    <x v="3"/>
    <d v="2010-01-06T00:00:00"/>
    <n v="0"/>
    <n v="0"/>
  </r>
  <r>
    <s v="01.2.24"/>
    <x v="10"/>
    <x v="4"/>
    <m/>
    <m/>
    <s v="Deals Database"/>
    <s v="Populate original ratings from agencies"/>
    <s v="David"/>
    <d v="2009-12-03T00:00:00"/>
    <n v="0.5"/>
    <n v="0"/>
    <x v="3"/>
    <d v="2009-12-21T00:00:00"/>
    <n v="0"/>
    <n v="0"/>
  </r>
  <r>
    <s v="01.2.25"/>
    <x v="10"/>
    <x v="4"/>
    <m/>
    <m/>
    <s v="Deals Database"/>
    <s v="Implement combined rating algorithm from Ajay"/>
    <s v="David"/>
    <d v="2009-12-03T00:00:00"/>
    <n v="1"/>
    <n v="0"/>
    <x v="3"/>
    <d v="2009-12-21T00:00:00"/>
    <n v="0"/>
    <n v="0"/>
  </r>
  <r>
    <s v="01.2.23"/>
    <x v="10"/>
    <x v="4"/>
    <m/>
    <m/>
    <s v="Deals Database"/>
    <s v="Bug with roll day being 31 rather than 30"/>
    <s v="Neil"/>
    <d v="2009-11-03T00:00:00"/>
    <n v="0.5"/>
    <n v="0"/>
    <x v="3"/>
    <d v="2009-12-17T00:00:00"/>
    <n v="0"/>
    <n v="0"/>
  </r>
  <r>
    <s v="01.3.8"/>
    <x v="10"/>
    <x v="4"/>
    <m/>
    <m/>
    <s v="Deals Database"/>
    <s v="Add FX tables for conversions."/>
    <s v="Neil"/>
    <d v="2009-12-07T00:00:00"/>
    <n v="2"/>
    <n v="0"/>
    <x v="3"/>
    <d v="2009-12-10T00:00:00"/>
    <n v="0"/>
    <n v="0"/>
  </r>
  <r>
    <s v="16.6.2"/>
    <x v="10"/>
    <x v="4"/>
    <m/>
    <m/>
    <s v="Macro Economic Data"/>
    <s v="Retrieve 2,3,4,5 yrs GBP Swap rates"/>
    <s v="Friedel"/>
    <d v="2009-10-23T00:00:00"/>
    <n v="2"/>
    <n v="0"/>
    <x v="3"/>
    <d v="2009-12-10T00:00:00"/>
    <n v="0"/>
    <n v="0"/>
  </r>
  <r>
    <s v="16.6.3"/>
    <x v="10"/>
    <x v="4"/>
    <m/>
    <m/>
    <s v="Macro Economic Data"/>
    <s v="Retrieve  BoE base rate"/>
    <s v="Friedel"/>
    <d v="2009-09-30T00:00:00"/>
    <n v="2"/>
    <n v="0"/>
    <x v="3"/>
    <d v="2009-12-10T00:00:00"/>
    <n v="0"/>
    <n v="0"/>
  </r>
  <r>
    <s v="16.6.5"/>
    <x v="10"/>
    <x v="4"/>
    <m/>
    <m/>
    <s v="Macro Economic Data"/>
    <s v="Retrieve Historical FX rates"/>
    <s v="Neil"/>
    <d v="2009-09-30T00:00:00"/>
    <n v="2"/>
    <n v="0"/>
    <x v="3"/>
    <d v="2009-12-10T00:00:00"/>
    <n v="0"/>
    <n v="0"/>
  </r>
  <r>
    <s v="16.6.6"/>
    <x v="10"/>
    <x v="4"/>
    <m/>
    <m/>
    <s v="Macro Economic Data"/>
    <s v="Retrieve 1m, 3m,6m,9m,12m LIBOR and BBR rate for GBP"/>
    <s v="Dan"/>
    <d v="2009-10-23T00:00:00"/>
    <n v="2"/>
    <n v="0"/>
    <x v="3"/>
    <d v="2009-12-10T00:00:00"/>
    <n v="0"/>
    <n v="0"/>
  </r>
  <r>
    <s v="01.2.20"/>
    <x v="10"/>
    <x v="4"/>
    <m/>
    <m/>
    <s v="Deals Database"/>
    <s v="Change Cashflow Generator Support email message on errors"/>
    <s v="Pramendra"/>
    <d v="2009-10-09T00:00:00"/>
    <n v="0.5"/>
    <n v="0"/>
    <x v="3"/>
    <d v="2009-12-07T00:00:00"/>
    <n v="0"/>
    <n v="0"/>
  </r>
  <r>
    <s v="01.3.7"/>
    <x v="10"/>
    <x v="4"/>
    <m/>
    <m/>
    <s v="Deals Database"/>
    <s v="Add collateral currency to Deal."/>
    <s v="Neil"/>
    <d v="2009-12-07T00:00:00"/>
    <n v="5"/>
    <n v="0"/>
    <x v="3"/>
    <d v="2009-12-07T00:00:00"/>
    <n v="0"/>
    <n v="0"/>
  </r>
  <r>
    <s v="01.2.12"/>
    <x v="10"/>
    <x v="4"/>
    <m/>
    <m/>
    <s v="Deals Database"/>
    <s v="Add 'to call' facility for extracting BBG cashflows"/>
    <s v="Neil"/>
    <d v="2009-07-31T00:00:00"/>
    <n v="0.5"/>
    <n v="0"/>
    <x v="3"/>
    <d v="2009-11-27T00:00:00"/>
    <n v="0"/>
    <n v="0"/>
  </r>
  <r>
    <s v="01.2.21"/>
    <x v="10"/>
    <x v="4"/>
    <m/>
    <m/>
    <s v="Deals Database"/>
    <s v="Make Original Ratings and Current Rating distinct"/>
    <s v="David"/>
    <d v="2009-10-21T00:00:00"/>
    <n v="3"/>
    <n v="0"/>
    <x v="3"/>
    <d v="2009-11-27T00:00:00"/>
    <n v="0"/>
    <n v="0"/>
  </r>
  <r>
    <s v="01.2.22"/>
    <x v="10"/>
    <x v="4"/>
    <m/>
    <m/>
    <s v="Deals Database"/>
    <s v="Handle the situations of bonds that have multiple ISINs"/>
    <s v="Neil"/>
    <d v="2009-10-30T00:00:00"/>
    <n v="5"/>
    <n v="0"/>
    <x v="3"/>
    <d v="2009-11-27T00:00:00"/>
    <n v="0"/>
    <n v="0"/>
  </r>
  <r>
    <s v="02.3.1"/>
    <x v="10"/>
    <x v="4"/>
    <m/>
    <m/>
    <s v="Intex"/>
    <s v="Extract loan data for Paragon and EMAC"/>
    <s v="David Covey"/>
    <d v="2009-11-06T00:00:00"/>
    <n v="2"/>
    <n v="0"/>
    <x v="3"/>
    <d v="2009-11-27T00:00:00"/>
    <n v="0"/>
    <n v="0"/>
  </r>
  <r>
    <s v="01.1"/>
    <x v="10"/>
    <x v="4"/>
    <m/>
    <m/>
    <s v="Deals Database"/>
    <s v="Fixes to fixing and schedule building required to stop error from Radial and Totoro"/>
    <s v="Research"/>
    <d v="2009-04-08T00:00:00"/>
    <n v="0"/>
    <n v="0"/>
    <x v="3"/>
    <d v="2009-11-18T00:00:00"/>
    <n v="0"/>
    <n v="0"/>
  </r>
  <r>
    <s v="01.2.02"/>
    <x v="10"/>
    <x v="4"/>
    <m/>
    <m/>
    <s v="Deals Database"/>
    <s v="Add function to GUI to refresh all BBG data in one go"/>
    <s v="Friedel"/>
    <d v="2009-05-20T00:00:00"/>
    <n v="0"/>
    <n v="0"/>
    <x v="3"/>
    <d v="2009-11-18T00:00:00"/>
    <n v="0"/>
    <n v="0"/>
  </r>
  <r>
    <s v="01.2.04"/>
    <x v="10"/>
    <x v="4"/>
    <m/>
    <m/>
    <s v="Deals Database"/>
    <s v="Investigate duplicate fixings"/>
    <s v="Friedel"/>
    <d v="2009-05-21T00:00:00"/>
    <n v="0"/>
    <n v="0"/>
    <x v="3"/>
    <d v="2009-11-18T00:00:00"/>
    <n v="0"/>
    <n v="0"/>
  </r>
  <r>
    <s v="05.13"/>
    <x v="10"/>
    <x v="4"/>
    <m/>
    <m/>
    <s v="Loan level data"/>
    <s v="Support Danny reviewing all existing mappings"/>
    <s v="David Covey"/>
    <d v="2009-08-03T00:00:00"/>
    <n v="0"/>
    <n v="0"/>
    <x v="3"/>
    <d v="2009-11-17T00:00:00"/>
    <n v="0"/>
    <n v="0"/>
  </r>
  <r>
    <s v="05.08.7"/>
    <x v="10"/>
    <x v="4"/>
    <m/>
    <m/>
    <s v="Loan level data"/>
    <s v="Complete ESFData changes for ESAIL and RMAC for csv"/>
    <s v="Neil"/>
    <d v="2009-06-23T00:00:00"/>
    <n v="0"/>
    <n v="0"/>
    <x v="3"/>
    <d v="2009-11-06T00:00:00"/>
    <n v="0"/>
    <n v="0"/>
  </r>
  <r>
    <s v="05.15.1"/>
    <x v="10"/>
    <x v="4"/>
    <m/>
    <m/>
    <s v="Loan level data"/>
    <s v="Implement ESFraw for ESAIL loader"/>
    <s v="Danny"/>
    <d v="2009-08-18T00:00:00"/>
    <n v="0"/>
    <n v="0"/>
    <x v="3"/>
    <d v="2009-11-06T00:00:00"/>
    <n v="0"/>
    <n v="0"/>
  </r>
  <r>
    <s v="05.18.5"/>
    <x v="10"/>
    <x v="4"/>
    <m/>
    <m/>
    <s v="Loan level data"/>
    <s v="Complete 1st version of 2nd level rules and run on prod"/>
    <s v="Neil"/>
    <d v="2009-11-06T00:00:00"/>
    <n v="0"/>
    <n v="0"/>
    <x v="3"/>
    <d v="2009-11-06T00:00:00"/>
    <n v="0"/>
    <n v="0"/>
  </r>
  <r>
    <s v="09.3.3"/>
    <x v="10"/>
    <x v="4"/>
    <m/>
    <m/>
    <s v="Nomura Now"/>
    <s v="Make WALA and WAM in months"/>
    <s v="David Covey"/>
    <d v="2009-10-16T00:00:00"/>
    <n v="0"/>
    <n v="0"/>
    <x v="3"/>
    <d v="2009-11-06T00:00:00"/>
    <n v="0"/>
    <n v="0"/>
  </r>
  <r>
    <s v="08.01.4"/>
    <x v="10"/>
    <x v="4"/>
    <m/>
    <m/>
    <s v="Production Environment"/>
    <s v="Get SAS Insight/JMP installed"/>
    <s v="Danny"/>
    <d v="2009-09-15T00:00:00"/>
    <n v="0"/>
    <n v="0"/>
    <x v="3"/>
    <d v="2009-10-21T00:00:00"/>
    <n v="0"/>
    <n v="0"/>
  </r>
  <r>
    <s v="05.18.1"/>
    <x v="10"/>
    <x v="4"/>
    <m/>
    <m/>
    <s v="Loan level data"/>
    <s v="1st implementation of 2nd Level Loan Mapper"/>
    <s v="David Covey"/>
    <d v="2009-09-18T00:00:00"/>
    <n v="0"/>
    <n v="0"/>
    <x v="3"/>
    <d v="2009-10-20T00:00:00"/>
    <n v="0"/>
    <n v="0"/>
  </r>
  <r>
    <s v="05.16.1"/>
    <x v="10"/>
    <x v="4"/>
    <m/>
    <m/>
    <s v="Loan level data"/>
    <s v="Implement revised mapping for RMAC"/>
    <s v="Danny"/>
    <d v="2009-09-18T00:00:00"/>
    <n v="0"/>
    <n v="0"/>
    <x v="3"/>
    <d v="2009-10-16T00:00:00"/>
    <n v="0"/>
    <n v="0"/>
  </r>
  <r>
    <s v="05.18.2"/>
    <x v="10"/>
    <x v="4"/>
    <m/>
    <m/>
    <s v="Loan level data"/>
    <s v="Get requirements for 2nd Level"/>
    <s v="Danny"/>
    <d v="2009-10-16T00:00:00"/>
    <n v="0"/>
    <n v="0"/>
    <x v="3"/>
    <d v="2009-10-16T00:00:00"/>
    <n v="0"/>
    <n v="0"/>
  </r>
  <r>
    <s v="09.2.6"/>
    <x v="10"/>
    <x v="4"/>
    <m/>
    <m/>
    <s v="Nomura Now"/>
    <s v="Changes for first release"/>
    <s v="David Covey"/>
    <d v="2009-09-30T00:00:00"/>
    <n v="0"/>
    <n v="0"/>
    <x v="3"/>
    <d v="2009-10-16T00:00:00"/>
    <n v="0"/>
    <n v="0"/>
  </r>
  <r>
    <s v="11.1.5"/>
    <x v="10"/>
    <x v="4"/>
    <m/>
    <m/>
    <s v="Admin"/>
    <s v="SP for QDB to get factor changes"/>
    <s v="Compliance"/>
    <d v="2009-08-25T00:00:00"/>
    <n v="0"/>
    <n v="0"/>
    <x v="3"/>
    <d v="2009-09-30T00:00:00"/>
    <n v="0"/>
    <n v="0"/>
  </r>
  <r>
    <s v="08.09.2"/>
    <x v="10"/>
    <x v="4"/>
    <m/>
    <m/>
    <s v="Production Environment"/>
    <s v="Get Support permissions on DB set up"/>
    <s v="Neil"/>
    <d v="2009-09-18T00:00:00"/>
    <n v="0"/>
    <n v="0"/>
    <x v="3"/>
    <d v="2009-09-29T00:00:00"/>
    <n v="0"/>
    <n v="0"/>
  </r>
  <r>
    <s v="11.1.2"/>
    <x v="10"/>
    <x v="4"/>
    <m/>
    <m/>
    <s v="Admin"/>
    <s v="Set up Remedy group"/>
    <s v="Compliance"/>
    <d v="2009-06-11T00:00:00"/>
    <n v="0"/>
    <n v="0"/>
    <x v="3"/>
    <d v="2009-09-29T00:00:00"/>
    <n v="0"/>
    <n v="0"/>
  </r>
  <r>
    <s v="09.3.2"/>
    <x v="10"/>
    <x v="4"/>
    <m/>
    <m/>
    <s v="Nomura Now"/>
    <s v="Add 'Total' bucket"/>
    <s v="David Covey"/>
    <d v="2009-09-21T00:00:00"/>
    <n v="0"/>
    <n v="0"/>
    <x v="3"/>
    <d v="2009-09-22T00:00:00"/>
    <n v="0"/>
    <n v="0"/>
  </r>
  <r>
    <s v="09.3.1"/>
    <x v="10"/>
    <x v="4"/>
    <m/>
    <m/>
    <s v="Nomura Now"/>
    <s v="First Implementation of Loan Strats"/>
    <s v="David Covey"/>
    <d v="2009-08-28T00:00:00"/>
    <n v="0"/>
    <n v="0"/>
    <x v="3"/>
    <d v="2009-09-18T00:00:00"/>
    <n v="0"/>
    <n v="0"/>
  </r>
  <r>
    <s v="08.09.1"/>
    <x v="10"/>
    <x v="4"/>
    <m/>
    <m/>
    <s v="Production Environment"/>
    <s v="Get New DB for Nomura Now set up"/>
    <s v="Neil"/>
    <d v="2009-09-04T00:00:00"/>
    <n v="0"/>
    <n v="0"/>
    <x v="3"/>
    <d v="2009-09-15T00:00:00"/>
    <n v="0"/>
    <n v="0"/>
  </r>
  <r>
    <s v="10.3.2"/>
    <x v="10"/>
    <x v="4"/>
    <m/>
    <m/>
    <s v="Radial / Totoro / Other"/>
    <s v="Intra day feed to QDB"/>
    <s v="Operations"/>
    <d v="2009-08-04T00:00:00"/>
    <n v="0"/>
    <n v="0"/>
    <x v="3"/>
    <d v="2009-09-15T00:00:00"/>
    <n v="0"/>
    <n v="0"/>
  </r>
  <r>
    <s v="11.1.3"/>
    <x v="10"/>
    <x v="4"/>
    <m/>
    <m/>
    <s v="Admin"/>
    <s v="Meet with DBA to determine suitable access to production database."/>
    <s v="Compliance"/>
    <d v="2009-06-11T00:00:00"/>
    <n v="0"/>
    <n v="0"/>
    <x v="3"/>
    <d v="2009-09-15T00:00:00"/>
    <n v="0"/>
    <n v="0"/>
  </r>
  <r>
    <s v="09.2.5"/>
    <x v="10"/>
    <x v="4"/>
    <m/>
    <m/>
    <s v="Nomura Now"/>
    <s v="Find out what ReservePct is supposed to be"/>
    <s v="Gerald"/>
    <d v="2009-08-20T00:00:00"/>
    <n v="0"/>
    <n v="0"/>
    <x v="3"/>
    <d v="2009-09-04T00:00:00"/>
    <n v="0"/>
    <n v="0"/>
  </r>
  <r>
    <s v="05.07.3"/>
    <x v="10"/>
    <x v="4"/>
    <m/>
    <m/>
    <s v="Loan level data"/>
    <s v="Modify LoadID and BorrowerID fields for ESAIL"/>
    <s v="Danny"/>
    <d v="2009-08-20T00:00:00"/>
    <n v="0"/>
    <n v="0"/>
    <x v="3"/>
    <d v="2009-09-01T00:00:00"/>
    <n v="0"/>
    <n v="0"/>
  </r>
  <r>
    <s v="14.3"/>
    <x v="10"/>
    <x v="4"/>
    <m/>
    <m/>
    <s v="Stratification tool / PALS"/>
    <s v="Modify according to feedback"/>
    <s v="Neil"/>
    <d v="2009-08-20T00:00:00"/>
    <n v="0"/>
    <n v="0"/>
    <x v="3"/>
    <d v="2009-08-28T00:00:00"/>
    <n v="0"/>
    <n v="0"/>
  </r>
  <r>
    <s v="11.2.6"/>
    <x v="10"/>
    <x v="4"/>
    <m/>
    <m/>
    <s v="Admin"/>
    <s v="Get Intex PC moved"/>
    <s v="Neil"/>
    <d v="2009-08-20T00:00:00"/>
    <n v="0"/>
    <n v="0"/>
    <x v="3"/>
    <d v="2009-08-27T00:00:00"/>
    <n v="0"/>
    <n v="0"/>
  </r>
  <r>
    <s v="14.2"/>
    <x v="10"/>
    <x v="4"/>
    <m/>
    <m/>
    <s v="Stratification tool / PALS"/>
    <s v="Implement first version of application"/>
    <s v="David"/>
    <d v="2009-08-18T00:00:00"/>
    <n v="0"/>
    <n v="0"/>
    <x v="3"/>
    <d v="2009-08-25T00:00:00"/>
    <n v="0"/>
    <n v="0"/>
  </r>
  <r>
    <s v="08.07.1"/>
    <x v="10"/>
    <x v="4"/>
    <m/>
    <m/>
    <s v="Production Environment"/>
    <s v="Get eabs_p1/q1 set up for Internet"/>
    <s v="Pramendra"/>
    <d v="2009-08-24T00:00:00"/>
    <n v="0"/>
    <n v="0"/>
    <x v="3"/>
    <d v="2009-08-20T00:00:00"/>
    <n v="0"/>
    <n v="0"/>
  </r>
  <r>
    <s v="11.1.4"/>
    <x v="10"/>
    <x v="4"/>
    <m/>
    <m/>
    <s v="Admin"/>
    <s v="Write up DR plan"/>
    <s v="Compliance"/>
    <d v="2009-06-11T00:00:00"/>
    <n v="0"/>
    <n v="0"/>
    <x v="3"/>
    <d v="2009-08-20T00:00:00"/>
    <n v="0"/>
    <n v="0"/>
  </r>
  <r>
    <s v="09.2.2"/>
    <x v="10"/>
    <x v="4"/>
    <m/>
    <m/>
    <s v="Nomura Now"/>
    <s v="Determine SP to support Deal Analyser"/>
    <s v="Neil"/>
    <d v="2009-08-04T00:00:00"/>
    <n v="0"/>
    <n v="0"/>
    <x v="3"/>
    <d v="2009-08-18T00:00:00"/>
    <n v="0"/>
    <n v="0"/>
  </r>
  <r>
    <s v="14.1"/>
    <x v="10"/>
    <x v="4"/>
    <m/>
    <m/>
    <s v="Stratification tool / PALS"/>
    <s v="Determine detailed requirements"/>
    <s v="David"/>
    <d v="2009-07-15T00:00:00"/>
    <n v="0"/>
    <n v="0"/>
    <x v="3"/>
    <d v="2009-08-18T00:00:00"/>
    <n v="0"/>
    <n v="0"/>
  </r>
  <r>
    <s v="05.05.3"/>
    <x v="10"/>
    <x v="4"/>
    <m/>
    <m/>
    <s v="Loan level data"/>
    <s v="Add new fields to ESF tables 1st for ESAIL"/>
    <s v="Danny"/>
    <d v="2009-08-03T00:00:00"/>
    <n v="0"/>
    <n v="0"/>
    <x v="3"/>
    <d v="2009-08-07T00:00:00"/>
    <n v="0"/>
    <n v="0"/>
  </r>
  <r>
    <s v="09.2.1"/>
    <x v="10"/>
    <x v="4"/>
    <m/>
    <m/>
    <s v="Nomura Now"/>
    <s v="Plan"/>
    <s v="David Covey"/>
    <d v="2009-08-04T00:00:00"/>
    <n v="0"/>
    <n v="0"/>
    <x v="3"/>
    <d v="2009-08-04T00:00:00"/>
    <n v="0"/>
    <n v="0"/>
  </r>
  <r>
    <s v="01.2.11"/>
    <x v="10"/>
    <x v="4"/>
    <m/>
    <m/>
    <s v="Deals Database"/>
    <s v="Find out why bond XS0112279616 errors on overnight load - Done. Due to BBG bridge access Corp key"/>
    <s v="Neil"/>
    <d v="2009-08-03T00:00:00"/>
    <n v="0"/>
    <n v="0"/>
    <x v="3"/>
    <d v="2009-08-03T00:00:00"/>
    <n v="0"/>
    <n v="0"/>
  </r>
  <r>
    <s v="01.2.15"/>
    <x v="10"/>
    <x v="4"/>
    <m/>
    <m/>
    <s v="Deals Database"/>
    <s v="Add ability to populate many bonds from a list of isins"/>
    <s v="David"/>
    <d v="2009-08-03T00:00:00"/>
    <n v="0"/>
    <n v="0"/>
    <x v="3"/>
    <d v="2009-08-03T00:00:00"/>
    <n v="0"/>
    <n v="0"/>
  </r>
  <r>
    <s v="03.5.06"/>
    <x v="10"/>
    <x v="4"/>
    <m/>
    <m/>
    <s v="Deal Analyser"/>
    <s v="Various enhancements as specified by David"/>
    <s v="David Covey"/>
    <d v="2009-06-11T00:00:00"/>
    <n v="0"/>
    <n v="0"/>
    <x v="3"/>
    <d v="2009-07-31T00:00:00"/>
    <n v="0"/>
    <n v="0"/>
  </r>
  <r>
    <s v="01.2.08"/>
    <x v="10"/>
    <x v="4"/>
    <m/>
    <m/>
    <s v="Deals Database"/>
    <s v="Modify Radial feed to be more secure"/>
    <s v="Compliance"/>
    <d v="2009-06-11T00:00:00"/>
    <n v="0"/>
    <n v="0"/>
    <x v="3"/>
    <d v="2009-07-17T00:00:00"/>
    <n v="0"/>
    <n v="0"/>
  </r>
  <r>
    <s v="01.2.09"/>
    <x v="10"/>
    <x v="4"/>
    <m/>
    <m/>
    <s v="Deals Database"/>
    <s v="Add 'TradesOnCurrentFace' to Radial feed and get it into Totoro"/>
    <s v="Friedel"/>
    <d v="2009-07-07T00:00:00"/>
    <n v="0"/>
    <n v="0"/>
    <x v="3"/>
    <d v="2009-07-17T00:00:00"/>
    <n v="0"/>
    <n v="0"/>
  </r>
  <r>
    <s v="01.2.10"/>
    <x v="10"/>
    <x v="4"/>
    <m/>
    <m/>
    <s v="Deals Database"/>
    <s v="Make Cashflow Generate send emails upon completion"/>
    <s v="Neil"/>
    <d v="2009-07-07T00:00:00"/>
    <n v="0"/>
    <n v="0"/>
    <x v="3"/>
    <d v="2009-07-17T00:00:00"/>
    <n v="0"/>
    <n v="0"/>
  </r>
  <r>
    <s v="01.4"/>
    <x v="10"/>
    <x v="4"/>
    <m/>
    <m/>
    <s v="Deals Database"/>
    <s v="Move Cashflow Generator to production"/>
    <s v="Compliance"/>
    <d v="2009-06-11T00:00:00"/>
    <n v="0"/>
    <n v="0"/>
    <x v="3"/>
    <d v="2009-07-17T00:00:00"/>
    <n v="0"/>
    <n v="0"/>
  </r>
  <r>
    <s v="05.07.2"/>
    <x v="10"/>
    <x v="4"/>
    <m/>
    <m/>
    <s v="Loan level data"/>
    <s v="Release with new interpolation and graph functionality"/>
    <s v="David Covey"/>
    <d v="2009-07-03T00:00:00"/>
    <n v="0"/>
    <n v="0"/>
    <x v="3"/>
    <d v="2009-07-17T00:00:00"/>
    <n v="0"/>
    <n v="0"/>
  </r>
  <r>
    <s v="08.01.1"/>
    <x v="10"/>
    <x v="4"/>
    <m/>
    <m/>
    <s v="Production Environment"/>
    <s v="Get SAS Installed"/>
    <s v="David Covey"/>
    <d v="2009-04-14T00:00:00"/>
    <n v="0"/>
    <n v="0"/>
    <x v="3"/>
    <d v="2009-07-17T00:00:00"/>
    <n v="0"/>
    <n v="0"/>
  </r>
  <r>
    <s v="08.01.3"/>
    <x v="10"/>
    <x v="4"/>
    <m/>
    <m/>
    <s v="Production Environment"/>
    <s v="Get ODBC Drivers purchased"/>
    <s v="Neil"/>
    <d v="2009-06-15T00:00:00"/>
    <n v="0"/>
    <n v="0"/>
    <x v="3"/>
    <d v="2009-07-17T00:00:00"/>
    <n v="0"/>
    <n v="0"/>
  </r>
  <r>
    <s v="08.05"/>
    <x v="10"/>
    <x v="4"/>
    <m/>
    <m/>
    <s v="Production Environment"/>
    <s v="Get a global writeable shared area for logs"/>
    <s v="Neil"/>
    <d v="2009-05-27T00:00:00"/>
    <n v="0"/>
    <n v="0"/>
    <x v="3"/>
    <d v="2009-07-17T00:00:00"/>
    <n v="0"/>
    <n v="0"/>
  </r>
  <r>
    <s v="08.07"/>
    <x v="10"/>
    <x v="4"/>
    <m/>
    <m/>
    <s v="Production Environment"/>
    <s v="Get eabs_p1/q1 set up for email and Fingal share access"/>
    <s v="Neil"/>
    <d v="2009-06-11T00:00:00"/>
    <n v="0"/>
    <n v="0"/>
    <x v="3"/>
    <d v="2009-07-08T00:00:00"/>
    <n v="0"/>
    <n v="0"/>
  </r>
  <r>
    <s v="01.2.06"/>
    <x v="10"/>
    <x v="4"/>
    <m/>
    <m/>
    <s v="Deals Database"/>
    <s v="Make Fixings editable"/>
    <s v="Neil"/>
    <d v="2009-06-11T00:00:00"/>
    <n v="0"/>
    <n v="0"/>
    <x v="3"/>
    <d v="2009-07-03T00:00:00"/>
    <n v="0"/>
    <n v="0"/>
  </r>
  <r>
    <s v="03.6.3"/>
    <x v="10"/>
    <x v="4"/>
    <m/>
    <m/>
    <s v="Deal Analyser"/>
    <s v="Merge sub pools into main pool - can't be done"/>
    <s v="Neil"/>
    <d v="2009-07-03T00:00:00"/>
    <n v="0"/>
    <n v="0"/>
    <x v="3"/>
    <d v="2009-07-03T00:00:00"/>
    <n v="0"/>
    <n v="0"/>
  </r>
  <r>
    <s v="08.01.2"/>
    <x v="10"/>
    <x v="4"/>
    <m/>
    <m/>
    <s v="Production Environment"/>
    <s v="Get SAS Package Released"/>
    <s v="Neil"/>
    <d v="2009-06-15T00:00:00"/>
    <n v="0"/>
    <n v="0"/>
    <x v="3"/>
    <d v="2009-07-03T00:00:00"/>
    <n v="0"/>
    <n v="0"/>
  </r>
  <r>
    <s v="18.1.1"/>
    <x v="10"/>
    <x v="4"/>
    <m/>
    <m/>
    <s v="Roll Rate Analyser"/>
    <s v="Add CPR and CDR to predictions."/>
    <s v="David Covey"/>
    <d v="2009-05-14T00:00:00"/>
    <n v="0"/>
    <n v="0"/>
    <x v="3"/>
    <d v="2009-06-30T00:00:00"/>
    <n v="0"/>
    <n v="0"/>
  </r>
  <r>
    <s v="03.5.03"/>
    <x v="10"/>
    <x v="4"/>
    <m/>
    <m/>
    <s v="Deal Analyser"/>
    <s v="Use the 'Series_ID' as the ASBNetDealID rather than the 'series_pk' in the database. - Cancelled."/>
    <s v="Neil"/>
    <d v="2009-06-29T00:00:00"/>
    <n v="0"/>
    <n v="0"/>
    <x v="3"/>
    <d v="2009-06-29T00:00:00"/>
    <n v="0"/>
    <n v="0"/>
  </r>
  <r>
    <s v="18.1.2"/>
    <x v="10"/>
    <x v="4"/>
    <m/>
    <m/>
    <s v="Roll Rate Analyser"/>
    <s v="In 'Extrapolate', highlight if any 'current' values are zero."/>
    <s v="Friedel"/>
    <d v="2009-05-15T00:00:00"/>
    <n v="0"/>
    <n v="0"/>
    <x v="3"/>
    <d v="2009-06-19T00:00:00"/>
    <n v="0"/>
    <n v="0"/>
  </r>
  <r>
    <s v="18.1.3"/>
    <x v="10"/>
    <x v="4"/>
    <m/>
    <m/>
    <s v="Roll Rate Analyser"/>
    <s v="In 'Extrapolate', allow the 'Roll Rate' to be  edited."/>
    <s v="Friedel"/>
    <d v="2009-05-15T00:00:00"/>
    <n v="0"/>
    <n v="0"/>
    <x v="3"/>
    <d v="2009-06-19T00:00:00"/>
    <n v="0"/>
    <n v="0"/>
  </r>
  <r>
    <s v="18.1.4"/>
    <x v="10"/>
    <x v="4"/>
    <m/>
    <m/>
    <s v="Roll Rate Analyser"/>
    <s v="In 'Copy' either copy full precision or allow precision to be configured."/>
    <s v="Friedel"/>
    <d v="2009-09-30T00:00:00"/>
    <n v="0"/>
    <n v="0"/>
    <x v="3"/>
    <d v="2009-06-19T00:00:00"/>
    <n v="0"/>
    <n v="0"/>
  </r>
  <r>
    <s v="03.3.2"/>
    <x v="10"/>
    <x v="4"/>
    <m/>
    <m/>
    <s v="Deal Analyser"/>
    <s v="Integrate SFTP scripts in loader"/>
    <s v="Neil"/>
    <d v="2009-05-11T00:00:00"/>
    <n v="0"/>
    <n v="0"/>
    <x v="3"/>
    <d v="2009-06-15T00:00:00"/>
    <n v="0"/>
    <n v="0"/>
  </r>
  <r>
    <s v="03.3.3"/>
    <x v="10"/>
    <x v="4"/>
    <m/>
    <m/>
    <s v="Deal Analyser"/>
    <s v="Test and release data loader"/>
    <s v="Neil"/>
    <d v="2009-05-11T00:00:00"/>
    <n v="0"/>
    <n v="0"/>
    <x v="3"/>
    <d v="2009-06-15T00:00:00"/>
    <n v="0"/>
    <n v="0"/>
  </r>
  <r>
    <s v="03.6.1"/>
    <x v="10"/>
    <x v="4"/>
    <m/>
    <m/>
    <s v="Deal Analyser"/>
    <s v="Write detailed support notes for ABSNet"/>
    <s v="Neil"/>
    <d v="2009-05-27T00:00:00"/>
    <n v="0"/>
    <n v="0"/>
    <x v="3"/>
    <d v="2009-06-15T00:00:00"/>
    <n v="0"/>
    <n v="0"/>
  </r>
  <r>
    <s v="03.2.3"/>
    <x v="10"/>
    <x v="4"/>
    <m/>
    <m/>
    <s v="Deal Analyser"/>
    <s v="Testing and comments from Research"/>
    <s v="David Covey"/>
    <d v="2009-04-29T00:00:00"/>
    <n v="0"/>
    <n v="0"/>
    <x v="3"/>
    <d v="2009-06-11T00:00:00"/>
    <n v="0"/>
    <n v="0"/>
  </r>
  <r>
    <s v="04.2"/>
    <x v="10"/>
    <x v="4"/>
    <m/>
    <m/>
    <s v="Matrix Pricing Application"/>
    <s v="Test and make release build"/>
    <s v="Neil"/>
    <d v="2009-04-08T00:00:00"/>
    <n v="0"/>
    <n v="0"/>
    <x v="3"/>
    <d v="2009-06-11T00:00:00"/>
    <n v="0"/>
    <n v="0"/>
  </r>
  <r>
    <s v="07.2.1"/>
    <x v="10"/>
    <x v="4"/>
    <m/>
    <m/>
    <s v="Development Environment"/>
    <s v="Schema save: Requirements"/>
    <s v="Neil"/>
    <d v="2010-07-02T00:00:00"/>
    <n v="2"/>
    <s v="Maintenance"/>
    <x v="3"/>
    <d v="2009-06-11T00:00:00"/>
    <n v="0"/>
    <n v="0"/>
  </r>
  <r>
    <s v="11.1.1"/>
    <x v="10"/>
    <x v="4"/>
    <m/>
    <m/>
    <s v="Admin"/>
    <s v="Turn audit items into plan items"/>
    <s v="Neil"/>
    <d v="2009-05-26T00:00:00"/>
    <n v="0"/>
    <n v="0"/>
    <x v="3"/>
    <d v="2009-06-11T00:00:00"/>
    <n v="0"/>
    <n v="0"/>
  </r>
  <r>
    <s v="11.2.1"/>
    <x v="10"/>
    <x v="4"/>
    <m/>
    <m/>
    <s v="Admin"/>
    <s v="Get 'ABS Primer' and morning meeting details Mumbai"/>
    <s v="Pramendra"/>
    <d v="2009-05-27T00:00:00"/>
    <n v="0"/>
    <n v="0"/>
    <x v="3"/>
    <d v="2009-06-11T00:00:00"/>
    <n v="0"/>
    <n v="0"/>
  </r>
  <r>
    <s v="01.2.05"/>
    <x v="10"/>
    <x v="4"/>
    <m/>
    <m/>
    <s v="Deals Database"/>
    <s v="Make use of Bloomberg Bridge"/>
    <s v="Neil"/>
    <d v="2009-05-27T00:00:00"/>
    <n v="0"/>
    <n v="0"/>
    <x v="3"/>
    <d v="2009-06-08T00:00:00"/>
    <n v="0"/>
    <n v="0"/>
  </r>
  <r>
    <s v="06.6"/>
    <x v="10"/>
    <x v="4"/>
    <m/>
    <m/>
    <s v="Shared application components "/>
    <s v="Add new 'UserConfig' database"/>
    <s v="Neil"/>
    <d v="2009-05-21T00:00:00"/>
    <n v="0"/>
    <n v="0"/>
    <x v="3"/>
    <d v="2009-06-02T00:00:00"/>
    <n v="0"/>
    <n v="0"/>
  </r>
  <r>
    <s v="10.1.4"/>
    <x v="10"/>
    <x v="4"/>
    <m/>
    <m/>
    <s v="Radial / Totoro / Other"/>
    <s v="Understand how Radial's Bloomberg Bridge works"/>
    <s v="David Covey"/>
    <d v="2009-04-23T00:00:00"/>
    <n v="0"/>
    <n v="0"/>
    <x v="3"/>
    <d v="2009-06-02T00:00:00"/>
    <n v="0"/>
    <n v="0"/>
  </r>
  <r>
    <s v="18.1.5"/>
    <x v="10"/>
    <x v="4"/>
    <m/>
    <m/>
    <s v="Roll Rate Analyser"/>
    <s v="Move Roll Rate Analyser to Trunk"/>
    <s v="Neil"/>
    <d v="2009-06-02T00:00:00"/>
    <n v="0"/>
    <n v="0"/>
    <x v="3"/>
    <d v="2009-06-02T00:00:00"/>
    <n v="0"/>
    <n v="0"/>
  </r>
  <r>
    <s v="03.3.1"/>
    <x v="10"/>
    <x v="4"/>
    <m/>
    <m/>
    <s v="Deal Analyser"/>
    <s v="Move loader application to Trunk"/>
    <s v="Neil"/>
    <d v="2009-05-11T00:00:00"/>
    <n v="0"/>
    <n v="0"/>
    <x v="3"/>
    <d v="2009-06-01T00:00:00"/>
    <n v="0"/>
    <n v="0"/>
  </r>
  <r>
    <s v="05.07.1"/>
    <x v="10"/>
    <x v="4"/>
    <m/>
    <m/>
    <s v="Loan level data"/>
    <s v="Add both views of a loan to detail drill in"/>
    <s v="David Covey"/>
    <d v="2009-05-11T00:00:00"/>
    <n v="0"/>
    <n v="0"/>
    <x v="3"/>
    <d v="2009-06-01T00:00:00"/>
    <n v="0"/>
    <n v="0"/>
  </r>
  <r>
    <s v="04.4.4"/>
    <x v="10"/>
    <x v="4"/>
    <m/>
    <m/>
    <s v="Matrix Pricing Application"/>
    <s v="Specify fields to use in Level 2 Matrix"/>
    <s v="Neil"/>
    <d v="2009-05-27T00:00:00"/>
    <n v="0"/>
    <n v="0"/>
    <x v="3"/>
    <d v="2009-05-27T00:00:00"/>
    <n v="0"/>
    <n v="0"/>
  </r>
  <r>
    <s v="03.5.01"/>
    <x v="10"/>
    <x v="4"/>
    <m/>
    <m/>
    <s v="Deal Analyser"/>
    <s v="Add 'All' and 'None' button to aggregate windows"/>
    <s v="David Covey"/>
    <d v="2009-05-21T00:00:00"/>
    <n v="0"/>
    <n v="0"/>
    <x v="3"/>
    <d v="2009-05-26T00:00:00"/>
    <n v="0"/>
    <n v="0"/>
  </r>
  <r>
    <s v="03.5.02"/>
    <x v="10"/>
    <x v="4"/>
    <m/>
    <m/>
    <s v="Deal Analyser"/>
    <s v="Allow 'Aggregates' list box to be widened"/>
    <s v="David Covey"/>
    <d v="2009-05-21T00:00:00"/>
    <n v="0"/>
    <n v="0"/>
    <x v="3"/>
    <d v="2009-05-26T00:00:00"/>
    <n v="0"/>
    <n v="0"/>
  </r>
  <r>
    <s v="01.2.01"/>
    <x v="10"/>
    <x v="4"/>
    <m/>
    <m/>
    <s v="Deals Database"/>
    <s v="Add additional BBG fields to support pricing"/>
    <s v="Neil"/>
    <d v="2009-05-11T00:00:00"/>
    <n v="0"/>
    <n v="0"/>
    <x v="3"/>
    <d v="2009-05-15T00:00:00"/>
    <n v="0"/>
    <n v="0"/>
  </r>
  <r>
    <s v="01.3.2"/>
    <x v="10"/>
    <x v="4"/>
    <m/>
    <m/>
    <s v="Deals Database"/>
    <s v="Merge duplicate ABSNet Master Trusts"/>
    <s v="Research"/>
    <d v="2009-05-12T00:00:00"/>
    <n v="0"/>
    <n v="0"/>
    <x v="3"/>
    <d v="2009-05-15T00:00:00"/>
    <n v="0"/>
    <n v="0"/>
  </r>
  <r>
    <s v="01.3.6"/>
    <x v="10"/>
    <x v="4"/>
    <m/>
    <m/>
    <s v="Deals Database"/>
    <s v="Populate bond Index data from Bloomberg."/>
    <s v="Research"/>
    <d v="2009-05-12T00:00:00"/>
    <n v="0"/>
    <n v="0"/>
    <x v="3"/>
    <d v="2009-05-15T00:00:00"/>
    <n v="0"/>
    <n v="0"/>
  </r>
  <r>
    <s v="01.1.2"/>
    <x v="10"/>
    <x v="4"/>
    <m/>
    <m/>
    <s v="Deals Database"/>
    <s v="Fix problem where fixing &gt;= work out date"/>
    <s v="Neil"/>
    <d v="2009-05-12T00:00:00"/>
    <n v="0"/>
    <n v="0"/>
    <x v="3"/>
    <d v="2009-05-12T00:00:00"/>
    <n v="0"/>
    <n v="0"/>
  </r>
  <r>
    <s v="01.3.1"/>
    <x v="10"/>
    <x v="4"/>
    <m/>
    <m/>
    <s v="Deals Database"/>
    <s v="Make Bond and Deal Id visible and searchable"/>
    <s v="Neil"/>
    <d v="2009-05-12T00:00:00"/>
    <n v="0"/>
    <n v="0"/>
    <x v="3"/>
    <d v="2009-05-12T00:00:00"/>
    <n v="0"/>
    <n v="0"/>
  </r>
  <r>
    <s v="05.03"/>
    <x v="10"/>
    <x v="4"/>
    <m/>
    <m/>
    <s v="Loan level data"/>
    <s v="Update ESAIL data for March + Add Wiki Notes"/>
    <s v="David Covey"/>
    <d v="2009-05-05T00:00:00"/>
    <n v="0"/>
    <n v="0"/>
    <x v="3"/>
    <d v="2009-05-06T00:00:00"/>
    <n v="0"/>
    <n v="0"/>
  </r>
  <r>
    <s v="06.5.1"/>
    <x v="10"/>
    <x v="4"/>
    <m/>
    <m/>
    <s v="Shared application components "/>
    <s v="Put tagged common libraries on C: Drive"/>
    <s v="Neil"/>
    <d v="2009-04-29T00:00:00"/>
    <n v="0"/>
    <n v="0"/>
    <x v="3"/>
    <d v="2009-04-30T00:00:00"/>
    <n v="0"/>
    <n v="0"/>
  </r>
  <r>
    <s v="01.1.1"/>
    <x v="10"/>
    <x v="4"/>
    <m/>
    <m/>
    <s v="Deals Database"/>
    <s v="Fix workout date issue of 3 bonds listed on 'Problem Bonds' Sheet"/>
    <s v="Research"/>
    <d v="2009-04-29T00:00:00"/>
    <n v="0"/>
    <n v="0"/>
    <x v="3"/>
    <d v="2009-04-29T00:00:00"/>
    <n v="0"/>
    <n v="0"/>
  </r>
  <r>
    <s v="03.2.1"/>
    <x v="10"/>
    <x v="4"/>
    <m/>
    <m/>
    <s v="Deal Analyser"/>
    <s v="Add aggregation functionality"/>
    <s v="David Covey"/>
    <d v="2009-04-23T00:00:00"/>
    <n v="0"/>
    <n v="0"/>
    <x v="3"/>
    <d v="2009-04-29T00:00:00"/>
    <n v="0"/>
    <n v="0"/>
  </r>
  <r>
    <s v="03.2.2"/>
    <x v="10"/>
    <x v="4"/>
    <m/>
    <m/>
    <s v="Deal Analyser"/>
    <s v="Add graphing functionality"/>
    <s v="David Covey"/>
    <d v="2009-04-23T00:00:00"/>
    <n v="0"/>
    <n v="0"/>
    <x v="3"/>
    <d v="2009-04-29T00:00:00"/>
    <n v="0"/>
    <n v="0"/>
  </r>
  <r>
    <s v="08.02"/>
    <x v="10"/>
    <x v="4"/>
    <m/>
    <m/>
    <s v="Production Environment"/>
    <s v="Get Ajay's team set up with the Deals DB"/>
    <s v="David Covey"/>
    <d v="2009-04-14T00:00:00"/>
    <n v="0"/>
    <n v="0"/>
    <x v="3"/>
    <d v="2009-04-29T00:00:00"/>
    <n v="0"/>
    <n v="0"/>
  </r>
  <r>
    <s v="09.1.01"/>
    <x v="10"/>
    <x v="4"/>
    <m/>
    <m/>
    <s v="Nomura Now"/>
    <s v="Agree interface with Duncan"/>
    <s v="David Covey"/>
    <d v="2009-04-22T00:00:00"/>
    <n v="0"/>
    <n v="0"/>
    <x v="3"/>
    <d v="2009-04-29T00:00:00"/>
    <n v="0"/>
    <n v="0"/>
  </r>
  <r>
    <s v="09.1.02"/>
    <x v="10"/>
    <x v="4"/>
    <m/>
    <m/>
    <s v="Nomura Now"/>
    <s v="Implement interface in dev"/>
    <s v="David Covey"/>
    <d v="2009-04-22T00:00:00"/>
    <n v="0"/>
    <n v="0"/>
    <x v="3"/>
    <d v="2009-04-29T00:00:00"/>
    <n v="0"/>
    <n v="0"/>
  </r>
  <r>
    <s v="03.1"/>
    <x v="10"/>
    <x v="4"/>
    <m/>
    <m/>
    <s v="Deal Analyser"/>
    <s v="Get feed from ABSNet and load into database"/>
    <s v="Research"/>
    <d v="2009-04-08T00:00:00"/>
    <n v="0"/>
    <n v="0"/>
    <x v="3"/>
    <d v="2009-04-07T00:00:00"/>
    <n v="0"/>
    <n v="0"/>
  </r>
  <r>
    <s v="07.5.10"/>
    <x v="10"/>
    <x v="4"/>
    <m/>
    <m/>
    <s v="Development Environment"/>
    <s v="Get dataservers for QA and Stage"/>
    <s v="Neil"/>
    <d v="2010-12-08T00:00:00"/>
    <n v="1"/>
    <s v="Enhancement"/>
    <x v="3"/>
    <d v="2009-04-07T00:00:00"/>
    <n v="0"/>
    <n v="0"/>
  </r>
  <r>
    <s v="10.1.9"/>
    <x v="11"/>
    <x v="1"/>
    <m/>
    <m/>
    <s v="Radial / Totoro / Other"/>
    <s v="Radial to accept a single XML file of updates for bonds"/>
    <s v="Neil"/>
    <d v="2010-04-16T00:00:00"/>
    <n v="2"/>
    <s v="Enhancement"/>
    <x v="1"/>
    <d v="2010-04-15T00:00:00"/>
    <n v="3"/>
    <n v="4"/>
  </r>
  <r>
    <s v="10.1.3"/>
    <x v="11"/>
    <x v="4"/>
    <m/>
    <m/>
    <s v="Radial / Totoro / Other"/>
    <s v="Don't automatically update fixings from Bloomberg"/>
    <s v="David Covey"/>
    <d v="2010-01-27T00:00:00"/>
    <n v="0"/>
    <n v="0"/>
    <x v="3"/>
    <d v="2010-03-02T00:00:00"/>
    <n v="0"/>
    <n v="0"/>
  </r>
  <r>
    <s v="01.3.13"/>
    <x v="12"/>
    <x v="0"/>
    <d v="2010-08-20T00:00:00"/>
    <m/>
    <s v="Deals Database"/>
    <s v="Remove duplicate Deals and Bonds"/>
    <s v="Neil"/>
    <d v="2010-08-13T00:00:00"/>
    <n v="1"/>
    <s v="Maintenance"/>
    <x v="0"/>
    <d v="2010-08-13T00:00:00"/>
    <n v="4"/>
    <n v="44"/>
  </r>
  <r>
    <s v="09.1.15"/>
    <x v="13"/>
    <x v="4"/>
    <m/>
    <m/>
    <s v="Nomura Now"/>
    <s v="SP for Deal Data for NN HPI Calculator"/>
    <s v="Gerald"/>
    <d v="2009-11-18T00:00:00"/>
    <n v="0.5"/>
    <n v="0"/>
    <x v="3"/>
    <d v="2010-04-15T00:00:00"/>
    <n v="0"/>
    <n v="0"/>
  </r>
  <r>
    <s v="04.4.2"/>
    <x v="14"/>
    <x v="4"/>
    <m/>
    <m/>
    <s v="Matrix Pricing Application"/>
    <s v="Develop test cases carry out testing"/>
    <s v="Neil"/>
    <d v="2009-04-24T00:00:00"/>
    <n v="0"/>
    <n v="0"/>
    <x v="3"/>
    <d v="2009-06-11T00:00:00"/>
    <n v="0"/>
    <n v="0"/>
  </r>
  <r>
    <s v="08.03"/>
    <x v="15"/>
    <x v="4"/>
    <m/>
    <m/>
    <s v="Production Environment"/>
    <s v="Get AMS calendar fixed to add Ascension Day"/>
    <s v="Neil"/>
    <d v="2009-04-14T00:00:00"/>
    <n v="0"/>
    <n v="0"/>
    <x v="3"/>
    <d v="2009-05-05T00:00:00"/>
    <n v="0"/>
    <n v="0"/>
  </r>
  <r>
    <s v="09.1.03"/>
    <x v="16"/>
    <x v="4"/>
    <m/>
    <m/>
    <s v="Nomura Now"/>
    <s v="Test Times Series Plotter with Dev"/>
    <s v="David Covey"/>
    <d v="2009-04-29T00:00:00"/>
    <n v="0"/>
    <n v="0"/>
    <x v="3"/>
    <d v="2009-06-02T00:00:00"/>
    <n v="0"/>
    <n v="0"/>
  </r>
  <r>
    <s v="10.1.2"/>
    <x v="17"/>
    <x v="4"/>
    <m/>
    <m/>
    <s v="Radial / Totoro / Other"/>
    <s v="Automatically update ratings from Bloomberg"/>
    <s v="Friedel"/>
    <d v="2009-04-14T00:00:00"/>
    <n v="0"/>
    <n v="0"/>
    <x v="3"/>
    <d v="2010-03-02T00:00:00"/>
    <n v="0"/>
    <n v="0"/>
  </r>
  <r>
    <s v="10.1.1"/>
    <x v="17"/>
    <x v="4"/>
    <m/>
    <m/>
    <s v="Radial / Totoro / Other"/>
    <s v="Modify Radial to show factored positions"/>
    <s v="David Covey"/>
    <d v="2009-04-23T00:00:00"/>
    <n v="0"/>
    <n v="0"/>
    <x v="3"/>
    <d v="2009-05-13T00:00:00"/>
    <n v="0"/>
    <n v="0"/>
  </r>
  <r>
    <s v="10.1.5"/>
    <x v="17"/>
    <x v="4"/>
    <m/>
    <m/>
    <s v="Radial / Totoro / Other"/>
    <s v="Fix Radial Position for factored bond on trade day"/>
    <s v="Neil"/>
    <d v="2009-04-30T00:00:00"/>
    <n v="0"/>
    <n v="0"/>
    <x v="3"/>
    <d v="2009-05-13T00:00:00"/>
    <n v="0"/>
    <n v="0"/>
  </r>
  <r>
    <s v="05.05.1"/>
    <x v="18"/>
    <x v="4"/>
    <m/>
    <m/>
    <s v="Loan level data"/>
    <s v="Add 2 fields to Mapping sheets and data base - not needed"/>
    <s v="David Covey"/>
    <d v="2009-06-30T00:00:00"/>
    <n v="0"/>
    <n v="0"/>
    <x v="3"/>
    <d v="2009-06-30T00:00:00"/>
    <n v="0"/>
    <n v="0"/>
  </r>
  <r>
    <s v="04.3"/>
    <x v="18"/>
    <x v="4"/>
    <m/>
    <m/>
    <s v="Matrix Pricing Application"/>
    <s v="Review application and feed back comments"/>
    <s v="Neil"/>
    <d v="2009-04-23T00:00:00"/>
    <n v="0"/>
    <n v="0"/>
    <x v="3"/>
    <d v="2009-05-26T00:00:00"/>
    <n v="0"/>
    <n v="0"/>
  </r>
  <r>
    <s v="08.01.6"/>
    <x v="19"/>
    <x v="4"/>
    <d v="2010-07-10T00:00:00"/>
    <m/>
    <s v="Production Environment"/>
    <s v="Better SAS Tools"/>
    <s v="Danny"/>
    <d v="2010-06-23T00:00:00"/>
    <n v="0.5"/>
    <s v="Enhancement"/>
    <x v="3"/>
    <d v="2010-08-16T00:00:00"/>
    <n v="0"/>
    <n v="0"/>
  </r>
  <r>
    <s v="07.3.1"/>
    <x v="20"/>
    <x v="4"/>
    <m/>
    <m/>
    <s v="Development Environment"/>
    <s v="Component One Licenses for Mumbai"/>
    <s v="Neil"/>
    <d v="2009-04-14T00:00:00"/>
    <n v="0"/>
    <n v="0"/>
    <x v="3"/>
    <d v="2009-04-29T00:00:00"/>
    <n v="0"/>
    <n v="0"/>
  </r>
  <r>
    <s v="10.3.3"/>
    <x v="21"/>
    <x v="1"/>
    <m/>
    <m/>
    <s v="Radial / Totoro / Other"/>
    <s v="RDM/QDB enhancements for ABS"/>
    <s v="David Covey"/>
    <d v="2010-01-22T00:00:00"/>
    <n v="0"/>
    <s v="Enhancement"/>
    <x v="0"/>
    <d v="2010-04-15T00:00:00"/>
    <n v="3"/>
    <n v="4"/>
  </r>
  <r>
    <s v="21.5.7"/>
    <x v="22"/>
    <x v="0"/>
    <d v="2010-08-12T00:00:00"/>
    <m/>
    <s v="Collateral Model"/>
    <s v="Model2Intex: Initial Team review"/>
    <s v="Neil"/>
    <d v="2010-11-01T00:00:00"/>
    <n v="1"/>
    <s v="NewDevelopment"/>
    <x v="3"/>
    <d v="2010-10-05T00:00:00"/>
    <n v="4"/>
    <n v="46"/>
  </r>
  <r>
    <s v="21.3.8"/>
    <x v="22"/>
    <x v="1"/>
    <d v="2010-07-21T00:00:00"/>
    <m/>
    <s v="Collateral Model"/>
    <s v="ModelCashflows: Team review"/>
    <s v="Neil"/>
    <d v="2010-06-24T00:00:00"/>
    <n v="1"/>
    <s v="NewDevelopment"/>
    <x v="1"/>
    <d v="2010-06-24T00:00:00"/>
    <n v="3"/>
    <n v="45"/>
  </r>
  <r>
    <s v="01.3.14"/>
    <x v="22"/>
    <x v="6"/>
    <m/>
    <m/>
    <s v="Deals Database"/>
    <s v="Various DealsDB clean up for end of 2010 Outlook report"/>
    <s v="Ajay"/>
    <d v="2010-12-08T00:00:00"/>
    <n v="5"/>
    <s v="Support"/>
    <x v="0"/>
    <d v="2010-12-08T00:00:00"/>
    <n v="5"/>
    <n v="26"/>
  </r>
  <r>
    <s v="19.2"/>
    <x v="22"/>
    <x v="0"/>
    <m/>
    <m/>
    <s v="Support"/>
    <s v="Daily deal DB refresh"/>
    <s v="Neil"/>
    <d v="2009-11-18T00:00:00"/>
    <n v="13"/>
    <s v="Support"/>
    <x v="3"/>
    <d v="2010-08-16T00:00:00"/>
    <n v="4"/>
    <n v="13"/>
  </r>
  <r>
    <s v="19.3"/>
    <x v="22"/>
    <x v="0"/>
    <m/>
    <m/>
    <s v="Support"/>
    <s v="Loan Level data, queries and uploads"/>
    <s v="Neil"/>
    <d v="2009-11-18T00:00:00"/>
    <n v="26"/>
    <s v="Support"/>
    <x v="5"/>
    <d v="2010-04-15T00:00:00"/>
    <n v="4"/>
    <n v="13"/>
  </r>
  <r>
    <s v="21.5.10"/>
    <x v="22"/>
    <x v="1"/>
    <m/>
    <m/>
    <s v="Collateral Model"/>
    <s v="Model2Intex: Final review"/>
    <s v="Neil"/>
    <d v="2010-11-01T00:00:00"/>
    <n v="1"/>
    <s v="NewDevelopment"/>
    <x v="1"/>
    <d v="2010-11-01T00:00:00"/>
    <n v="3"/>
    <n v="4"/>
  </r>
  <r>
    <s v="02.4.4"/>
    <x v="22"/>
    <x v="1"/>
    <m/>
    <m/>
    <s v="Intex"/>
    <s v="Intex Wrapper: Review and agree implementation"/>
    <s v="Neil"/>
    <d v="2010-02-09T00:00:00"/>
    <n v="2"/>
    <s v="NewDevelopment"/>
    <x v="1"/>
    <d v="2010-04-15T00:00:00"/>
    <n v="3"/>
    <n v="4"/>
  </r>
  <r>
    <s v="10.5.5"/>
    <x v="22"/>
    <x v="4"/>
    <m/>
    <m/>
    <s v="Radial / Totoro / Other"/>
    <s v="BBG Rates: Code Review"/>
    <s v="Neil"/>
    <d v="2010-09-08T00:00:00"/>
    <n v="1"/>
    <s v="NewDevelopment"/>
    <x v="3"/>
    <d v="2010-12-09T00:00:00"/>
    <n v="0"/>
    <n v="1"/>
  </r>
  <r>
    <s v="25.1.5"/>
    <x v="22"/>
    <x v="4"/>
    <d v="2010-09-24T00:00:00"/>
    <m/>
    <s v="Markit"/>
    <s v="Market1: Review"/>
    <s v="Neil"/>
    <d v="2010-09-08T00:00:00"/>
    <n v="1"/>
    <s v="NewDevelopment"/>
    <x v="3"/>
    <d v="2010-11-09T00:00:00"/>
    <n v="0"/>
    <n v="0"/>
  </r>
  <r>
    <s v="05.21.6"/>
    <x v="22"/>
    <x v="4"/>
    <m/>
    <m/>
    <s v="Loan level data"/>
    <s v="LoanHandling: Team Review and incorporate comments"/>
    <s v="Neil"/>
    <d v="2010-07-29T00:00:00"/>
    <n v="3"/>
    <s v="NewDevelopment"/>
    <x v="3"/>
    <d v="2010-11-01T00:00:00"/>
    <n v="0"/>
    <n v="0"/>
  </r>
  <r>
    <s v="21.4.5"/>
    <x v="22"/>
    <x v="4"/>
    <d v="2010-07-21T00:00:00"/>
    <m/>
    <s v="Collateral Model"/>
    <s v="IntexCduPss: Review Implementation"/>
    <s v="Neil"/>
    <d v="2010-07-02T00:00:00"/>
    <n v="0.5"/>
    <s v="NewDevelopment"/>
    <x v="3"/>
    <d v="2010-10-06T00:00:00"/>
    <n v="0"/>
    <n v="0"/>
  </r>
  <r>
    <s v="09.4.5"/>
    <x v="22"/>
    <x v="4"/>
    <d v="2010-09-06T00:00:00"/>
    <m/>
    <s v="Nomura Now"/>
    <s v="NN RRA: Code review"/>
    <s v="Neil"/>
    <d v="2010-08-20T00:00:00"/>
    <n v="1"/>
    <s v="NewDevelopment"/>
    <x v="3"/>
    <d v="2010-09-22T00:00:00"/>
    <n v="0"/>
    <n v="0"/>
  </r>
  <r>
    <s v="09.4.2"/>
    <x v="22"/>
    <x v="4"/>
    <d v="2010-08-25T00:00:00"/>
    <m/>
    <s v="Nomura Now"/>
    <s v="NN RRA: Review Design"/>
    <s v="Neil"/>
    <d v="2010-08-20T00:00:00"/>
    <n v="1"/>
    <s v="NewDevelopment"/>
    <x v="3"/>
    <d v="2010-08-27T00:00:00"/>
    <n v="0"/>
    <n v="0"/>
  </r>
  <r>
    <s v="24.1.5"/>
    <x v="22"/>
    <x v="4"/>
    <d v="2010-08-19T00:00:00"/>
    <m/>
    <s v="Client Tracker"/>
    <s v="ClientTracker: Review Implementation"/>
    <s v="Neil"/>
    <d v="2010-06-24T00:00:00"/>
    <n v="1"/>
    <s v="NewDevelopment"/>
    <x v="3"/>
    <d v="2010-08-20T00:00:00"/>
    <n v="0"/>
    <n v="0"/>
  </r>
  <r>
    <s v="24.1.3"/>
    <x v="22"/>
    <x v="4"/>
    <d v="2010-06-30T00:00:00"/>
    <m/>
    <s v="Client Tracker"/>
    <s v="ClientTracker: Review Design"/>
    <s v="Neil"/>
    <d v="2010-06-24T00:00:00"/>
    <n v="1"/>
    <s v="NewDevelopment"/>
    <x v="3"/>
    <d v="2010-08-17T00:00:00"/>
    <n v="0"/>
    <n v="0"/>
  </r>
  <r>
    <s v="19.1"/>
    <x v="22"/>
    <x v="4"/>
    <d v="2010-08-11T00:00:00"/>
    <m/>
    <s v="Support"/>
    <s v="Totoro support for finance"/>
    <s v="Friedel"/>
    <d v="2009-11-03T00:00:00"/>
    <n v="5.2"/>
    <s v="Support"/>
    <x v="3"/>
    <d v="2010-08-16T00:00:00"/>
    <n v="0"/>
    <n v="0"/>
  </r>
  <r>
    <s v="19.4"/>
    <x v="22"/>
    <x v="4"/>
    <m/>
    <m/>
    <s v="Support"/>
    <s v="Adding bonds"/>
    <s v="Neil"/>
    <d v="2009-11-18T00:00:00"/>
    <n v="6.5"/>
    <s v="Support"/>
    <x v="3"/>
    <d v="2010-08-16T00:00:00"/>
    <n v="0"/>
    <n v="0"/>
  </r>
  <r>
    <s v="21.3.3"/>
    <x v="22"/>
    <x v="4"/>
    <d v="2010-07-03T00:00:00"/>
    <m/>
    <s v="Collateral Model"/>
    <s v="ModelCashflows: Review initial design"/>
    <s v="Neil"/>
    <d v="2010-06-24T00:00:00"/>
    <n v="2"/>
    <s v="NewDevelopment"/>
    <x v="3"/>
    <d v="2010-07-14T00:00:00"/>
    <n v="0"/>
    <n v="0"/>
  </r>
  <r>
    <s v="21.2.4"/>
    <x v="22"/>
    <x v="4"/>
    <m/>
    <m/>
    <s v="Collateral Model"/>
    <s v="Collateral Model: Review and agree implementation"/>
    <s v="Neil"/>
    <d v="2010-02-09T00:00:00"/>
    <n v="2"/>
    <n v="0"/>
    <x v="3"/>
    <d v="2010-04-23T00:00:00"/>
    <n v="0"/>
    <n v="0"/>
  </r>
  <r>
    <s v="02.4.2"/>
    <x v="22"/>
    <x v="4"/>
    <m/>
    <m/>
    <s v="Intex"/>
    <s v="Intex Wrapper: Review and agree design"/>
    <s v="Neil"/>
    <d v="2010-02-09T00:00:00"/>
    <n v="2"/>
    <n v="0"/>
    <x v="3"/>
    <d v="2010-03-09T00:00:00"/>
    <n v="0"/>
    <n v="0"/>
  </r>
  <r>
    <s v="21.2.2"/>
    <x v="22"/>
    <x v="4"/>
    <m/>
    <n v="1"/>
    <s v="Collateral Model"/>
    <s v="Collateral Model: Review and agree design"/>
    <s v="Neil"/>
    <d v="2010-02-23T00:00:00"/>
    <n v="2"/>
    <n v="0"/>
    <x v="3"/>
    <d v="2010-03-09T00:00:00"/>
    <n v="0"/>
    <n v="0"/>
  </r>
  <r>
    <s v="01.3.11"/>
    <x v="23"/>
    <x v="2"/>
    <m/>
    <m/>
    <s v="Deals Database"/>
    <s v="Correct date issues for LegalMaturity and First Settlement"/>
    <s v="David"/>
    <d v="2010-04-15T00:00:00"/>
    <n v="1"/>
    <s v="Maintenance"/>
    <x v="0"/>
    <d v="2010-03-09T00:00:00"/>
    <n v="2"/>
    <n v="3"/>
  </r>
  <r>
    <m/>
    <x v="24"/>
    <x v="7"/>
    <m/>
    <m/>
    <m/>
    <m/>
    <m/>
    <m/>
    <m/>
    <m/>
    <x v="6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10">
  <r>
    <s v="04.9.1"/>
    <x v="0"/>
    <x v="0"/>
    <m/>
    <n v="1"/>
    <s v="Matrix Pricing Application"/>
    <s v="Research to review Matrix and fully populate."/>
    <s v="David Covey"/>
    <d v="2009-10-28T00:00:00"/>
    <n v="4"/>
    <s v="Other"/>
    <x v="0"/>
  </r>
  <r>
    <s v="06.9.4"/>
    <x v="1"/>
    <x v="0"/>
    <m/>
    <m/>
    <s v="Shared application components "/>
    <s v="Make an exception be thrown if databases from more than one server are accessed, except in special circumstances."/>
    <s v="Neil"/>
    <d v="2010-11-23T00:00:00"/>
    <n v="1"/>
    <s v="Enhancement"/>
    <x v="1"/>
  </r>
  <r>
    <s v="08.14.2"/>
    <x v="1"/>
    <x v="0"/>
    <m/>
    <m/>
    <s v="Production Environment"/>
    <s v="Remove all mention of specific environments from the registry/environment variables."/>
    <s v="Neil"/>
    <d v="2010-11-23T00:00:00"/>
    <n v="1"/>
    <s v="Maintenance"/>
    <x v="1"/>
  </r>
  <r>
    <s v="12.4.1"/>
    <x v="1"/>
    <x v="0"/>
    <m/>
    <m/>
    <s v="Utilities"/>
    <s v="Create addin for simple field retrieval"/>
    <s v="Ajay"/>
    <d v="2010-11-23T00:00:00"/>
    <n v="3"/>
    <s v="NewDevelopment"/>
    <x v="1"/>
  </r>
  <r>
    <s v="16.9.2"/>
    <x v="1"/>
    <x v="0"/>
    <m/>
    <m/>
    <s v="Macro Economic Data"/>
    <s v="Productionise Italian Land Registry Downloader"/>
    <s v="Friedel"/>
    <d v="2010-11-23T00:00:00"/>
    <n v="3"/>
    <s v="Maintenance"/>
    <x v="1"/>
  </r>
  <r>
    <s v="05.05.6"/>
    <x v="1"/>
    <x v="1"/>
    <m/>
    <m/>
    <s v="Loan level data"/>
    <s v="Modify schema names in 'Loan' database."/>
    <s v="Neil"/>
    <d v="2010-06-23T00:00:00"/>
    <n v="0"/>
    <s v="Maintenance"/>
    <x v="1"/>
  </r>
  <r>
    <s v="14.4.2"/>
    <x v="1"/>
    <x v="1"/>
    <m/>
    <m/>
    <s v="Stratification tool / PALS"/>
    <s v="Use DealId in database not BBG Deal Name"/>
    <s v="Neil"/>
    <d v="2010-05-04T00:00:00"/>
    <n v="2"/>
    <s v="Maintenance"/>
    <x v="1"/>
  </r>
  <r>
    <s v="29.1.1"/>
    <x v="1"/>
    <x v="1"/>
    <m/>
    <m/>
    <s v="Price monitor"/>
    <s v="Gather requirements"/>
    <s v="Zhuu"/>
    <d v="2010-10-15T00:00:00"/>
    <n v="5"/>
    <s v="NewDevelopment"/>
    <x v="1"/>
  </r>
  <r>
    <s v="04.10.32"/>
    <x v="1"/>
    <x v="1"/>
    <m/>
    <m/>
    <s v="Matrix Pricing Application"/>
    <s v="Add 'Bulk upload' functionality to L3 on Matrix GUI, to allow many isins to be set easily by users."/>
    <s v="Zhuu"/>
    <d v="2010-11-05T00:00:00"/>
    <n v="2"/>
    <s v="Enhancement"/>
    <x v="1"/>
  </r>
  <r>
    <s v="04.10.31"/>
    <x v="1"/>
    <x v="1"/>
    <m/>
    <m/>
    <s v="Matrix Pricing Application"/>
    <s v="Add 'OriginalPaymentPriority’ functionality"/>
    <s v="Zhuu"/>
    <d v="2010-12-09T00:00:00"/>
    <n v="3"/>
    <s v="Enhancement"/>
    <x v="1"/>
  </r>
  <r>
    <s v="30.2.1"/>
    <x v="1"/>
    <x v="1"/>
    <m/>
    <m/>
    <s v="Trader Runs to Bloomberg"/>
    <s v="OpeningRunsGUI: Design"/>
    <s v="Neil"/>
    <d v="2010-11-01T00:00:00"/>
    <n v="1"/>
    <s v="NewDevelopment"/>
    <x v="1"/>
  </r>
  <r>
    <s v="30.2.2"/>
    <x v="1"/>
    <x v="1"/>
    <m/>
    <m/>
    <s v="Trader Runs to Bloomberg"/>
    <s v="OpeningRunsGUI: Implement"/>
    <s v="Neil"/>
    <d v="2010-11-01T00:00:00"/>
    <n v="5"/>
    <s v="NewDevelopment"/>
    <x v="1"/>
  </r>
  <r>
    <s v="31.2.1"/>
    <x v="1"/>
    <x v="1"/>
    <m/>
    <m/>
    <s v="Daily Book Marking for MIS (AVR)"/>
    <s v="Gather requirements"/>
    <s v="Zhuu"/>
    <d v="2010-10-26T00:00:00"/>
    <n v="2"/>
    <s v="NewDevelopment"/>
    <x v="1"/>
  </r>
  <r>
    <s v="10.6.1"/>
    <x v="1"/>
    <x v="1"/>
    <m/>
    <m/>
    <s v="Radial / Totoro / Other"/>
    <s v="Find a way to handle Fingal Exceptions"/>
    <s v="Neil"/>
    <d v="2010-10-08T00:00:00"/>
    <n v="1"/>
    <s v="Enhancement"/>
    <x v="1"/>
  </r>
  <r>
    <s v="08.13.1"/>
    <x v="1"/>
    <x v="1"/>
    <m/>
    <m/>
    <s v="Production Environment"/>
    <s v="Daily maintainance of Indices and permissions"/>
    <s v="Neil"/>
    <d v="2010-10-07T00:00:00"/>
    <n v="2"/>
    <s v="Enhancement"/>
    <x v="1"/>
  </r>
  <r>
    <s v="09.8.1"/>
    <x v="1"/>
    <x v="1"/>
    <m/>
    <m/>
    <s v="Nomura Now"/>
    <s v="Use Autosys to link to Nomura Now jobs for cache refreshes"/>
    <s v="Neil"/>
    <d v="2010-10-05T00:00:00"/>
    <n v="5"/>
    <s v="NewDevelopment"/>
    <x v="1"/>
  </r>
  <r>
    <s v="12.5.1"/>
    <x v="1"/>
    <x v="1"/>
    <m/>
    <m/>
    <s v="Utilities"/>
    <s v="Sheduled job to set DB permissions and refresh Indices"/>
    <s v="Neil"/>
    <d v="2010-10-01T00:00:00"/>
    <n v="2"/>
    <s v="NewDevelopment"/>
    <x v="1"/>
  </r>
  <r>
    <s v="06.7.5"/>
    <x v="1"/>
    <x v="1"/>
    <m/>
    <m/>
    <s v="Shared application components "/>
    <s v="Developer a GUI 'attachments' element and add to  TradeBlotter and  ClientTracker"/>
    <s v="Neil"/>
    <d v="2010-09-17T00:00:00"/>
    <n v="3"/>
    <s v="Enhancement"/>
    <x v="1"/>
  </r>
  <r>
    <s v="16.11.4"/>
    <x v="1"/>
    <x v="1"/>
    <m/>
    <m/>
    <s v="Macro Economic Data"/>
    <s v="ES Repo Rates: Review"/>
    <s v="Friedel"/>
    <d v="2010-07-05T00:00:00"/>
    <n v="1"/>
    <s v="NewDevelopment"/>
    <x v="1"/>
  </r>
  <r>
    <s v="16.11.5"/>
    <x v="1"/>
    <x v="1"/>
    <m/>
    <m/>
    <s v="Macro Economic Data"/>
    <s v="ES Repo Rates: Release"/>
    <s v="Friedel"/>
    <d v="2010-07-05T00:00:00"/>
    <n v="1"/>
    <s v="NewDevelopment"/>
    <x v="1"/>
  </r>
  <r>
    <s v="03.6.7"/>
    <x v="1"/>
    <x v="1"/>
    <m/>
    <m/>
    <s v="Deal Analyser"/>
    <s v="Clean up ABS Net Log and other fixes"/>
    <s v="Neil"/>
    <d v="2010-09-17T00:00:00"/>
    <n v="2"/>
    <s v="Maintenance"/>
    <x v="1"/>
  </r>
  <r>
    <s v="16.4"/>
    <x v="1"/>
    <x v="1"/>
    <m/>
    <m/>
    <s v="Macro Economic Data"/>
    <s v="Move Halifax HPA data to Surveillance DB"/>
    <s v="Neil"/>
    <d v="2009-09-01T00:00:00"/>
    <n v="2"/>
    <s v="Enhancement"/>
    <x v="1"/>
  </r>
  <r>
    <s v="20.1.5"/>
    <x v="1"/>
    <x v="1"/>
    <m/>
    <m/>
    <s v="CMBS - TREPP"/>
    <s v="Automate Trepp data download"/>
    <s v="Neil"/>
    <d v="2010-06-08T00:00:00"/>
    <n v="7"/>
    <s v="NewDevelopment"/>
    <x v="1"/>
  </r>
  <r>
    <s v="01.2.41"/>
    <x v="1"/>
    <x v="1"/>
    <m/>
    <m/>
    <s v="Deals Database"/>
    <s v="Represent Master Trusts in the database"/>
    <s v="Neil"/>
    <d v="2010-05-06T00:00:00"/>
    <n v="3"/>
    <s v="Enhancement"/>
    <x v="1"/>
  </r>
  <r>
    <s v="05.16.2"/>
    <x v="1"/>
    <x v="1"/>
    <m/>
    <m/>
    <s v="Loan level data"/>
    <s v="Bug with null dates coming in as 1-Jan-1970"/>
    <s v="Danny"/>
    <d v="2009-11-25T00:00:00"/>
    <n v="0.5"/>
    <s v="Maintenance"/>
    <x v="1"/>
  </r>
  <r>
    <s v="08.09.3"/>
    <x v="1"/>
    <x v="1"/>
    <m/>
    <m/>
    <s v="Production Environment"/>
    <s v="Get NT Groups set up for Database access"/>
    <s v="Neil"/>
    <d v="2009-09-18T00:00:00"/>
    <n v="3"/>
    <s v="Enhancement"/>
    <x v="1"/>
  </r>
  <r>
    <s v="11.2.17"/>
    <x v="1"/>
    <x v="1"/>
    <m/>
    <m/>
    <s v="Admin"/>
    <s v="Log application startup to database to show app usage"/>
    <s v="Neil"/>
    <d v="2010-04-06T00:00:00"/>
    <n v="1"/>
    <s v="NewDevelopment"/>
    <x v="1"/>
  </r>
  <r>
    <s v="14.4.1"/>
    <x v="1"/>
    <x v="1"/>
    <m/>
    <m/>
    <s v="Stratification tool / PALS"/>
    <s v="Add BTL flag on filter"/>
    <s v="David"/>
    <d v="2010-01-18T00:00:00"/>
    <n v="1"/>
    <s v="NewDevelopment"/>
    <x v="1"/>
  </r>
  <r>
    <s v="15.3.3"/>
    <x v="1"/>
    <x v="1"/>
    <m/>
    <m/>
    <s v="Excel DB Transition"/>
    <s v="Add trigger definitions to Addin"/>
    <s v="Pramendra"/>
    <d v="2009-11-10T00:00:00"/>
    <n v="3"/>
    <s v="NewDevelopment"/>
    <x v="0"/>
  </r>
  <r>
    <s v="16.5.1"/>
    <x v="1"/>
    <x v="1"/>
    <m/>
    <m/>
    <s v="Macro Economic Data"/>
    <s v="Automate email to Research"/>
    <s v="Neil"/>
    <d v="2010-02-01T00:00:00"/>
    <n v="3"/>
    <s v="Enhancement"/>
    <x v="1"/>
  </r>
  <r>
    <s v="16.7.2"/>
    <x v="1"/>
    <x v="1"/>
    <m/>
    <m/>
    <s v="Macro Economic Data"/>
    <s v="Retrieve Italy HPI data"/>
    <s v="Shubh"/>
    <d v="2009-09-30T00:00:00"/>
    <n v="7"/>
    <s v="NewDevelopment"/>
    <x v="1"/>
  </r>
  <r>
    <s v="20.2"/>
    <x v="1"/>
    <x v="1"/>
    <m/>
    <m/>
    <s v="CMBS - TREPP"/>
    <s v="Implement and integrate"/>
    <s v="David Covey"/>
    <d v="2009-11-18T00:00:00"/>
    <n v="180"/>
    <s v="NewDevelopment"/>
    <x v="2"/>
  </r>
  <r>
    <s v="01.2.53"/>
    <x v="1"/>
    <x v="2"/>
    <m/>
    <m/>
    <s v="Deals Database"/>
    <s v="Remove dependancy on DealsDbDataAccessLayer from DealsDB App - replace with DealsDbOOLayer."/>
    <s v="Neil"/>
    <d v="2010-10-19T00:00:00"/>
    <n v="2"/>
    <s v="Enhancement"/>
    <x v="1"/>
  </r>
  <r>
    <s v="05.14.2"/>
    <x v="1"/>
    <x v="2"/>
    <m/>
    <m/>
    <s v="Loan level data"/>
    <s v="Implement mapping for Great Hall"/>
    <s v="David Covey"/>
    <d v="2009-09-30T00:00:00"/>
    <n v="3"/>
    <s v="NewDevelopment"/>
    <x v="1"/>
  </r>
  <r>
    <s v="06.12.1"/>
    <x v="1"/>
    <x v="2"/>
    <m/>
    <m/>
    <s v="Shared application components "/>
    <s v="Modify to take svn login credentials from config"/>
    <s v="Neil"/>
    <d v="2010-10-26T00:00:00"/>
    <n v="1"/>
    <s v="Enhancement"/>
    <x v="1"/>
  </r>
  <r>
    <s v="01.2.48"/>
    <x v="1"/>
    <x v="2"/>
    <m/>
    <m/>
    <s v="Deals Database"/>
    <s v="Make POOL_ID mapping via a link table"/>
    <s v="Neil"/>
    <d v="2010-10-01T00:00:00"/>
    <n v="2"/>
    <s v="Enhancement"/>
    <x v="1"/>
  </r>
  <r>
    <s v="27.1"/>
    <x v="1"/>
    <x v="2"/>
    <m/>
    <m/>
    <s v="Totoro Reconciliation"/>
    <s v="Gather requirements"/>
    <s v="Juan"/>
    <d v="2010-10-01T00:00:00"/>
    <n v="1"/>
    <s v="NewDevelopment"/>
    <x v="2"/>
  </r>
  <r>
    <s v="28.1"/>
    <x v="1"/>
    <x v="2"/>
    <m/>
    <m/>
    <s v="Inventory Viewer"/>
    <s v="Gather Requirements"/>
    <s v="Juan"/>
    <d v="2010-10-01T00:00:00"/>
    <n v="1"/>
    <s v="NewDevelopment"/>
    <x v="2"/>
  </r>
  <r>
    <s v="09.1.20"/>
    <x v="1"/>
    <x v="2"/>
    <m/>
    <m/>
    <s v="Nomura Now"/>
    <s v="Make sure all NN SPs return dealIds and bondIds only"/>
    <s v="Neil"/>
    <d v="2010-01-19T00:00:00"/>
    <n v="2"/>
    <s v="Enhancement"/>
    <x v="1"/>
  </r>
  <r>
    <s v="03.8.14"/>
    <x v="1"/>
    <x v="2"/>
    <m/>
    <m/>
    <s v="Deal Analyser"/>
    <s v="CE - Design override GUI"/>
    <s v="Neil"/>
    <d v="2010-08-13T00:00:00"/>
    <n v="1"/>
    <s v="Enhancement"/>
    <x v="1"/>
  </r>
  <r>
    <s v="16.11.2"/>
    <x v="1"/>
    <x v="2"/>
    <m/>
    <m/>
    <s v="Macro Economic Data"/>
    <s v="ES Repo Rates: Define Requirements"/>
    <s v="Friedel"/>
    <d v="2010-07-05T00:00:00"/>
    <n v="1"/>
    <s v="NewDevelopment"/>
    <x v="1"/>
  </r>
  <r>
    <s v="16.11.3"/>
    <x v="1"/>
    <x v="2"/>
    <m/>
    <m/>
    <s v="Macro Economic Data"/>
    <s v="ES Repo Rates: Design and implement"/>
    <s v="Friedel"/>
    <d v="2010-07-05T00:00:00"/>
    <n v="4"/>
    <s v="NewDevelopment"/>
    <x v="1"/>
  </r>
  <r>
    <s v="03.8.13"/>
    <x v="1"/>
    <x v="2"/>
    <m/>
    <m/>
    <s v="Deal Analyser"/>
    <s v="CE - Make use of PerformanceDataLib"/>
    <s v="Ruth"/>
    <d v="2010-07-28T00:00:00"/>
    <n v="1"/>
    <s v="Enhancement"/>
    <x v="1"/>
  </r>
  <r>
    <s v="23.1.7"/>
    <x v="1"/>
    <x v="2"/>
    <m/>
    <m/>
    <s v="BBG Performance Data"/>
    <s v="Make use of PerformanceData Lib"/>
    <s v="Ruth"/>
    <d v="2010-07-28T00:00:00"/>
    <n v="1"/>
    <s v="Enhancement"/>
    <x v="1"/>
  </r>
  <r>
    <s v="01.2.46"/>
    <x v="1"/>
    <x v="2"/>
    <m/>
    <m/>
    <s v="Deals Database"/>
    <s v="Deals DB changes for Master Trusts"/>
    <s v="Neil"/>
    <d v="2010-12-08T00:00:00"/>
    <n v="3"/>
    <s v="Enhancement"/>
    <x v="1"/>
  </r>
  <r>
    <s v="01.2.28"/>
    <x v="1"/>
    <x v="2"/>
    <m/>
    <m/>
    <s v="Deals Database"/>
    <s v="Add ability to vew/set custom bond attributes"/>
    <s v="Neil"/>
    <d v="2009-12-16T00:00:00"/>
    <n v="2"/>
    <s v="NewDevelopment"/>
    <x v="1"/>
  </r>
  <r>
    <s v="01.3.9"/>
    <x v="1"/>
    <x v="2"/>
    <m/>
    <m/>
    <s v="Deals Database"/>
    <s v="Fix Deal Issue Amount to be in currency of collateral."/>
    <s v="Neil"/>
    <d v="2009-12-07T00:00:00"/>
    <n v="2"/>
    <s v="Maintenance"/>
    <x v="1"/>
  </r>
  <r>
    <s v="02.2"/>
    <x v="1"/>
    <x v="2"/>
    <m/>
    <m/>
    <s v="Intex"/>
    <s v="Intex verses BBG cashflow comparator to identify where default BBG cashflows are very different from Intex"/>
    <s v="David Covey"/>
    <d v="2009-11-18T00:00:00"/>
    <n v="45"/>
    <s v="NewDevelopment"/>
    <x v="2"/>
  </r>
  <r>
    <s v="03.5.09"/>
    <x v="1"/>
    <x v="2"/>
    <m/>
    <m/>
    <s v="Deal Analyser"/>
    <s v="Make Deal Analyser Handle Master Trusts"/>
    <s v="Neil"/>
    <d v="2009-08-24T00:00:00"/>
    <n v="4"/>
    <s v="NewDevelopment"/>
    <x v="1"/>
  </r>
  <r>
    <s v="03.5.13"/>
    <x v="1"/>
    <x v="2"/>
    <m/>
    <m/>
    <s v="Deal Analyser"/>
    <s v="Prevent commas and semi-colons in aggregate names"/>
    <s v="Gerald"/>
    <d v="2009-10-28T00:00:00"/>
    <n v="0.5"/>
    <s v="Maintenance"/>
    <x v="1"/>
  </r>
  <r>
    <s v="03.6.4"/>
    <x v="1"/>
    <x v="2"/>
    <m/>
    <m/>
    <s v="Deal Analyser"/>
    <s v="Add checks to the ABSNet data loader to check for any deals missing from the feed, and to email the result to the group."/>
    <s v="Neil"/>
    <d v="2009-07-07T00:00:00"/>
    <n v="4"/>
    <s v="Enhancement"/>
    <x v="1"/>
  </r>
  <r>
    <s v="03.7.2"/>
    <x v="1"/>
    <x v="2"/>
    <m/>
    <m/>
    <s v="Deal Analyser"/>
    <s v="Implement Deal Level Delinquencies"/>
    <s v="Danny"/>
    <d v="2009-11-18T00:00:00"/>
    <n v="5"/>
    <s v="NewDevelopment"/>
    <x v="1"/>
  </r>
  <r>
    <s v="03.8.6"/>
    <x v="1"/>
    <x v="2"/>
    <m/>
    <m/>
    <s v="Deal Analyser"/>
    <s v="CE - Extend CE for more esoteric deals"/>
    <s v="Ajay"/>
    <d v="2010-05-06T00:00:00"/>
    <n v="10"/>
    <s v="NewDevelopment"/>
    <x v="1"/>
  </r>
  <r>
    <s v="05.14.1"/>
    <x v="1"/>
    <x v="2"/>
    <m/>
    <m/>
    <s v="Loan level data"/>
    <s v="Add Great Hall loans -  raw + document"/>
    <s v="David Covey"/>
    <d v="2009-09-30T00:00:00"/>
    <n v="4"/>
    <s v="NewDevelopment"/>
    <x v="0"/>
  </r>
  <r>
    <s v="05.19.1"/>
    <x v="1"/>
    <x v="2"/>
    <m/>
    <m/>
    <s v="Loan level data"/>
    <s v="Add EMF loans -  raw + document"/>
    <s v="Danny"/>
    <d v="2010-01-22T00:00:00"/>
    <n v="3"/>
    <s v="NewDevelopment"/>
    <x v="1"/>
  </r>
  <r>
    <s v="05.19.2"/>
    <x v="1"/>
    <x v="2"/>
    <m/>
    <m/>
    <s v="Loan level data"/>
    <s v="Implement mapping for EMF"/>
    <s v="Danny"/>
    <d v="2010-01-22T00:00:00"/>
    <n v="4"/>
    <s v="NewDevelopment"/>
    <x v="1"/>
  </r>
  <r>
    <s v="05.20.1"/>
    <x v="1"/>
    <x v="2"/>
    <m/>
    <m/>
    <s v="Loan level data"/>
    <s v="Check for duplicate/missing columns in file loader"/>
    <s v="Danny"/>
    <d v="2010-02-05T00:00:00"/>
    <n v="0.5"/>
    <s v="Enhancement"/>
    <x v="1"/>
  </r>
  <r>
    <s v="16.3"/>
    <x v="1"/>
    <x v="2"/>
    <m/>
    <m/>
    <s v="Macro Economic Data"/>
    <s v="Add Nationwide House Price Data"/>
    <s v="David"/>
    <d v="2009-08-27T00:00:00"/>
    <n v="4"/>
    <s v="NewDevelopment"/>
    <x v="1"/>
  </r>
  <r>
    <s v="17.8"/>
    <x v="1"/>
    <x v="2"/>
    <m/>
    <m/>
    <s v="Trade Blotter"/>
    <s v="Back load old Lehman Blotter Trades"/>
    <s v="Shubh"/>
    <d v="2010-03-16T00:00:00"/>
    <n v="5"/>
    <s v="Other"/>
    <x v="1"/>
  </r>
  <r>
    <s v="05.22.1"/>
    <x v="1"/>
    <x v="2"/>
    <m/>
    <m/>
    <s v="Loan level data"/>
    <s v="Understand requirements"/>
    <s v="Danny"/>
    <d v="2010-12-09T00:00:00"/>
    <n v="1"/>
    <s v="Other"/>
    <x v="1"/>
  </r>
  <r>
    <s v="09.1.16"/>
    <x v="1"/>
    <x v="2"/>
    <m/>
    <m/>
    <s v="Nomura Now"/>
    <s v="SPs to support Bond Portfolio Pricing"/>
    <s v="Gerald"/>
    <d v="2009-11-18T00:00:00"/>
    <n v="3"/>
    <s v="NewDevelopment"/>
    <x v="1"/>
  </r>
  <r>
    <s v="09.2.7"/>
    <x v="1"/>
    <x v="2"/>
    <m/>
    <m/>
    <s v="Nomura Now"/>
    <s v="Issue with Deal+Pool Balance"/>
    <s v="Gerald"/>
    <d v="2010-02-24T00:00:00"/>
    <n v="1"/>
    <s v="Maintenance"/>
    <x v="1"/>
  </r>
  <r>
    <s v="16.8.1"/>
    <x v="1"/>
    <x v="2"/>
    <m/>
    <m/>
    <s v="Macro Economic Data"/>
    <s v="Determine Credit Card data requirements"/>
    <s v="David"/>
    <d v="2009-12-03T00:00:00"/>
    <n v="1"/>
    <s v="NewDevelopment"/>
    <x v="1"/>
  </r>
  <r>
    <s v="08.11"/>
    <x v="1"/>
    <x v="2"/>
    <m/>
    <m/>
    <s v="Production Environment"/>
    <s v="Figure out appropriate access controls for Server and DB"/>
    <s v="Neil"/>
    <d v="2009-09-18T00:00:00"/>
    <n v="1"/>
    <s v="Enhancement"/>
    <x v="1"/>
  </r>
  <r>
    <s v="06.13.1"/>
    <x v="1"/>
    <x v="3"/>
    <m/>
    <m/>
    <s v="Shared application components "/>
    <s v="Move Fingal functions in Common.Utilities to Fingal Wrapper"/>
    <s v="Neil"/>
    <d v="2010-11-02T00:00:00"/>
    <n v="0.5"/>
    <s v="Enhancement"/>
    <x v="1"/>
  </r>
  <r>
    <s v="06.13.3"/>
    <x v="1"/>
    <x v="3"/>
    <m/>
    <m/>
    <s v="Shared application components "/>
    <s v="Consider save Fingal Market to our DB rather than to file."/>
    <s v="Ruth"/>
    <d v="2010-11-02T00:00:00"/>
    <n v="2"/>
    <s v="Enhancement"/>
    <x v="1"/>
  </r>
  <r>
    <s v="06.13.4"/>
    <x v="1"/>
    <x v="3"/>
    <m/>
    <m/>
    <s v="Shared application components "/>
    <s v="Consider using 'new' Fingal .Net API."/>
    <s v="Ruth"/>
    <d v="2010-11-02T00:00:00"/>
    <n v="3"/>
    <s v="Enhancement"/>
    <x v="1"/>
  </r>
  <r>
    <s v="01.2.03"/>
    <x v="1"/>
    <x v="3"/>
    <m/>
    <m/>
    <s v="Deals Database"/>
    <s v="Add window navigator facility to easily locate Windows"/>
    <s v="Neil"/>
    <d v="2009-05-21T00:00:00"/>
    <n v="3"/>
    <s v="Enhancement"/>
    <x v="1"/>
  </r>
  <r>
    <s v="01.2.27"/>
    <x v="1"/>
    <x v="3"/>
    <m/>
    <m/>
    <s v="Deals Database"/>
    <s v="Derive correct Pay date rule for Fingal"/>
    <s v="Neil"/>
    <d v="2009-12-15T00:00:00"/>
    <n v="2"/>
    <s v="Enhancement"/>
    <x v="1"/>
  </r>
  <r>
    <s v="01.2.29"/>
    <x v="1"/>
    <x v="3"/>
    <m/>
    <m/>
    <s v="Deals Database"/>
    <s v="Make the Bloomberg Gateway a service"/>
    <s v="Pramendra"/>
    <d v="2009-12-21T00:00:00"/>
    <n v="2"/>
    <s v="NewDevelopment"/>
    <x v="1"/>
  </r>
  <r>
    <s v="03.7.1"/>
    <x v="1"/>
    <x v="3"/>
    <m/>
    <m/>
    <s v="Deal Analyser"/>
    <s v="Plan design for Deal Level Delinquencies"/>
    <s v="Danny"/>
    <d v="2009-10-19T00:00:00"/>
    <n v="1"/>
    <s v="NewDevelopment"/>
    <x v="1"/>
  </r>
  <r>
    <s v="04.7.7"/>
    <x v="1"/>
    <x v="3"/>
    <m/>
    <m/>
    <s v="Matrix Pricing Application"/>
    <s v="Add error summary report"/>
    <s v="Neil"/>
    <d v="2009-10-28T00:00:00"/>
    <n v="2"/>
    <s v="NewDevelopment"/>
    <x v="1"/>
  </r>
  <r>
    <s v="06.2.3"/>
    <x v="1"/>
    <x v="3"/>
    <m/>
    <m/>
    <s v="Shared application components "/>
    <s v="Update config GUI for comments"/>
    <s v="Neil"/>
    <d v="2009-08-06T00:00:00"/>
    <n v="3"/>
    <s v="NewDevelopment"/>
    <x v="1"/>
  </r>
  <r>
    <s v="08.06"/>
    <x v="1"/>
    <x v="3"/>
    <m/>
    <m/>
    <s v="Production Environment"/>
    <s v="Application to perform daily data quality checks"/>
    <s v="Neil"/>
    <d v="2009-05-29T00:00:00"/>
    <n v="5"/>
    <s v="Enhancement"/>
    <x v="1"/>
  </r>
  <r>
    <s v="10.2.1"/>
    <x v="1"/>
    <x v="3"/>
    <m/>
    <m/>
    <s v="Radial / Totoro / Other"/>
    <s v="Get Radial/Totoro to handle irregular schedules"/>
    <s v="Neil"/>
    <d v="2009-04-14T00:00:00"/>
    <n v="10"/>
    <s v="Enhancement"/>
    <x v="1"/>
  </r>
  <r>
    <s v="10.2.2"/>
    <x v="1"/>
    <x v="3"/>
    <m/>
    <m/>
    <s v="Radial / Totoro / Other"/>
    <s v="Find how Totoro can correctly represent step ups"/>
    <s v="Friedel"/>
    <d v="2009-04-29T00:00:00"/>
    <n v="10"/>
    <s v="Enhancement"/>
    <x v="1"/>
  </r>
  <r>
    <s v="11.2.3"/>
    <x v="1"/>
    <x v="3"/>
    <m/>
    <m/>
    <s v="Admin"/>
    <s v="Investigate BWIC tracker"/>
    <s v="David"/>
    <d v="2009-07-30T00:00:00"/>
    <n v="2"/>
    <s v="NewDevelopment"/>
    <x v="1"/>
  </r>
  <r>
    <s v="11.2.4"/>
    <x v="1"/>
    <x v="3"/>
    <m/>
    <m/>
    <s v="Admin"/>
    <s v="Copy old Lehman files"/>
    <s v="Danny"/>
    <d v="2009-08-28T00:00:00"/>
    <n v="1"/>
    <s v="NewDevelopment"/>
    <x v="1"/>
  </r>
  <r>
    <s v="16.7.5"/>
    <x v="1"/>
    <x v="3"/>
    <m/>
    <m/>
    <s v="Macro Economic Data"/>
    <s v="TSP Cache Refresh"/>
    <s v="Pramendra"/>
    <d v="2009-10-12T00:00:00"/>
    <n v="3"/>
    <s v="Enhancement"/>
    <x v="1"/>
  </r>
  <r>
    <s v="15.3.4"/>
    <x v="1"/>
    <x v="3"/>
    <m/>
    <m/>
    <s v="Excel DB Transition"/>
    <s v="Develop schema to hold aggregate loan data (independent of source)"/>
    <s v="Pramendra"/>
    <d v="2009-11-10T00:00:00"/>
    <n v="3"/>
    <s v="NewDevelopment"/>
    <x v="1"/>
  </r>
  <r>
    <s v="15.3.5"/>
    <x v="1"/>
    <x v="3"/>
    <m/>
    <m/>
    <s v="Excel DB Transition"/>
    <s v="Automatically generate aggregate loan data where possible"/>
    <s v="Pramendra"/>
    <d v="2010-08-13T00:00:00"/>
    <n v="10"/>
    <s v="NewDevelopment"/>
    <x v="1"/>
  </r>
  <r>
    <s v="15.4.3"/>
    <x v="1"/>
    <x v="3"/>
    <m/>
    <m/>
    <s v="Excel DB Transition"/>
    <s v="App to allow manual entry of aggregate loan data"/>
    <s v="Pramendra"/>
    <d v="2009-11-10T00:00:00"/>
    <n v="3"/>
    <s v="NewDevelopment"/>
    <x v="1"/>
  </r>
  <r>
    <s v="16.6.4"/>
    <x v="1"/>
    <x v="3"/>
    <m/>
    <m/>
    <s v="Macro Economic Data"/>
    <s v="Retrieve Unemployment Rate"/>
    <s v="Friedel"/>
    <d v="2009-09-30T00:00:00"/>
    <n v="4"/>
    <s v="NewDevelopment"/>
    <x v="1"/>
  </r>
  <r>
    <s v="09.1.11"/>
    <x v="1"/>
    <x v="3"/>
    <m/>
    <m/>
    <s v="Nomura Now"/>
    <s v="Load up very old Lehman spread history"/>
    <s v="Shubh"/>
    <d v="2009-10-16T00:00:00"/>
    <n v="2"/>
    <s v="Other"/>
    <x v="1"/>
  </r>
  <r>
    <s v="06.9.1"/>
    <x v="1"/>
    <x v="4"/>
    <m/>
    <m/>
    <s v="Shared application components "/>
    <s v="Consider putting boilerplate startup code in Common.Utilities."/>
    <s v="Neil"/>
    <d v="2010-04-13T00:00:00"/>
    <n v="1"/>
    <s v="Enhancement"/>
    <x v="3"/>
  </r>
  <r>
    <s v="05.08.10"/>
    <x v="1"/>
    <x v="5"/>
    <m/>
    <m/>
    <s v="Loan level data"/>
    <s v="Add Buy to Let to filter (duplicate)"/>
    <s v="David Covey"/>
    <d v="2010-08-16T00:00:00"/>
    <n v="2"/>
    <s v="NewDevelopment"/>
    <x v="4"/>
  </r>
  <r>
    <s v="05.08.8"/>
    <x v="1"/>
    <x v="5"/>
    <m/>
    <m/>
    <s v="Loan level data"/>
    <s v="Complete ESFData changes for ESAIL and RMAC for Excel"/>
    <s v="Neil"/>
    <d v="2009-06-23T00:00:00"/>
    <n v="0"/>
    <n v="0"/>
    <x v="4"/>
  </r>
  <r>
    <s v="11.5.1b"/>
    <x v="2"/>
    <x v="0"/>
    <d v="2010-09-14T00:00:00"/>
    <m/>
    <s v="Admin"/>
    <s v="DocQual: Agree Requirements for Batch Apps"/>
    <s v="Neil"/>
    <d v="2010-08-20T00:00:00"/>
    <n v="1"/>
    <s v="Support"/>
    <x v="1"/>
  </r>
  <r>
    <s v="26.1.3"/>
    <x v="2"/>
    <x v="0"/>
    <m/>
    <m/>
    <s v="Bloomberg data feed"/>
    <s v="BBG Feed: Investigate using BBG Accessor for application usage"/>
    <s v="Neil"/>
    <d v="2010-10-26T00:00:00"/>
    <n v="5"/>
    <s v="NewDevelopment"/>
    <x v="0"/>
  </r>
  <r>
    <s v="26.1.2"/>
    <x v="2"/>
    <x v="0"/>
    <m/>
    <m/>
    <s v="Bloomberg data feed"/>
    <s v="BBG Feed: Prototype feed process"/>
    <s v="Neil"/>
    <d v="2010-09-17T00:00:00"/>
    <n v="5"/>
    <s v="NewDevelopment"/>
    <x v="0"/>
  </r>
  <r>
    <s v="07.5.13"/>
    <x v="2"/>
    <x v="0"/>
    <m/>
    <m/>
    <s v="Development Environment"/>
    <s v="GetQuantify working"/>
    <s v="Neil"/>
    <d v="2010-12-09T00:00:00"/>
    <n v="0.5"/>
    <s v="Other"/>
    <x v="0"/>
  </r>
  <r>
    <s v="08.08.2"/>
    <x v="2"/>
    <x v="1"/>
    <m/>
    <m/>
    <s v="Production Environment"/>
    <s v="Have permissions to run commands such as 'sp_who'"/>
    <s v="Neil"/>
    <d v="2010-12-09T00:00:00"/>
    <n v="1"/>
    <s v="Enhancement"/>
    <x v="1"/>
  </r>
  <r>
    <s v="07.5.12"/>
    <x v="2"/>
    <x v="1"/>
    <m/>
    <m/>
    <s v="Development Environment"/>
    <s v="Have permissions to run commands such as 'sp_who' and to kill processes"/>
    <s v="Neil"/>
    <d v="2010-12-09T00:00:00"/>
    <n v="1"/>
    <s v="Enhancement"/>
    <x v="1"/>
  </r>
  <r>
    <s v="09.3.4"/>
    <x v="2"/>
    <x v="1"/>
    <m/>
    <m/>
    <s v="Nomura Now"/>
    <s v="Additional fields to be added"/>
    <s v="Shubh"/>
    <d v="2010-09-17T00:00:00"/>
    <n v="2"/>
    <s v="NewDevelopment"/>
    <x v="1"/>
  </r>
  <r>
    <s v="16.12.4"/>
    <x v="2"/>
    <x v="1"/>
    <m/>
    <m/>
    <s v="Macro Economic Data"/>
    <s v="QDB Rates: UAT"/>
    <s v="Neil"/>
    <d v="2010-11-01T00:00:00"/>
    <n v="2"/>
    <s v="NewDevelopment"/>
    <x v="0"/>
  </r>
  <r>
    <s v="16.12.5"/>
    <x v="2"/>
    <x v="1"/>
    <m/>
    <m/>
    <s v="Macro Economic Data"/>
    <s v="QDB Rates: Release"/>
    <s v="Neil"/>
    <d v="2010-11-01T00:00:00"/>
    <n v="1"/>
    <s v="NewDevelopment"/>
    <x v="1"/>
  </r>
  <r>
    <s v="11.5.4b"/>
    <x v="2"/>
    <x v="1"/>
    <m/>
    <m/>
    <s v="Admin"/>
    <s v="DocQual: Implement plan for improving doc quality"/>
    <s v="Neil"/>
    <d v="2010-08-20T00:00:00"/>
    <n v="1"/>
    <s v="Support"/>
    <x v="1"/>
  </r>
  <r>
    <s v="19.5.5"/>
    <x v="2"/>
    <x v="1"/>
    <m/>
    <m/>
    <s v="Support"/>
    <s v="Develop generic loan PDF file parsing approach"/>
    <s v="Sreevani"/>
    <d v="2010-09-08T00:00:00"/>
    <n v="4"/>
    <s v="Enhancement"/>
    <x v="0"/>
  </r>
  <r>
    <s v="11.5.2b"/>
    <x v="2"/>
    <x v="1"/>
    <m/>
    <m/>
    <s v="Admin"/>
    <s v="DocQual: Agree Requirements for GUI Apps"/>
    <s v="Neil"/>
    <d v="2010-08-20T00:00:00"/>
    <n v="1"/>
    <s v="Support"/>
    <x v="1"/>
  </r>
  <r>
    <s v="11.5.3b"/>
    <x v="2"/>
    <x v="1"/>
    <m/>
    <m/>
    <s v="Admin"/>
    <s v="DocQual: Agree Requirements for Libraries"/>
    <s v="Neil"/>
    <d v="2010-08-20T00:00:00"/>
    <n v="1"/>
    <s v="Support"/>
    <x v="1"/>
  </r>
  <r>
    <s v="01.2.43"/>
    <x v="2"/>
    <x v="1"/>
    <m/>
    <m/>
    <s v="Deals Database"/>
    <s v="Make DealsDB and Cfgen handle bonds that genuinely have no ISIN"/>
    <s v="Neil"/>
    <d v="2010-06-07T00:00:00"/>
    <n v="1"/>
    <s v="Enhancement"/>
    <x v="1"/>
  </r>
  <r>
    <s v="10.5.6"/>
    <x v="2"/>
    <x v="4"/>
    <m/>
    <m/>
    <s v="Radial / Totoro / Other"/>
    <s v="BBG Rates: Test and Release"/>
    <s v="Neil"/>
    <d v="2010-09-08T00:00:00"/>
    <n v="3"/>
    <s v="NewDevelopment"/>
    <x v="3"/>
  </r>
  <r>
    <s v="09.3.5"/>
    <x v="2"/>
    <x v="4"/>
    <d v="2010-11-01T00:00:00"/>
    <m/>
    <s v="Nomura Now"/>
    <s v="LTV Strat tool: Add series history data to Nomura Now"/>
    <s v="David Covey"/>
    <d v="2010-04-20T00:00:00"/>
    <n v="7"/>
    <s v="NewDevelopment"/>
    <x v="3"/>
  </r>
  <r>
    <s v="25.1.6"/>
    <x v="2"/>
    <x v="4"/>
    <d v="2010-09-28T00:00:00"/>
    <m/>
    <s v="Markit"/>
    <s v="Market1: Release"/>
    <s v="Neil"/>
    <d v="2010-09-08T00:00:00"/>
    <n v="1"/>
    <s v="NewDevelopment"/>
    <x v="3"/>
  </r>
  <r>
    <s v="16.12.1"/>
    <x v="2"/>
    <x v="4"/>
    <m/>
    <m/>
    <s v="Macro Economic Data"/>
    <s v="QDB Rates: Requirements and Design"/>
    <s v="Neil"/>
    <d v="2010-11-01T00:00:00"/>
    <n v="4"/>
    <s v="NewDevelopment"/>
    <x v="3"/>
  </r>
  <r>
    <s v="16.12.2"/>
    <x v="2"/>
    <x v="4"/>
    <m/>
    <m/>
    <s v="Macro Economic Data"/>
    <s v="QDB Rates: Implement"/>
    <s v="Neil"/>
    <d v="2010-11-01T00:00:00"/>
    <n v="5"/>
    <s v="NewDevelopment"/>
    <x v="3"/>
  </r>
  <r>
    <s v="16.12.3"/>
    <x v="2"/>
    <x v="4"/>
    <m/>
    <m/>
    <s v="Macro Economic Data"/>
    <s v="QDB Rates: Review"/>
    <s v="Neil"/>
    <d v="2010-11-01T00:00:00"/>
    <n v="1"/>
    <s v="NewDevelopment"/>
    <x v="3"/>
  </r>
  <r>
    <s v="17.10.4"/>
    <x v="2"/>
    <x v="4"/>
    <m/>
    <m/>
    <s v="Trade Blotter"/>
    <s v="Trade Blotter Release 5"/>
    <s v="Neil"/>
    <d v="2010-10-06T00:00:00"/>
    <n v="5"/>
    <s v="Enhancement"/>
    <x v="3"/>
  </r>
  <r>
    <s v="24.2.1"/>
    <x v="2"/>
    <x v="4"/>
    <m/>
    <m/>
    <s v="Client Tracker"/>
    <s v="Fix Client Data Filter issue and set EntryDate to null for duplicates"/>
    <s v="Neil"/>
    <d v="2010-10-05T00:00:00"/>
    <n v="1"/>
    <s v="Support"/>
    <x v="3"/>
  </r>
  <r>
    <s v="17.10.1"/>
    <x v="2"/>
    <x v="4"/>
    <d v="2010-09-22T00:00:00"/>
    <m/>
    <s v="Trade Blotter"/>
    <s v="Fix boolean filters for ReadOnly Users"/>
    <s v="David"/>
    <d v="2010-09-17T00:00:00"/>
    <n v="1"/>
    <s v="Enhancement"/>
    <x v="3"/>
  </r>
  <r>
    <s v="17.10.3"/>
    <x v="2"/>
    <x v="4"/>
    <m/>
    <m/>
    <s v="Trade Blotter"/>
    <s v="Make existing three reports more flexible."/>
    <s v="Neil"/>
    <d v="2010-09-22T00:00:00"/>
    <n v="2"/>
    <s v="Enhancement"/>
    <x v="3"/>
  </r>
  <r>
    <s v="25.1.4"/>
    <x v="2"/>
    <x v="4"/>
    <d v="2010-09-24T00:00:00"/>
    <m/>
    <s v="Markit"/>
    <s v="Market1: Test"/>
    <s v="Neil"/>
    <d v="2010-09-08T00:00:00"/>
    <n v="1"/>
    <s v="NewDevelopment"/>
    <x v="3"/>
  </r>
  <r>
    <s v="10.5.1"/>
    <x v="2"/>
    <x v="4"/>
    <m/>
    <m/>
    <s v="Radial / Totoro / Other"/>
    <s v="BBG Rates: Requirements"/>
    <s v="Neil"/>
    <d v="2010-09-08T00:00:00"/>
    <n v="1"/>
    <s v="NewDevelopment"/>
    <x v="3"/>
  </r>
  <r>
    <s v="10.5.2"/>
    <x v="2"/>
    <x v="4"/>
    <m/>
    <m/>
    <s v="Radial / Totoro / Other"/>
    <s v="BBG Rates: Design"/>
    <s v="Neil"/>
    <d v="2010-09-08T00:00:00"/>
    <n v="1"/>
    <s v="NewDevelopment"/>
    <x v="3"/>
  </r>
  <r>
    <s v="10.5.4"/>
    <x v="2"/>
    <x v="4"/>
    <m/>
    <m/>
    <s v="Radial / Totoro / Other"/>
    <s v="BBG Rates: Implement"/>
    <s v="Neil"/>
    <d v="2010-09-08T00:00:00"/>
    <n v="5"/>
    <s v="NewDevelopment"/>
    <x v="3"/>
  </r>
  <r>
    <s v="24.1.7"/>
    <x v="2"/>
    <x v="4"/>
    <d v="2010-08-23T00:00:00"/>
    <m/>
    <s v="Client Tracker"/>
    <s v="ClientTracker: Release"/>
    <s v="Neil"/>
    <d v="2010-06-24T00:00:00"/>
    <n v="1"/>
    <s v="NewDevelopment"/>
    <x v="3"/>
  </r>
  <r>
    <s v="25.1.3"/>
    <x v="2"/>
    <x v="4"/>
    <d v="2010-09-22T00:00:00"/>
    <m/>
    <s v="Markit"/>
    <s v="Market1: Implement"/>
    <s v="Neil"/>
    <d v="2010-09-08T00:00:00"/>
    <n v="3"/>
    <s v="NewDevelopment"/>
    <x v="3"/>
  </r>
  <r>
    <s v="19.5.4"/>
    <x v="2"/>
    <x v="4"/>
    <d v="2010-08-25T00:00:00"/>
    <m/>
    <s v="Support"/>
    <s v="Extract PDF data for Reneesh"/>
    <s v="Sachin"/>
    <d v="2010-08-20T00:00:00"/>
    <n v="2"/>
    <s v="Support"/>
    <x v="3"/>
  </r>
  <r>
    <s v="24.1.6"/>
    <x v="2"/>
    <x v="4"/>
    <d v="2010-08-21T00:00:00"/>
    <m/>
    <s v="Client Tracker"/>
    <s v="ClientTracker: Final changes and testing"/>
    <s v="Neil"/>
    <d v="2010-06-24T00:00:00"/>
    <n v="3"/>
    <s v="NewDevelopment"/>
    <x v="3"/>
  </r>
  <r>
    <s v="24.1.4"/>
    <x v="2"/>
    <x v="4"/>
    <d v="2010-07-12T00:00:00"/>
    <m/>
    <s v="Client Tracker"/>
    <s v="ClientTracker: Implement and Test"/>
    <s v="Neil"/>
    <d v="2010-06-24T00:00:00"/>
    <n v="8"/>
    <s v="NewDevelopment"/>
    <x v="3"/>
  </r>
  <r>
    <s v="01.2.42"/>
    <x v="2"/>
    <x v="4"/>
    <d v="2010-06-20T00:00:00"/>
    <m/>
    <s v="Deals Database"/>
    <s v="Make BBG-&gt;Fingal holiday calendar mapping handle 'A$' -&gt; 'MEL,SYD' and make it extendable via the Config without need for a new release"/>
    <s v="Neil"/>
    <d v="2010-05-27T00:00:00"/>
    <n v="2"/>
    <s v="Enhancement"/>
    <x v="3"/>
  </r>
  <r>
    <s v="01.2.44"/>
    <x v="2"/>
    <x v="4"/>
    <d v="2010-06-20T00:00:00"/>
    <m/>
    <s v="Deals Database"/>
    <s v="Issue pasting ISIN etc for new bonds"/>
    <s v="Neil"/>
    <d v="2010-06-08T00:00:00"/>
    <n v="1"/>
    <s v="Maintenance"/>
    <x v="3"/>
  </r>
  <r>
    <s v="06.1.5"/>
    <x v="2"/>
    <x v="4"/>
    <d v="2010-06-20T00:00:00"/>
    <m/>
    <s v="Shared application components "/>
    <s v="Make default format for DateTime in Logger to be 'dd-MMM-yyyy'"/>
    <s v="Neil"/>
    <d v="2010-04-15T00:00:00"/>
    <n v="1"/>
    <s v="Enhancement"/>
    <x v="3"/>
  </r>
  <r>
    <s v="07.5.6"/>
    <x v="2"/>
    <x v="4"/>
    <d v="2010-06-25T00:00:00"/>
    <m/>
    <s v="Development Environment"/>
    <s v="Investigate applicability of WPF"/>
    <s v="Neil"/>
    <d v="2010-06-24T00:00:00"/>
    <n v="2"/>
    <s v="Other"/>
    <x v="3"/>
  </r>
  <r>
    <s v="24.1.1"/>
    <x v="2"/>
    <x v="4"/>
    <d v="2010-06-23T00:00:00"/>
    <m/>
    <s v="Client Tracker"/>
    <s v="ClientTracker: Gather requirements"/>
    <s v="Zhuu"/>
    <d v="2010-06-24T00:00:00"/>
    <n v="1"/>
    <s v="NewDevelopment"/>
    <x v="3"/>
  </r>
  <r>
    <s v="24.1.2"/>
    <x v="2"/>
    <x v="4"/>
    <d v="2010-06-29T00:00:00"/>
    <m/>
    <s v="Client Tracker"/>
    <s v="ClientTracker: Initial Design"/>
    <s v="Neil"/>
    <d v="2010-06-24T00:00:00"/>
    <n v="3"/>
    <s v="NewDevelopment"/>
    <x v="3"/>
  </r>
  <r>
    <s v="01.3.5"/>
    <x v="3"/>
    <x v="4"/>
    <m/>
    <m/>
    <s v="Deals Database"/>
    <s v="Provide 'clean' values for shelf, collateral and Originator"/>
    <s v="Research"/>
    <d v="2009-05-12T00:00:00"/>
    <n v="2"/>
    <s v="Other"/>
    <x v="3"/>
  </r>
  <r>
    <s v="01.3.3"/>
    <x v="3"/>
    <x v="4"/>
    <m/>
    <m/>
    <s v="Deals Database"/>
    <s v="Fix duplicate Deals in DealDB"/>
    <s v="Research"/>
    <d v="2009-05-12T00:00:00"/>
    <n v="4"/>
    <n v="0"/>
    <x v="3"/>
  </r>
  <r>
    <s v="01.3.4"/>
    <x v="3"/>
    <x v="4"/>
    <m/>
    <m/>
    <s v="Deals Database"/>
    <s v="Add missing deals to DealDB"/>
    <s v="Research"/>
    <d v="2009-05-12T00:00:00"/>
    <n v="0"/>
    <n v="0"/>
    <x v="3"/>
  </r>
  <r>
    <s v="04.8.6"/>
    <x v="3"/>
    <x v="4"/>
    <m/>
    <m/>
    <s v="Matrix Pricing Application"/>
    <s v="Validate L2 matrix definitions"/>
    <s v="David Covey"/>
    <d v="2009-12-01T00:00:00"/>
    <n v="0"/>
    <n v="0"/>
    <x v="3"/>
  </r>
  <r>
    <s v="07.5.2"/>
    <x v="4"/>
    <x v="0"/>
    <d v="2010-04-08T00:00:00"/>
    <m/>
    <s v="Development Environment"/>
    <s v="Recommend Exception usage and document"/>
    <s v="Neil"/>
    <d v="2010-04-15T00:00:00"/>
    <n v="0.5"/>
    <s v="Enhancement"/>
    <x v="1"/>
  </r>
  <r>
    <s v="21.6.2"/>
    <x v="4"/>
    <x v="6"/>
    <m/>
    <m/>
    <s v="Collateral Model"/>
    <s v="ScenarioRateProvider: Design interface to model"/>
    <s v="Neil"/>
    <d v="2010-12-09T00:00:00"/>
    <n v="2"/>
    <s v="NewDevelopment"/>
    <x v="0"/>
  </r>
  <r>
    <s v="21.6.3"/>
    <x v="4"/>
    <x v="6"/>
    <m/>
    <m/>
    <s v="Collateral Model"/>
    <s v="ScenarioRateProvider: Implement database only scenarios"/>
    <s v="Neil"/>
    <d v="2010-12-09T00:00:00"/>
    <n v="5"/>
    <s v="NewDevelopment"/>
    <x v="1"/>
  </r>
  <r>
    <s v="06.8.4"/>
    <x v="4"/>
    <x v="0"/>
    <m/>
    <m/>
    <s v="Shared application components "/>
    <s v="IntegrationService:Testing and UAT"/>
    <s v="Sachin"/>
    <d v="2010-11-23T00:00:00"/>
    <n v="2"/>
    <s v="NewDevelopment"/>
    <x v="0"/>
  </r>
  <r>
    <s v="06.8.5"/>
    <x v="4"/>
    <x v="0"/>
    <m/>
    <m/>
    <s v="Shared application components "/>
    <s v="IntegrationService:Code review and resulting changes"/>
    <s v="Neil"/>
    <d v="2010-11-23T00:00:00"/>
    <n v="1"/>
    <s v="NewDevelopment"/>
    <x v="1"/>
  </r>
  <r>
    <s v="06.8.6"/>
    <x v="4"/>
    <x v="0"/>
    <m/>
    <m/>
    <s v="Shared application components "/>
    <s v="IntegrationService:Release to production"/>
    <s v="Neil"/>
    <d v="2010-11-23T00:00:00"/>
    <n v="1"/>
    <s v="NewDevelopment"/>
    <x v="1"/>
  </r>
  <r>
    <s v="11.5.1a"/>
    <x v="4"/>
    <x v="1"/>
    <m/>
    <m/>
    <s v="Admin"/>
    <s v="DocQual: Agree Requirements for Batch Apps"/>
    <s v="Neil"/>
    <d v="2010-08-20T00:00:00"/>
    <n v="1"/>
    <s v="Support"/>
    <x v="1"/>
  </r>
  <r>
    <s v="21.6.1"/>
    <x v="4"/>
    <x v="1"/>
    <m/>
    <m/>
    <s v="Collateral Model"/>
    <s v="ScenarioRateProvider: Define requirements and plan"/>
    <s v="Neil"/>
    <d v="2010-12-09T00:00:00"/>
    <n v="2"/>
    <s v="NewDevelopment"/>
    <x v="1"/>
  </r>
  <r>
    <s v="03.8.15"/>
    <x v="4"/>
    <x v="2"/>
    <m/>
    <m/>
    <s v="Deal Analyser"/>
    <s v="CE - Improve email logging and avoid issuing as a Warning"/>
    <s v="Neil"/>
    <d v="2010-09-17T00:00:00"/>
    <n v="1"/>
    <s v="Enhancement"/>
    <x v="1"/>
  </r>
  <r>
    <s v="11.5.2a"/>
    <x v="4"/>
    <x v="2"/>
    <m/>
    <m/>
    <s v="Admin"/>
    <s v="DocQual: Agree Requirements for GUI Apps"/>
    <s v="Neil"/>
    <d v="2010-08-20T00:00:00"/>
    <n v="1"/>
    <s v="Support"/>
    <x v="1"/>
  </r>
  <r>
    <s v="11.5.3a"/>
    <x v="4"/>
    <x v="2"/>
    <m/>
    <m/>
    <s v="Admin"/>
    <s v="DocQual: Agree Requirements for Libraries"/>
    <s v="Neil"/>
    <d v="2010-08-20T00:00:00"/>
    <n v="1"/>
    <s v="Support"/>
    <x v="1"/>
  </r>
  <r>
    <s v="11.5.4a"/>
    <x v="4"/>
    <x v="2"/>
    <m/>
    <m/>
    <s v="Admin"/>
    <s v="DocQual: Implement plan for improving doc quality"/>
    <s v="Neil"/>
    <d v="2010-08-20T00:00:00"/>
    <n v="1"/>
    <s v="Support"/>
    <x v="1"/>
  </r>
  <r>
    <s v="18.1.8"/>
    <x v="4"/>
    <x v="4"/>
    <d v="2010-11-24T00:00:00"/>
    <m/>
    <s v="Roll Rate Analyser"/>
    <s v="Add BTL to filter on RR analyser"/>
    <s v="David"/>
    <d v="2010-01-18T00:00:00"/>
    <n v="2"/>
    <s v="NewDevelopment"/>
    <x v="3"/>
  </r>
  <r>
    <s v="18.1.9"/>
    <x v="4"/>
    <x v="4"/>
    <d v="2010-11-24T00:00:00"/>
    <m/>
    <s v="Roll Rate Analyser"/>
    <s v="Add 'Adjusted months in arrears' as an option to RR analyser"/>
    <s v="Neil"/>
    <d v="2010-08-04T00:00:00"/>
    <n v="2"/>
    <s v="NewDevelopment"/>
    <x v="3"/>
  </r>
  <r>
    <s v="11.4.2"/>
    <x v="4"/>
    <x v="4"/>
    <d v="2010-11-05T00:00:00"/>
    <m/>
    <s v="Admin"/>
    <s v="NoHo Migration: Get VM and user accounts set up"/>
    <s v="Neil"/>
    <d v="2010-09-17T00:00:00"/>
    <n v="2"/>
    <s v="Maintenance"/>
    <x v="3"/>
  </r>
  <r>
    <s v="06.8.2"/>
    <x v="4"/>
    <x v="4"/>
    <d v="2010-09-10T00:00:00"/>
    <m/>
    <s v="Shared application components "/>
    <s v="IntegrationService:Build integration architecture"/>
    <s v="Sachin"/>
    <d v="2010-11-23T00:00:00"/>
    <n v="9"/>
    <s v="NewDevelopment"/>
    <x v="3"/>
  </r>
  <r>
    <s v="06.8.3"/>
    <x v="4"/>
    <x v="4"/>
    <m/>
    <m/>
    <s v="Shared application components "/>
    <s v="IntegrationService:Incorporate into Trade Blotter, CommentViewer and DealAnalyser"/>
    <s v="Neil"/>
    <d v="2010-11-23T00:00:00"/>
    <n v="2"/>
    <s v="NewDevelopment"/>
    <x v="3"/>
  </r>
  <r>
    <s v="09.4.6"/>
    <x v="4"/>
    <x v="4"/>
    <d v="2010-09-09T00:00:00"/>
    <m/>
    <s v="Nomura Now"/>
    <s v="NN RRA: Release"/>
    <s v="Neil"/>
    <d v="2010-08-20T00:00:00"/>
    <n v="1"/>
    <s v="NewDevelopment"/>
    <x v="3"/>
  </r>
  <r>
    <s v="09.4.4"/>
    <x v="4"/>
    <x v="4"/>
    <d v="2010-09-01T00:00:00"/>
    <m/>
    <s v="Nomura Now"/>
    <s v="NN RRA: UAT"/>
    <s v="Gerald"/>
    <d v="2010-08-20T00:00:00"/>
    <n v="4"/>
    <s v="NewDevelopment"/>
    <x v="3"/>
  </r>
  <r>
    <s v="09.4.3"/>
    <x v="4"/>
    <x v="4"/>
    <d v="2010-08-31T00:00:00"/>
    <m/>
    <s v="Nomura Now"/>
    <s v="NN RRA: Implement RR Analyser cache"/>
    <s v="David Covey"/>
    <d v="2010-08-20T00:00:00"/>
    <n v="7"/>
    <s v="NewDevelopment"/>
    <x v="3"/>
  </r>
  <r>
    <s v="09.4.1"/>
    <x v="4"/>
    <x v="4"/>
    <m/>
    <m/>
    <s v="Nomura Now"/>
    <s v="NN RRA: Initial requirements &amp; design"/>
    <s v="David Covey"/>
    <d v="2010-04-16T00:00:00"/>
    <n v="2"/>
    <s v="NewDevelopment"/>
    <x v="3"/>
  </r>
  <r>
    <s v="19.5.3"/>
    <x v="4"/>
    <x v="4"/>
    <m/>
    <m/>
    <s v="Support"/>
    <s v="Extract PDF data for Danny"/>
    <s v="Danny"/>
    <d v="2010-07-28T00:00:00"/>
    <n v="2"/>
    <s v="Support"/>
    <x v="3"/>
  </r>
  <r>
    <s v="06.8.1"/>
    <x v="4"/>
    <x v="4"/>
    <m/>
    <m/>
    <s v="Shared application components "/>
    <s v="IntegrationService: Design integration mechanisms"/>
    <s v="Neil"/>
    <d v="2010-11-23T00:00:00"/>
    <n v="5"/>
    <s v="NewDevelopment"/>
    <x v="3"/>
  </r>
  <r>
    <s v="17.7.5"/>
    <x v="4"/>
    <x v="4"/>
    <d v="2010-07-13T00:00:00"/>
    <m/>
    <s v="Trade Blotter"/>
    <s v="TradeBlotter3: Final changes and testing"/>
    <s v="Neil"/>
    <d v="2010-06-24T00:00:00"/>
    <n v="2"/>
    <s v="NewDevelopment"/>
    <x v="3"/>
  </r>
  <r>
    <s v="17.7.6"/>
    <x v="4"/>
    <x v="4"/>
    <d v="2010-07-15T00:00:00"/>
    <m/>
    <s v="Trade Blotter"/>
    <s v="TradeBlotter3: Make release"/>
    <s v="Neil"/>
    <d v="2010-06-24T00:00:00"/>
    <n v="1"/>
    <s v="NewDevelopment"/>
    <x v="3"/>
  </r>
  <r>
    <s v="17.7.2"/>
    <x v="4"/>
    <x v="4"/>
    <d v="2010-07-02T00:00:00"/>
    <m/>
    <s v="Trade Blotter"/>
    <s v="TradeBlotter3: Implement changes"/>
    <s v="Neil"/>
    <d v="2010-06-24T00:00:00"/>
    <n v="6"/>
    <s v="NewDevelopment"/>
    <x v="3"/>
  </r>
  <r>
    <s v="17.7.3"/>
    <x v="4"/>
    <x v="4"/>
    <d v="2010-07-05T00:00:00"/>
    <m/>
    <s v="Trade Blotter"/>
    <s v="TradeBlotter3: Test changes"/>
    <s v="Neil"/>
    <d v="2010-06-24T00:00:00"/>
    <n v="0.5"/>
    <s v="NewDevelopment"/>
    <x v="3"/>
  </r>
  <r>
    <s v="17.7.4"/>
    <x v="4"/>
    <x v="4"/>
    <d v="2010-07-07T00:00:00"/>
    <m/>
    <s v="Trade Blotter"/>
    <s v="TradeBlotter3: Review changes"/>
    <s v="Neil"/>
    <d v="2010-06-24T00:00:00"/>
    <n v="0.5"/>
    <s v="NewDevelopment"/>
    <x v="3"/>
  </r>
  <r>
    <s v="11.2.22d"/>
    <x v="4"/>
    <x v="4"/>
    <d v="2010-06-14T00:00:00"/>
    <m/>
    <s v="Admin"/>
    <s v="Set goals for 2010_2011"/>
    <s v="Neil"/>
    <d v="2010-06-07T00:00:00"/>
    <n v="0.5"/>
    <s v="Other"/>
    <x v="3"/>
  </r>
  <r>
    <s v="17.7.1"/>
    <x v="4"/>
    <x v="4"/>
    <d v="2010-06-24T00:00:00"/>
    <m/>
    <s v="Trade Blotter"/>
    <s v="TradeBlotter3: Agree items to include in release"/>
    <s v="Neil"/>
    <d v="2010-06-24T00:00:00"/>
    <n v="0.5"/>
    <s v="NewDevelopment"/>
    <x v="3"/>
  </r>
  <r>
    <s v="22.2.7"/>
    <x v="4"/>
    <x v="4"/>
    <d v="2010-05-07T00:00:00"/>
    <m/>
    <s v="Support Tools"/>
    <s v="Support Tool - Release GUI and Batch to Prod"/>
    <s v="Neil"/>
    <d v="2010-05-06T00:00:00"/>
    <n v="1"/>
    <s v="NewDevelopment"/>
    <x v="3"/>
  </r>
  <r>
    <s v="03.8.11"/>
    <x v="4"/>
    <x v="4"/>
    <d v="2010-06-01T00:00:00"/>
    <m/>
    <s v="Deal Analyser"/>
    <s v="CE - Release CE to Prod for June conference"/>
    <s v="Pramendra"/>
    <d v="2010-05-06T00:00:00"/>
    <n v="15"/>
    <s v="NewDevelopment"/>
    <x v="3"/>
  </r>
  <r>
    <s v="03.8.10"/>
    <x v="4"/>
    <x v="4"/>
    <d v="2010-05-14T00:00:00"/>
    <m/>
    <s v="Deal Analyser"/>
    <s v="CE - Implement updated algorithm as specified by Ajay"/>
    <s v="Pramendra"/>
    <d v="2010-05-06T00:00:00"/>
    <n v="2"/>
    <s v="NewDevelopment"/>
    <x v="3"/>
  </r>
  <r>
    <s v="19.5.2"/>
    <x v="4"/>
    <x v="4"/>
    <d v="2010-05-06T00:00:00"/>
    <m/>
    <s v="Support"/>
    <s v="Extract PDF data for Friedel #2"/>
    <s v="Friedel"/>
    <d v="2010-05-06T00:00:00"/>
    <n v="2"/>
    <n v="0"/>
    <x v="3"/>
  </r>
  <r>
    <s v="22.2.5"/>
    <x v="4"/>
    <x v="4"/>
    <d v="2010-05-07T00:00:00"/>
    <m/>
    <s v="Support Tools"/>
    <s v="Support Tool - Loan load - Full Implementation"/>
    <s v="Neil"/>
    <d v="2010-04-13T00:00:00"/>
    <n v="10"/>
    <s v="NewDevelopment"/>
    <x v="3"/>
  </r>
  <r>
    <s v="19.5.1"/>
    <x v="4"/>
    <x v="4"/>
    <m/>
    <m/>
    <s v="Support"/>
    <s v="Extract PDF data for Friedel"/>
    <s v="Friedel"/>
    <d v="2010-04-20T00:00:00"/>
    <n v="2"/>
    <n v="0"/>
    <x v="3"/>
  </r>
  <r>
    <s v="22.2.3"/>
    <x v="4"/>
    <x v="4"/>
    <d v="2010-04-10T00:00:00"/>
    <m/>
    <s v="Support Tools"/>
    <s v="Support Tool - Loan load - 1st Draft Implementation"/>
    <s v="Neil"/>
    <d v="2010-03-08T00:00:00"/>
    <n v="5"/>
    <s v="NewDevelopment"/>
    <x v="3"/>
  </r>
  <r>
    <s v="22.2.4"/>
    <x v="4"/>
    <x v="4"/>
    <m/>
    <m/>
    <s v="Support Tools"/>
    <s v="Support Tool - Loan load - Code Review"/>
    <s v="Neil"/>
    <d v="2010-03-08T00:00:00"/>
    <n v="1"/>
    <s v="NewDevelopment"/>
    <x v="3"/>
  </r>
  <r>
    <s v="22.2.6"/>
    <x v="4"/>
    <x v="4"/>
    <d v="2010-04-20T00:00:00"/>
    <m/>
    <s v="Support Tools"/>
    <s v="Support Tool - Incorporate comments from group review"/>
    <s v="Neil"/>
    <d v="2010-04-13T00:00:00"/>
    <n v="1"/>
    <s v="NewDevelopment"/>
    <x v="3"/>
  </r>
  <r>
    <s v="11.2.13"/>
    <x v="4"/>
    <x v="4"/>
    <m/>
    <n v="1"/>
    <s v="Admin"/>
    <s v="Get Sachin all set up"/>
    <s v="Neil"/>
    <d v="2010-02-23T00:00:00"/>
    <n v="1"/>
    <n v="0"/>
    <x v="3"/>
  </r>
  <r>
    <s v="22.1.1"/>
    <x v="4"/>
    <x v="4"/>
    <m/>
    <n v="1"/>
    <s v="Support Tools"/>
    <s v="Generic Suppot Tool Design"/>
    <s v="Neil"/>
    <d v="2010-03-08T00:00:00"/>
    <n v="15"/>
    <n v="0"/>
    <x v="3"/>
  </r>
  <r>
    <s v="22.2.1"/>
    <x v="4"/>
    <x v="4"/>
    <m/>
    <n v="1"/>
    <s v="Support Tools"/>
    <s v="Gather current load status"/>
    <s v="Neil"/>
    <d v="2010-03-08T00:00:00"/>
    <n v="1"/>
    <n v="0"/>
    <x v="3"/>
  </r>
  <r>
    <s v="22.2.2"/>
    <x v="4"/>
    <x v="4"/>
    <m/>
    <n v="1"/>
    <s v="Support Tools"/>
    <s v="Support Tool - Loan load - Design"/>
    <s v="Neil"/>
    <d v="2010-03-08T00:00:00"/>
    <n v="4"/>
    <n v="0"/>
    <x v="3"/>
  </r>
  <r>
    <s v="11.2.9"/>
    <x v="4"/>
    <x v="4"/>
    <m/>
    <m/>
    <s v="Admin"/>
    <s v="Find a better way to show accurate loan load status info on the wiki"/>
    <s v="Neil"/>
    <d v="2010-01-04T00:00:00"/>
    <n v="15"/>
    <n v="0"/>
    <x v="3"/>
  </r>
  <r>
    <s v="05.12.2"/>
    <x v="5"/>
    <x v="6"/>
    <m/>
    <m/>
    <s v="Loan level data"/>
    <s v="Implement mapping for Resloc"/>
    <s v="David Covey"/>
    <d v="2009-09-11T00:00:00"/>
    <n v="3"/>
    <s v="NewDevelopment"/>
    <x v="0"/>
  </r>
  <r>
    <s v="04.10.35"/>
    <x v="5"/>
    <x v="6"/>
    <m/>
    <m/>
    <s v="Matrix Pricing Application"/>
    <s v="Make 'businessDate' the actual COB date, not the run date"/>
    <s v="Neil"/>
    <d v="2010-12-09T00:00:00"/>
    <n v="3"/>
    <s v="Enhancement"/>
    <x v="0"/>
  </r>
  <r>
    <s v="03.8.12"/>
    <x v="5"/>
    <x v="0"/>
    <m/>
    <m/>
    <s v="Deal Analyser"/>
    <s v="CE - Review database tables for Deal vs Issuer after June conference"/>
    <s v="Neil"/>
    <d v="2010-05-27T00:00:00"/>
    <n v="2"/>
    <s v="Enhancement"/>
    <x v="1"/>
  </r>
  <r>
    <s v="06.13.5"/>
    <x v="5"/>
    <x v="0"/>
    <m/>
    <m/>
    <s v="Shared application components "/>
    <s v="Add 'UnitTest' for FingalLoader project for CodeBaseChecker"/>
    <s v="Neil"/>
    <d v="2010-11-12T00:00:00"/>
    <n v="1"/>
    <s v="NewDevelopment"/>
    <x v="1"/>
  </r>
  <r>
    <s v="04.10.34"/>
    <x v="5"/>
    <x v="0"/>
    <m/>
    <m/>
    <s v="Matrix Pricing Application"/>
    <s v="Add unit tests to UnitTest project for CodeBaseChecker"/>
    <s v="Neil"/>
    <d v="2010-11-17T00:00:00"/>
    <n v="0.5"/>
    <s v="Enhancement"/>
    <x v="1"/>
  </r>
  <r>
    <s v="05.21.11"/>
    <x v="5"/>
    <x v="0"/>
    <m/>
    <m/>
    <s v="Loan level data"/>
    <s v="LoanHandling: Merrill loader change, review,release"/>
    <s v="Pramendra"/>
    <d v="2010-09-08T00:00:00"/>
    <n v="3"/>
    <s v="Maintenance"/>
    <x v="0"/>
  </r>
  <r>
    <s v="05.21.12"/>
    <x v="5"/>
    <x v="0"/>
    <m/>
    <m/>
    <s v="Loan level data"/>
    <s v="LoanHandling: LEEK loader change, review,release"/>
    <s v="Pramendra"/>
    <d v="2010-09-08T00:00:00"/>
    <n v="3"/>
    <s v="Maintenance"/>
    <x v="1"/>
  </r>
  <r>
    <s v="06.13.6"/>
    <x v="5"/>
    <x v="0"/>
    <m/>
    <m/>
    <s v="Shared application components "/>
    <s v="Modify Fingal Market File name for date format 'YYYYMMDD'"/>
    <s v="Neil"/>
    <d v="2010-12-01T00:00:00"/>
    <n v="1"/>
    <s v="Enhancement"/>
    <x v="1"/>
  </r>
  <r>
    <s v="07.2.5"/>
    <x v="5"/>
    <x v="1"/>
    <m/>
    <m/>
    <s v="Development Environment"/>
    <s v="Make schema saver figure out it's own environment and only save the schema for the environment that it is running for,"/>
    <s v="Neil"/>
    <d v="2010-11-22T00:00:00"/>
    <n v="1"/>
    <s v="Enhancement"/>
    <x v="1"/>
  </r>
  <r>
    <s v="12.1.2"/>
    <x v="5"/>
    <x v="1"/>
    <m/>
    <m/>
    <s v="Utilities"/>
    <s v="Backup Prod application area to network"/>
    <s v="Neil"/>
    <d v="2009-08-24T00:00:00"/>
    <n v="1.5"/>
    <s v="NewDevelopment"/>
    <x v="1"/>
  </r>
  <r>
    <s v="04.10.33"/>
    <x v="5"/>
    <x v="1"/>
    <m/>
    <m/>
    <s v="Matrix Pricing Application"/>
    <s v="Implement a regression test mechanism"/>
    <s v="Neil"/>
    <d v="2010-11-08T00:00:00"/>
    <n v="3"/>
    <s v="Enhancement"/>
    <x v="1"/>
  </r>
  <r>
    <s v="16.10.6"/>
    <x v="5"/>
    <x v="1"/>
    <m/>
    <m/>
    <s v="Macro Economic Data"/>
    <s v="Normalised ECB Amount Data "/>
    <s v="Pramendra"/>
    <d v="2010-05-05T00:00:00"/>
    <n v="2"/>
    <s v="Maintenance"/>
    <x v="1"/>
  </r>
  <r>
    <s v="16.10.7"/>
    <x v="5"/>
    <x v="1"/>
    <m/>
    <m/>
    <s v="Macro Economic Data"/>
    <s v="Normalised BOE Amount Data "/>
    <s v="Pramendra"/>
    <d v="2010-05-05T00:00:00"/>
    <n v="2"/>
    <s v="Maintenance"/>
    <x v="1"/>
  </r>
  <r>
    <s v="07.2.6"/>
    <x v="5"/>
    <x v="1"/>
    <m/>
    <m/>
    <s v="Development Environment"/>
    <s v="Make scripter produce SQL scripts that can be directly run on the server without modification."/>
    <s v="Neil"/>
    <d v="2010-12-09T00:00:00"/>
    <n v="2"/>
    <s v="Enhancement"/>
    <x v="0"/>
  </r>
  <r>
    <s v="16.5.2"/>
    <x v="5"/>
    <x v="4"/>
    <d v="2010-11-30T00:00:00"/>
    <m/>
    <s v="Macro Economic Data"/>
    <s v="Add ECB lending data"/>
    <s v="David"/>
    <d v="2010-11-08T00:00:00"/>
    <n v="2"/>
    <s v="Enhancement"/>
    <x v="3"/>
  </r>
  <r>
    <s v="04.10.09"/>
    <x v="5"/>
    <x v="4"/>
    <d v="2010-10-01T00:00:00"/>
    <m/>
    <s v="Matrix Pricing Application"/>
    <s v="Mark some prices as bad"/>
    <s v="Zhuu"/>
    <d v="2010-04-19T00:00:00"/>
    <n v="3"/>
    <s v="NewDevelopment"/>
    <x v="3"/>
  </r>
  <r>
    <s v="04.10.19"/>
    <x v="5"/>
    <x v="4"/>
    <d v="2010-10-01T00:00:00"/>
    <m/>
    <s v="Matrix Pricing Application"/>
    <s v="Remove un-needed fields from MatrixPricing.Results"/>
    <s v="Neil"/>
    <d v="2010-07-05T00:00:00"/>
    <n v="1"/>
    <s v="NewDevelopment"/>
    <x v="3"/>
  </r>
  <r>
    <s v="04.10.20"/>
    <x v="5"/>
    <x v="4"/>
    <d v="2010-10-01T00:00:00"/>
    <m/>
    <s v="Matrix Pricing Application"/>
    <s v="Three fixes proposed by Ruth."/>
    <s v="Ruth"/>
    <d v="2010-07-28T00:00:00"/>
    <n v="3"/>
    <s v="Enhancement"/>
    <x v="3"/>
  </r>
  <r>
    <s v="04.10.24"/>
    <x v="5"/>
    <x v="4"/>
    <d v="2010-10-01T00:00:00"/>
    <m/>
    <s v="Matrix Pricing Application"/>
    <s v="Test and UAT all changes"/>
    <s v="Neil"/>
    <d v="2010-07-29T00:00:00"/>
    <n v="1"/>
    <s v="Enhancement"/>
    <x v="3"/>
  </r>
  <r>
    <s v="04.10.26"/>
    <x v="5"/>
    <x v="4"/>
    <d v="2010-10-08T00:00:00"/>
    <m/>
    <s v="Matrix Pricing Application"/>
    <s v="Release Matrix Pricing changes"/>
    <s v="Neil"/>
    <d v="2010-07-29T00:00:00"/>
    <n v="1"/>
    <s v="Enhancement"/>
    <x v="3"/>
  </r>
  <r>
    <s v="04.10.27"/>
    <x v="5"/>
    <x v="4"/>
    <d v="2010-10-01T00:00:00"/>
    <m/>
    <s v="Matrix Pricing Application"/>
    <s v="Add ability to specify yields"/>
    <s v="Zhuu"/>
    <d v="2010-08-13T00:00:00"/>
    <n v="4"/>
    <s v="Enhancement"/>
    <x v="3"/>
  </r>
  <r>
    <s v="04.10.30"/>
    <x v="5"/>
    <x v="4"/>
    <m/>
    <m/>
    <s v="Matrix Pricing Application"/>
    <s v="Refactor DoTierMapLookup()"/>
    <s v="Pramendra"/>
    <d v="2010-09-17T00:00:00"/>
    <n v="2"/>
    <s v="Enhancement"/>
    <x v="3"/>
  </r>
  <r>
    <s v="04.10.21"/>
    <x v="5"/>
    <x v="4"/>
    <d v="2010-09-14T00:00:00"/>
    <m/>
    <s v="Matrix Pricing Application"/>
    <s v="Invert concept of FrontPay + BackPay"/>
    <s v="Neil"/>
    <d v="2010-07-29T00:00:00"/>
    <n v="2"/>
    <s v="Maintenance"/>
    <x v="3"/>
  </r>
  <r>
    <s v="04.10.22"/>
    <x v="5"/>
    <x v="4"/>
    <d v="2010-09-14T00:00:00"/>
    <m/>
    <s v="Matrix Pricing Application"/>
    <s v="Modify windows sizes so that all columns are displayed"/>
    <s v="Neil"/>
    <d v="2010-07-29T00:00:00"/>
    <n v="1"/>
    <s v="Enhancement"/>
    <x v="3"/>
  </r>
  <r>
    <s v="04.10.23"/>
    <x v="5"/>
    <x v="4"/>
    <d v="2010-09-14T00:00:00"/>
    <m/>
    <s v="Matrix Pricing Application"/>
    <s v="Make sure the same columns appear for Levels 1, 2 &amp; 3 between Matrix Editor and Viewer."/>
    <s v="Neil"/>
    <d v="2010-07-29T00:00:00"/>
    <n v="1"/>
    <s v="Enhancement"/>
    <x v="3"/>
  </r>
  <r>
    <s v="04.10.28"/>
    <x v="5"/>
    <x v="4"/>
    <d v="2010-09-14T00:00:00"/>
    <m/>
    <s v="Matrix Pricing Application"/>
    <s v="Correct WAL calculation"/>
    <s v="Zhuu"/>
    <d v="2010-09-02T00:00:00"/>
    <n v="1"/>
    <s v="Enhancement"/>
    <x v="3"/>
  </r>
  <r>
    <s v="04.10.29"/>
    <x v="5"/>
    <x v="4"/>
    <d v="2010-09-17T00:00:00"/>
    <m/>
    <s v="Matrix Pricing Application"/>
    <s v="Partial Release"/>
    <s v="Neil"/>
    <d v="2010-09-08T00:00:00"/>
    <n v="1"/>
    <s v="Enhancement"/>
    <x v="3"/>
  </r>
  <r>
    <s v="07.2.2"/>
    <x v="5"/>
    <x v="4"/>
    <d v="2010-08-21T00:00:00"/>
    <m/>
    <s v="Development Environment"/>
    <s v="Schema save: Build and test"/>
    <s v="Neil"/>
    <d v="2010-08-20T00:00:00"/>
    <n v="5"/>
    <s v="Maintenance"/>
    <x v="3"/>
  </r>
  <r>
    <s v="03.8.8"/>
    <x v="5"/>
    <x v="4"/>
    <d v="2010-06-01T00:00:00"/>
    <m/>
    <s v="Deal Analyser"/>
    <s v="CE - Release CE for Master Trusts"/>
    <s v="Ajay"/>
    <d v="2010-05-06T00:00:00"/>
    <n v="5"/>
    <s v="NewDevelopment"/>
    <x v="3"/>
  </r>
  <r>
    <s v="05.06.4"/>
    <x v="5"/>
    <x v="4"/>
    <d v="2010-08-18T00:00:00"/>
    <m/>
    <s v="Loan level data"/>
    <s v="Modify Kensington load rules for Danny"/>
    <s v="Danny"/>
    <d v="2010-08-16T00:00:00"/>
    <n v="1"/>
    <s v="Maintenance"/>
    <x v="3"/>
  </r>
  <r>
    <s v="05.18.7"/>
    <x v="5"/>
    <x v="4"/>
    <d v="2010-08-11T00:00:00"/>
    <m/>
    <s v="Loan level data"/>
    <s v="Add new Kensington rules for Danny"/>
    <s v="Pramendra"/>
    <d v="2010-08-09T00:00:00"/>
    <n v="3"/>
    <s v="NewDevelopment"/>
    <x v="3"/>
  </r>
  <r>
    <s v="12.2"/>
    <x v="5"/>
    <x v="4"/>
    <m/>
    <m/>
    <s v="Utilities"/>
    <s v="Automate version control (svn) of SQL Server objects (schema) (duplicate 7.2.2)"/>
    <s v="Pramendra"/>
    <d v="2010-08-20T00:00:00"/>
    <n v="5"/>
    <s v="NewDevelopment"/>
    <x v="3"/>
  </r>
  <r>
    <s v="06.10.2"/>
    <x v="5"/>
    <x v="4"/>
    <d v="2010-07-01T00:00:00"/>
    <m/>
    <s v="Shared application components "/>
    <s v="PerformanceDataLib: 1st Implementation"/>
    <s v="Ruth"/>
    <d v="2010-07-28T00:00:00"/>
    <n v="3"/>
    <s v="NewDevelopment"/>
    <x v="3"/>
  </r>
  <r>
    <s v="09.1.08"/>
    <x v="5"/>
    <x v="4"/>
    <m/>
    <m/>
    <s v="Nomura Now"/>
    <s v="Make Deal/ABSNet data available to TSP via SP"/>
    <s v="Gerald"/>
    <d v="2009-12-22T00:00:00"/>
    <n v="1"/>
    <s v="NewDevelopment"/>
    <x v="3"/>
  </r>
  <r>
    <s v="04.10.11"/>
    <x v="5"/>
    <x v="4"/>
    <d v="2010-06-25T00:00:00"/>
    <m/>
    <s v="Matrix Pricing Application"/>
    <s v="Tier by Front Pay / Back Pay"/>
    <s v="Zhuu"/>
    <d v="2010-05-06T00:00:00"/>
    <n v="2"/>
    <s v="NewDevelopment"/>
    <x v="3"/>
  </r>
  <r>
    <s v="04.10.16"/>
    <x v="5"/>
    <x v="4"/>
    <d v="2010-07-20T00:00:00"/>
    <m/>
    <s v="Matrix Pricing Application"/>
    <s v="Test and UAT all changes"/>
    <s v="Neil"/>
    <d v="2010-06-24T00:00:00"/>
    <n v="2"/>
    <s v="NewDevelopment"/>
    <x v="3"/>
  </r>
  <r>
    <s v="04.10.18"/>
    <x v="5"/>
    <x v="4"/>
    <d v="2010-07-23T00:00:00"/>
    <m/>
    <s v="Matrix Pricing Application"/>
    <s v="Release Matrix Pricing changes"/>
    <s v="Neil"/>
    <d v="2010-06-24T00:00:00"/>
    <n v="1"/>
    <s v="NewDevelopment"/>
    <x v="3"/>
  </r>
  <r>
    <s v="04.10.05"/>
    <x v="5"/>
    <x v="4"/>
    <d v="2010-06-25T00:00:00"/>
    <m/>
    <s v="Matrix Pricing Application"/>
    <s v="Remove 'ISIN' field from pricing results."/>
    <s v="Neil"/>
    <d v="2009-12-10T00:00:00"/>
    <n v="2"/>
    <s v="Maintenance"/>
    <x v="3"/>
  </r>
  <r>
    <s v="04.10.08"/>
    <x v="5"/>
    <x v="4"/>
    <d v="2010-06-25T00:00:00"/>
    <m/>
    <s v="Matrix Pricing Application"/>
    <s v="Various fixes for Zhuu"/>
    <s v="Zhuu"/>
    <d v="2010-03-05T00:00:00"/>
    <n v="2"/>
    <s v="NewDevelopment"/>
    <x v="3"/>
  </r>
  <r>
    <s v="04.10.12"/>
    <x v="5"/>
    <x v="4"/>
    <d v="2010-06-25T00:00:00"/>
    <m/>
    <s v="Matrix Pricing Application"/>
    <s v="Tier by Credit Enhancement"/>
    <s v="Zhuu"/>
    <d v="2010-05-06T00:00:00"/>
    <n v="2"/>
    <s v="NewDevelopment"/>
    <x v="3"/>
  </r>
  <r>
    <s v="04.10.13"/>
    <x v="5"/>
    <x v="4"/>
    <d v="2010-06-25T00:00:00"/>
    <m/>
    <s v="Matrix Pricing Application"/>
    <s v="Show additional fields on Level 3 to allow filtering/sorting"/>
    <s v="Zhuu"/>
    <d v="2010-05-06T00:00:00"/>
    <n v="2"/>
    <s v="NewDevelopment"/>
    <x v="3"/>
  </r>
  <r>
    <s v="04.10.14"/>
    <x v="5"/>
    <x v="4"/>
    <d v="2010-06-25T00:00:00"/>
    <m/>
    <s v="Matrix Pricing Application"/>
    <s v="Add a new comment field for level 2 + 3 rules"/>
    <s v="Zhuu"/>
    <d v="2010-05-06T00:00:00"/>
    <n v="3"/>
    <s v="NewDevelopment"/>
    <x v="3"/>
  </r>
  <r>
    <s v="04.10.15"/>
    <x v="5"/>
    <x v="4"/>
    <d v="2010-06-25T00:00:00"/>
    <m/>
    <s v="Matrix Pricing Application"/>
    <s v="Add ability to specify a 1 year WAL bucket"/>
    <s v="Zhuu"/>
    <d v="2010-05-06T00:00:00"/>
    <n v="3"/>
    <s v="NewDevelopment"/>
    <x v="3"/>
  </r>
  <r>
    <s v="04.10.01"/>
    <x v="5"/>
    <x v="4"/>
    <d v="2010-06-25T00:00:00"/>
    <m/>
    <s v="Matrix Pricing Application"/>
    <s v="Key Matrix Results on bondID rather than ISIN"/>
    <s v="Neil"/>
    <d v="2009-11-02T00:00:00"/>
    <n v="2"/>
    <s v="Maintenance"/>
    <x v="3"/>
  </r>
  <r>
    <s v="04.10.03"/>
    <x v="5"/>
    <x v="4"/>
    <d v="2010-06-25T00:00:00"/>
    <m/>
    <s v="Matrix Pricing Application"/>
    <s v="Add Spread+Price on Viewer and Editor + add all fields to View Search"/>
    <s v="Neil"/>
    <d v="2009-11-09T00:00:00"/>
    <n v="3"/>
    <s v="Enhancement"/>
    <x v="3"/>
  </r>
  <r>
    <s v="06.10.1"/>
    <x v="5"/>
    <x v="4"/>
    <m/>
    <m/>
    <s v="Shared application components "/>
    <s v="PerformanceDataLib: Requirements"/>
    <s v="Ruth"/>
    <d v="2010-07-28T00:00:00"/>
    <n v="1"/>
    <s v="NewDevelopment"/>
    <x v="3"/>
  </r>
  <r>
    <s v="11.2.22c"/>
    <x v="5"/>
    <x v="4"/>
    <d v="2010-06-14T00:00:00"/>
    <m/>
    <s v="Admin"/>
    <s v="Set goals for 2010_2011"/>
    <s v="Neil"/>
    <d v="2010-06-07T00:00:00"/>
    <n v="0.5"/>
    <s v="Other"/>
    <x v="3"/>
  </r>
  <r>
    <s v="03.8.4"/>
    <x v="5"/>
    <x v="4"/>
    <d v="2010-05-22T00:00:00"/>
    <n v="1"/>
    <s v="Deal Analyser"/>
    <s v="CE - Release CE to production"/>
    <s v="Neil"/>
    <d v="2010-05-06T00:00:00"/>
    <n v="5"/>
    <s v="NewDevelopment"/>
    <x v="3"/>
  </r>
  <r>
    <s v="04.10.10"/>
    <x v="5"/>
    <x v="4"/>
    <d v="2010-06-15T00:00:00"/>
    <m/>
    <s v="Matrix Pricing Application"/>
    <s v="Tier by Original rating"/>
    <s v="Zhuu"/>
    <d v="2010-04-19T00:00:00"/>
    <n v="2"/>
    <s v="NewDevelopment"/>
    <x v="3"/>
  </r>
  <r>
    <s v="09.5.1"/>
    <x v="5"/>
    <x v="4"/>
    <m/>
    <n v="1"/>
    <s v="Nomura Now"/>
    <s v="Deals Page - Implement New Stored procs"/>
    <s v="Jon"/>
    <d v="2010-01-14T00:00:00"/>
    <n v="2"/>
    <s v="NewDevelopment"/>
    <x v="3"/>
  </r>
  <r>
    <s v="23.1.6"/>
    <x v="5"/>
    <x v="4"/>
    <d v="2010-05-20T00:00:00"/>
    <m/>
    <s v="BBG Performance Data"/>
    <s v="Release to production"/>
    <s v="Neil"/>
    <d v="2010-03-15T00:00:00"/>
    <n v="5"/>
    <s v="NewDevelopment"/>
    <x v="3"/>
  </r>
  <r>
    <s v="03.8.5"/>
    <x v="5"/>
    <x v="4"/>
    <d v="2010-06-01T00:00:00"/>
    <m/>
    <s v="Deal Analyser"/>
    <s v="CE - Extend CE for Master trusts"/>
    <s v="Ajay"/>
    <d v="2010-05-06T00:00:00"/>
    <n v="10"/>
    <s v="NewDevelopment"/>
    <x v="3"/>
  </r>
  <r>
    <s v="23.1.5"/>
    <x v="5"/>
    <x v="4"/>
    <d v="2010-05-18T00:00:00"/>
    <m/>
    <s v="BBG Performance Data"/>
    <s v="Code Review"/>
    <s v="Neil"/>
    <d v="2010-03-15T00:00:00"/>
    <n v="2"/>
    <s v="NewDevelopment"/>
    <x v="3"/>
  </r>
  <r>
    <s v="07.5.1"/>
    <x v="5"/>
    <x v="4"/>
    <m/>
    <m/>
    <s v="Development Environment"/>
    <s v="Figure out naming convention for WinForm controls and document"/>
    <s v="Neil"/>
    <d v="2010-04-15T00:00:00"/>
    <n v="0.5"/>
    <s v="Enhancement"/>
    <x v="3"/>
  </r>
  <r>
    <s v="03.8.9"/>
    <x v="5"/>
    <x v="4"/>
    <d v="2010-04-20T00:00:00"/>
    <m/>
    <s v="Deal Analyser"/>
    <s v="CE - Incorporate comments from group review (apr 10)"/>
    <s v="Neil"/>
    <d v="2010-05-06T00:00:00"/>
    <n v="10"/>
    <s v="NewDevelopment"/>
    <x v="3"/>
  </r>
  <r>
    <s v="23.1.2"/>
    <x v="5"/>
    <x v="4"/>
    <m/>
    <m/>
    <s v="BBG Performance Data"/>
    <s v="Design application and database"/>
    <s v="Neil"/>
    <d v="2010-03-15T00:00:00"/>
    <n v="4"/>
    <s v="NewDevelopment"/>
    <x v="3"/>
  </r>
  <r>
    <s v="23.1.3"/>
    <x v="5"/>
    <x v="4"/>
    <m/>
    <m/>
    <s v="BBG Performance Data"/>
    <s v="Review design"/>
    <s v="Neil"/>
    <d v="2010-03-15T00:00:00"/>
    <n v="1"/>
    <s v="NewDevelopment"/>
    <x v="3"/>
  </r>
  <r>
    <s v="23.1.4"/>
    <x v="5"/>
    <x v="4"/>
    <m/>
    <m/>
    <s v="BBG Performance Data"/>
    <s v="Build first version"/>
    <s v="Neil"/>
    <d v="2010-03-15T00:00:00"/>
    <n v="10"/>
    <s v="NewDevelopment"/>
    <x v="3"/>
  </r>
  <r>
    <s v="09.6.2"/>
    <x v="5"/>
    <x v="5"/>
    <m/>
    <m/>
    <s v="Nomura Now"/>
    <s v="Issuance Tool - Implement batch"/>
    <s v="Gerald"/>
    <d v="2010-03-08T00:00:00"/>
    <n v="10"/>
    <n v="0"/>
    <x v="4"/>
  </r>
  <r>
    <s v="09.6.3"/>
    <x v="5"/>
    <x v="5"/>
    <m/>
    <m/>
    <s v="Nomura Now"/>
    <s v="Issuance Tool - Test with Nomura Now"/>
    <s v="Gerald"/>
    <d v="2010-02-26T00:00:00"/>
    <n v="10"/>
    <n v="0"/>
    <x v="4"/>
  </r>
  <r>
    <s v="09.6.4"/>
    <x v="5"/>
    <x v="5"/>
    <m/>
    <m/>
    <s v="Nomura Now"/>
    <s v="Issuance Tool - Release to production"/>
    <s v="Gerald"/>
    <d v="2010-02-26T00:00:00"/>
    <n v="10"/>
    <n v="0"/>
    <x v="4"/>
  </r>
  <r>
    <s v="23.1.1"/>
    <x v="5"/>
    <x v="4"/>
    <m/>
    <m/>
    <s v="BBG Performance Data"/>
    <s v="Gather Requirements"/>
    <s v="Neil"/>
    <d v="2010-03-15T00:00:00"/>
    <n v="2"/>
    <n v="0"/>
    <x v="3"/>
  </r>
  <r>
    <s v="05.06.2"/>
    <x v="5"/>
    <x v="4"/>
    <m/>
    <n v="1"/>
    <s v="Loan level data"/>
    <s v="Implement mapping for Kensington"/>
    <s v="David Covey"/>
    <d v="2009-09-29T00:00:00"/>
    <n v="3"/>
    <n v="0"/>
    <x v="3"/>
  </r>
  <r>
    <s v="03.6.6"/>
    <x v="5"/>
    <x v="4"/>
    <m/>
    <n v="1"/>
    <s v="Deal Analyser"/>
    <s v="Update ABSNet loader for new SENG schema"/>
    <s v="Ruth"/>
    <d v="2010-02-24T00:00:00"/>
    <n v="5"/>
    <n v="0"/>
    <x v="3"/>
  </r>
  <r>
    <s v="03.8.3"/>
    <x v="5"/>
    <x v="4"/>
    <m/>
    <m/>
    <s v="Deal Analyser"/>
    <s v="CE - Integrate CE with Nomura Now"/>
    <s v="Gerald"/>
    <d v="2010-05-06T00:00:00"/>
    <n v="10"/>
    <n v="0"/>
    <x v="3"/>
  </r>
  <r>
    <s v="04.10.7"/>
    <x v="5"/>
    <x v="4"/>
    <m/>
    <n v="1"/>
    <s v="Matrix Pricing Application"/>
    <s v="Make setting Priority in L2 easier"/>
    <s v="Zhuu"/>
    <d v="2009-12-21T00:00:00"/>
    <n v="10"/>
    <n v="0"/>
    <x v="3"/>
  </r>
  <r>
    <s v="09.6.1"/>
    <x v="5"/>
    <x v="4"/>
    <m/>
    <m/>
    <s v="Nomura Now"/>
    <s v="Issuance Tool - Determine Requirements"/>
    <s v="David Covey"/>
    <d v="2010-01-14T00:00:00"/>
    <n v="3"/>
    <s v="NewDevelopment"/>
    <x v="3"/>
  </r>
  <r>
    <s v="03.8.7"/>
    <x v="5"/>
    <x v="4"/>
    <m/>
    <m/>
    <s v="Deal Analyser"/>
    <s v="CE - Release CE GUI"/>
    <s v="Ajay"/>
    <d v="2010-05-06T00:00:00"/>
    <n v="2"/>
    <n v="0"/>
    <x v="3"/>
  </r>
  <r>
    <s v="05.06.3"/>
    <x v="5"/>
    <x v="4"/>
    <m/>
    <m/>
    <s v="Loan level data"/>
    <s v="Reload Kensington loan raw data"/>
    <s v="Danny"/>
    <d v="2010-01-18T00:00:00"/>
    <n v="1"/>
    <n v="0"/>
    <x v="3"/>
  </r>
  <r>
    <s v="03.8.2"/>
    <x v="5"/>
    <x v="4"/>
    <m/>
    <m/>
    <s v="Deal Analyser"/>
    <s v="CE - Develop application to generate CE"/>
    <s v="Ajay"/>
    <d v="2010-05-06T00:00:00"/>
    <n v="10"/>
    <n v="0"/>
    <x v="3"/>
  </r>
  <r>
    <s v="04.10.4"/>
    <x v="5"/>
    <x v="4"/>
    <m/>
    <m/>
    <s v="Matrix Pricing Application"/>
    <s v="Add 'Legal Maturity' and 'Shelf containts' as L2 criteria"/>
    <s v="Zhuu"/>
    <d v="2009-12-02T00:00:00"/>
    <n v="4"/>
    <n v="0"/>
    <x v="3"/>
  </r>
  <r>
    <s v="03.6.5"/>
    <x v="5"/>
    <x v="4"/>
    <m/>
    <m/>
    <s v="Deal Analyser"/>
    <s v="Update ABSNet loader for latest DB and email notification"/>
    <s v="Neil"/>
    <d v="2009-11-30T00:00:00"/>
    <n v="1"/>
    <n v="0"/>
    <x v="3"/>
  </r>
  <r>
    <s v="03.8.1"/>
    <x v="5"/>
    <x v="4"/>
    <m/>
    <m/>
    <s v="Deal Analyser"/>
    <s v="CE - Determine generic CE algorithm"/>
    <s v="Ajay"/>
    <d v="2010-05-06T00:00:00"/>
    <n v="15"/>
    <n v="0"/>
    <x v="3"/>
  </r>
  <r>
    <s v="05.11.3"/>
    <x v="5"/>
    <x v="4"/>
    <m/>
    <m/>
    <s v="Loan level data"/>
    <s v="Load LEEK(Britannia) raw &amp; ESF data - Sept 09"/>
    <s v="Friedel"/>
    <d v="2009-10-09T00:00:00"/>
    <n v="0"/>
    <n v="0"/>
    <x v="3"/>
  </r>
  <r>
    <s v="03.5.10"/>
    <x v="5"/>
    <x v="4"/>
    <m/>
    <m/>
    <s v="Deal Analyser"/>
    <s v="Make Deal Analyser use Aggregate library"/>
    <s v="Neil"/>
    <d v="2009-09-18T00:00:00"/>
    <n v="0"/>
    <n v="0"/>
    <x v="3"/>
  </r>
  <r>
    <s v="03.5.12"/>
    <x v="5"/>
    <x v="4"/>
    <m/>
    <m/>
    <s v="Deal Analyser"/>
    <s v="Take comments from Peer review of Aggregate library"/>
    <s v="Neil"/>
    <d v="2009-09-30T00:00:00"/>
    <n v="0"/>
    <n v="0"/>
    <x v="3"/>
  </r>
  <r>
    <s v="09.1.10"/>
    <x v="5"/>
    <x v="4"/>
    <m/>
    <m/>
    <s v="Nomura Now"/>
    <s v="Modify Sector Spreads SP to allow for * in Currency Field"/>
    <s v="Shubh"/>
    <d v="2009-10-08T00:00:00"/>
    <n v="0"/>
    <n v="0"/>
    <x v="3"/>
  </r>
  <r>
    <s v="05.06.1"/>
    <x v="5"/>
    <x v="4"/>
    <m/>
    <m/>
    <s v="Loan level data"/>
    <s v="Add Kensington loans - raw data + document"/>
    <s v="David Covey"/>
    <d v="2009-07-31T00:00:00"/>
    <n v="0"/>
    <n v="0"/>
    <x v="3"/>
  </r>
  <r>
    <s v="05.11.1"/>
    <x v="5"/>
    <x v="4"/>
    <m/>
    <m/>
    <s v="Loan level data"/>
    <s v="Add LEEK (Britannia) loans - raw data + document"/>
    <s v="David Covey"/>
    <d v="2009-07-31T00:00:00"/>
    <n v="0"/>
    <n v="0"/>
    <x v="3"/>
  </r>
  <r>
    <s v="05.12.1"/>
    <x v="5"/>
    <x v="4"/>
    <m/>
    <m/>
    <s v="Loan level data"/>
    <s v="Add Resloc data - raw data + document"/>
    <s v="David Covey"/>
    <d v="2009-07-31T00:00:00"/>
    <n v="0"/>
    <n v="0"/>
    <x v="3"/>
  </r>
  <r>
    <s v="09.2.3"/>
    <x v="5"/>
    <x v="4"/>
    <m/>
    <m/>
    <s v="Nomura Now"/>
    <s v="Generate public aggregates"/>
    <s v="Neil"/>
    <d v="2009-08-04T00:00:00"/>
    <n v="0"/>
    <n v="0"/>
    <x v="3"/>
  </r>
  <r>
    <s v="03.5.05"/>
    <x v="5"/>
    <x v="4"/>
    <m/>
    <m/>
    <s v="Deal Analyser"/>
    <s v="Move aggregate definitions to UserConfig DB"/>
    <s v="Neil"/>
    <d v="2009-06-11T00:00:00"/>
    <n v="0"/>
    <n v="0"/>
    <x v="3"/>
  </r>
  <r>
    <s v="03.5.07"/>
    <x v="5"/>
    <x v="4"/>
    <m/>
    <m/>
    <s v="Deal Analyser"/>
    <s v="Add 180+ and 360+ DQ"/>
    <s v="David Covey"/>
    <d v="2009-07-31T00:00:00"/>
    <n v="0"/>
    <n v="0"/>
    <x v="3"/>
  </r>
  <r>
    <s v="03.5.08"/>
    <x v="5"/>
    <x v="4"/>
    <m/>
    <m/>
    <s v="Deal Analyser"/>
    <s v="Update PlotGrapth to latest version"/>
    <s v="Neil"/>
    <d v="2009-08-04T00:00:00"/>
    <n v="0"/>
    <n v="0"/>
    <x v="3"/>
  </r>
  <r>
    <s v="06.7.4"/>
    <x v="5"/>
    <x v="4"/>
    <m/>
    <m/>
    <s v="Shared application components "/>
    <s v="Modifications to Plot Graph"/>
    <s v="Neil"/>
    <d v="2009-08-20T00:00:00"/>
    <n v="0"/>
    <n v="0"/>
    <x v="3"/>
  </r>
  <r>
    <s v="09.2.4"/>
    <x v="5"/>
    <x v="4"/>
    <m/>
    <m/>
    <s v="Nomura Now"/>
    <s v="Develop first cut of SPs for Deal Analyser"/>
    <s v="Neil"/>
    <d v="2009-08-20T00:00:00"/>
    <n v="0"/>
    <n v="0"/>
    <x v="3"/>
  </r>
  <r>
    <s v="09.1.06"/>
    <x v="5"/>
    <x v="4"/>
    <m/>
    <m/>
    <s v="Nomura Now"/>
    <s v="Add TS facility for Granite"/>
    <s v="David Covey"/>
    <d v="2009-07-31T00:00:00"/>
    <n v="0"/>
    <n v="0"/>
    <x v="3"/>
  </r>
  <r>
    <s v="04.8.5"/>
    <x v="5"/>
    <x v="4"/>
    <m/>
    <m/>
    <s v="Matrix Pricing Application"/>
    <s v="Matrix Editor - Make modification as required and release"/>
    <s v="Neil"/>
    <d v="2009-07-14T00:00:00"/>
    <n v="0"/>
    <n v="0"/>
    <x v="3"/>
  </r>
  <r>
    <s v="06.7.2"/>
    <x v="5"/>
    <x v="4"/>
    <m/>
    <m/>
    <s v="Shared application components "/>
    <s v="Add generic charting component"/>
    <s v="Neil"/>
    <d v="2009-06-11T00:00:00"/>
    <n v="0"/>
    <n v="0"/>
    <x v="3"/>
  </r>
  <r>
    <s v="06.7.3"/>
    <x v="5"/>
    <x v="4"/>
    <m/>
    <m/>
    <s v="Shared application components "/>
    <s v="Implement Plot Graph"/>
    <s v="Neil"/>
    <d v="2009-07-30T00:00:00"/>
    <n v="0"/>
    <n v="0"/>
    <x v="3"/>
  </r>
  <r>
    <s v="04.7.4"/>
    <x v="5"/>
    <x v="4"/>
    <m/>
    <m/>
    <s v="Matrix Pricing Application"/>
    <s v="Collect comments and implement fixes"/>
    <s v="Neil"/>
    <d v="2009-06-11T00:00:00"/>
    <n v="0"/>
    <n v="0"/>
    <x v="3"/>
  </r>
  <r>
    <s v="04.8.2"/>
    <x v="5"/>
    <x v="4"/>
    <m/>
    <m/>
    <s v="Matrix Pricing Application"/>
    <s v="Editor - Make first implementation - L1 Matrix"/>
    <s v="Neil"/>
    <d v="2009-06-11T00:00:00"/>
    <n v="0"/>
    <n v="0"/>
    <x v="3"/>
  </r>
  <r>
    <s v="04.8.4"/>
    <x v="5"/>
    <x v="4"/>
    <m/>
    <m/>
    <s v="Matrix Pricing Application"/>
    <s v="Editor - Research review 1st implementation"/>
    <s v="Neil"/>
    <d v="2009-05-12T00:00:00"/>
    <n v="0"/>
    <n v="0"/>
    <x v="3"/>
  </r>
  <r>
    <s v="04.7.1"/>
    <x v="5"/>
    <x v="4"/>
    <m/>
    <m/>
    <s v="Matrix Pricing Application"/>
    <s v="Price Viewer - Separate out application"/>
    <s v="Neil"/>
    <d v="2009-05-27T00:00:00"/>
    <n v="0"/>
    <n v="0"/>
    <x v="3"/>
  </r>
  <r>
    <s v="04.7.2"/>
    <x v="5"/>
    <x v="4"/>
    <m/>
    <m/>
    <s v="Matrix Pricing Application"/>
    <s v="Price Viewer - Make first release with limited filter functionality"/>
    <s v="Neil"/>
    <d v="2009-05-27T00:00:00"/>
    <n v="0"/>
    <n v="0"/>
    <x v="3"/>
  </r>
  <r>
    <s v="09.1.05"/>
    <x v="5"/>
    <x v="4"/>
    <m/>
    <m/>
    <s v="Nomura Now"/>
    <s v="Migrate TS to PROD database"/>
    <s v="Neil"/>
    <d v="2009-05-27T00:00:00"/>
    <n v="0"/>
    <n v="0"/>
    <x v="3"/>
  </r>
  <r>
    <s v="09.1.04"/>
    <x v="5"/>
    <x v="4"/>
    <m/>
    <m/>
    <s v="Nomura Now"/>
    <s v="Agree 'menu' definition and interface with Duncan"/>
    <s v="David Covey"/>
    <d v="2009-04-29T00:00:00"/>
    <n v="0"/>
    <n v="0"/>
    <x v="3"/>
  </r>
  <r>
    <s v="04.5"/>
    <x v="5"/>
    <x v="4"/>
    <m/>
    <m/>
    <s v="Matrix Pricing Application"/>
    <s v="Port Application matrix functionality to 'Trunk'"/>
    <s v="Neil"/>
    <d v="2009-04-21T00:00:00"/>
    <n v="0"/>
    <n v="0"/>
    <x v="3"/>
  </r>
  <r>
    <s v="04.6"/>
    <x v="5"/>
    <x v="4"/>
    <m/>
    <m/>
    <s v="Matrix Pricing Application"/>
    <s v="Port Application GUI to 'Trunk'"/>
    <s v="Neil"/>
    <d v="2009-04-21T00:00:00"/>
    <n v="0"/>
    <n v="0"/>
    <x v="3"/>
  </r>
  <r>
    <s v="06.4.1"/>
    <x v="5"/>
    <x v="4"/>
    <m/>
    <m/>
    <s v="Shared application components "/>
    <s v="Possible enhancements"/>
    <s v="Neil"/>
    <d v="2009-04-14T00:00:00"/>
    <n v="0"/>
    <n v="0"/>
    <x v="3"/>
  </r>
  <r>
    <s v="04.1"/>
    <x v="5"/>
    <x v="4"/>
    <m/>
    <m/>
    <s v="Matrix Pricing Application"/>
    <s v="Various modifications before prototype given to Research "/>
    <s v="Neil"/>
    <d v="2009-04-08T00:00:00"/>
    <n v="0"/>
    <n v="0"/>
    <x v="3"/>
  </r>
  <r>
    <s v="06.3.1"/>
    <x v="5"/>
    <x v="4"/>
    <m/>
    <m/>
    <s v="Shared application components "/>
    <s v="Make first release of Database library"/>
    <s v="Neil"/>
    <d v="2009-04-08T00:00:00"/>
    <n v="0"/>
    <n v="0"/>
    <x v="3"/>
  </r>
  <r>
    <s v="06.3.2"/>
    <x v="5"/>
    <x v="4"/>
    <m/>
    <m/>
    <s v="Shared application components "/>
    <s v="Add in usage of Config library to Database library"/>
    <s v="Neil"/>
    <d v="2009-04-08T00:00:00"/>
    <n v="0"/>
    <n v="0"/>
    <x v="3"/>
  </r>
  <r>
    <s v="07.2.3"/>
    <x v="5"/>
    <x v="4"/>
    <d v="2010-08-23T00:00:00"/>
    <m/>
    <s v="Development Environment"/>
    <s v="Schema save: Code review"/>
    <s v="Neil"/>
    <d v="2010-08-20T00:00:00"/>
    <n v="1"/>
    <s v="Maintenance"/>
    <x v="3"/>
  </r>
  <r>
    <s v="07.2.4"/>
    <x v="5"/>
    <x v="4"/>
    <d v="2010-08-27T00:00:00"/>
    <m/>
    <s v="Development Environment"/>
    <s v="Schema save: Release"/>
    <s v="Neil"/>
    <d v="2010-08-20T00:00:00"/>
    <n v="1"/>
    <s v="Maintenance"/>
    <x v="3"/>
  </r>
  <r>
    <s v="10.3.1"/>
    <x v="6"/>
    <x v="4"/>
    <m/>
    <m/>
    <s v="Radial / Totoro / Other"/>
    <s v="Feed principal schedule to QDB"/>
    <s v="Operations"/>
    <d v="2009-05-05T00:00:00"/>
    <n v="0"/>
    <n v="0"/>
    <x v="3"/>
  </r>
  <r>
    <s v="07.5.11"/>
    <x v="7"/>
    <x v="6"/>
    <m/>
    <m/>
    <s v="Development Environment"/>
    <s v="Get individual dev data server for Mumbai"/>
    <s v="Neil"/>
    <d v="2010-12-09T00:00:00"/>
    <n v="2"/>
    <s v="Other"/>
    <x v="0"/>
  </r>
  <r>
    <s v="08.10.2"/>
    <x v="7"/>
    <x v="0"/>
    <m/>
    <m/>
    <s v="Production Environment"/>
    <s v="Coordinate moving jobs to Autosys"/>
    <s v="Neil"/>
    <d v="2010-12-08T00:00:00"/>
    <n v="3"/>
    <s v="Enhancement"/>
    <x v="1"/>
  </r>
  <r>
    <s v="06.13.7"/>
    <x v="7"/>
    <x v="0"/>
    <m/>
    <m/>
    <s v="Shared application components "/>
    <s v="Change Fingal wrapper interface so that it does not return any values of type 'object'"/>
    <s v="Neil"/>
    <d v="2010-12-02T00:00:00"/>
    <n v="1"/>
    <s v="Infrastructure"/>
    <x v="1"/>
  </r>
  <r>
    <s v="05.17.3"/>
    <x v="7"/>
    <x v="0"/>
    <m/>
    <m/>
    <s v="Loan level data"/>
    <s v="Changes to ALBA Mappings"/>
    <s v="Danny"/>
    <d v="2010-02-24T00:00:00"/>
    <n v="1"/>
    <s v="Enhancement"/>
    <x v="0"/>
  </r>
  <r>
    <s v="21.2.7"/>
    <x v="7"/>
    <x v="0"/>
    <m/>
    <m/>
    <s v="Collateral Model"/>
    <s v="Collateral Model: UAT - Backtesting"/>
    <s v="Danny"/>
    <d v="2010-07-02T00:00:00"/>
    <n v="4"/>
    <s v="NewDevelopment"/>
    <x v="0"/>
  </r>
  <r>
    <s v="05.21.4"/>
    <x v="7"/>
    <x v="0"/>
    <m/>
    <m/>
    <s v="Loan level data"/>
    <s v="LoanHandling: Modify each loader to conform to procedure."/>
    <s v="Pramendra"/>
    <d v="2010-07-29T00:00:00"/>
    <n v="10"/>
    <s v="Enhancement"/>
    <x v="0"/>
  </r>
  <r>
    <s v="06.3.4"/>
    <x v="7"/>
    <x v="0"/>
    <m/>
    <m/>
    <s v="Shared application components "/>
    <s v="Make database calls retry 3 times upon a deadlock"/>
    <s v="Neil"/>
    <d v="2010-12-02T00:00:00"/>
    <n v="1"/>
    <s v="Enhancement"/>
    <x v="1"/>
  </r>
  <r>
    <s v="16.7.10"/>
    <x v="7"/>
    <x v="0"/>
    <m/>
    <m/>
    <s v="Macro Economic Data"/>
    <s v="Elabortate log contents for Spanish INE download data"/>
    <s v="Neil"/>
    <d v="2010-12-02T00:00:00"/>
    <n v="1"/>
    <s v="Enhancement"/>
    <x v="1"/>
  </r>
  <r>
    <s v="16.7.9"/>
    <x v="7"/>
    <x v="0"/>
    <m/>
    <m/>
    <s v="Macro Economic Data"/>
    <s v="Elaborate wiki for Spanish INE download data"/>
    <s v="Neil"/>
    <d v="2010-12-02T00:00:00"/>
    <n v="0.2"/>
    <s v="Maintenance"/>
    <x v="1"/>
  </r>
  <r>
    <s v="09.8.2"/>
    <x v="7"/>
    <x v="1"/>
    <m/>
    <m/>
    <s v="Nomura Now"/>
    <s v="Gather requirements and make plan for UK Prime Page"/>
    <s v="Neil"/>
    <d v="2010-11-16T00:00:00"/>
    <n v="1"/>
    <s v="NewDevelopment"/>
    <x v="1"/>
  </r>
  <r>
    <s v="05.21.7"/>
    <x v="7"/>
    <x v="1"/>
    <m/>
    <m/>
    <s v="Loan level data"/>
    <s v="LoanHandling: Full release for all loaders"/>
    <s v="Pramendra"/>
    <d v="2010-09-08T00:00:00"/>
    <n v="12"/>
    <s v="NewDevelopment"/>
    <x v="0"/>
  </r>
  <r>
    <s v="05.17.4"/>
    <x v="7"/>
    <x v="1"/>
    <m/>
    <m/>
    <s v="Loan level data"/>
    <s v="Problem with some ALBA loans between QA and Prod"/>
    <s v="Danny"/>
    <d v="2010-04-19T00:00:00"/>
    <n v="1"/>
    <s v="Maintenance"/>
    <x v="0"/>
  </r>
  <r>
    <s v="11.2.33"/>
    <x v="7"/>
    <x v="1"/>
    <m/>
    <m/>
    <s v="Admin"/>
    <s v="Figure out scope and priority for Power PT Monthly summary"/>
    <s v="Ajay"/>
    <d v="2010-10-04T00:00:00"/>
    <n v="1"/>
    <s v="Other"/>
    <x v="1"/>
  </r>
  <r>
    <s v="06.4.3a"/>
    <x v="7"/>
    <x v="1"/>
    <m/>
    <m/>
    <s v="Shared application components "/>
    <s v="Find better way to use C# objects with GUI controls"/>
    <s v="Neil"/>
    <d v="2010-10-01T00:00:00"/>
    <n v="3"/>
    <s v="NewDevelopment"/>
    <x v="1"/>
  </r>
  <r>
    <s v="10.1.10"/>
    <x v="7"/>
    <x v="1"/>
    <m/>
    <m/>
    <s v="Radial / Totoro / Other"/>
    <s v="Radial start up time is very slow in Mumbai"/>
    <s v="Neil"/>
    <d v="2010-04-06T00:00:00"/>
    <n v="1"/>
    <s v="Enhancement"/>
    <x v="0"/>
  </r>
  <r>
    <s v="16.6.7"/>
    <x v="7"/>
    <x v="1"/>
    <m/>
    <m/>
    <s v="Macro Economic Data"/>
    <s v="Various fixes to BoE downloader"/>
    <s v="Neil"/>
    <d v="2010-06-07T00:00:00"/>
    <n v="2"/>
    <s v="Maintenance"/>
    <x v="1"/>
  </r>
  <r>
    <s v="01.2.45"/>
    <x v="7"/>
    <x v="1"/>
    <m/>
    <m/>
    <s v="Deals Database"/>
    <s v="Investigate Fingal build errors"/>
    <s v="Neil"/>
    <d v="2010-06-09T00:00:00"/>
    <n v="0.5"/>
    <s v="Maintenance"/>
    <x v="1"/>
  </r>
  <r>
    <s v="08.14.1"/>
    <x v="7"/>
    <x v="2"/>
    <m/>
    <m/>
    <s v="Production Environment"/>
    <s v="Slow Mumbai network issue"/>
    <s v="Ajay"/>
    <d v="2010-10-26T00:00:00"/>
    <n v="2"/>
    <s v="Enhancement"/>
    <x v="0"/>
  </r>
  <r>
    <s v="19.5.7"/>
    <x v="7"/>
    <x v="4"/>
    <d v="2010-11-23T00:00:00"/>
    <m/>
    <s v="Support"/>
    <s v="Download INE population statistics "/>
    <s v="Friedel"/>
    <d v="2010-11-22T00:00:00"/>
    <n v="1"/>
    <s v="Support"/>
    <x v="3"/>
  </r>
  <r>
    <s v="05.04"/>
    <x v="7"/>
    <x v="4"/>
    <m/>
    <m/>
    <s v="Loan level data"/>
    <s v="Add Halifax HPI data"/>
    <s v="David Covey"/>
    <d v="2009-04-14T00:00:00"/>
    <n v="0"/>
    <n v="0"/>
    <x v="3"/>
  </r>
  <r>
    <s v="11.4.1b"/>
    <x v="7"/>
    <x v="4"/>
    <m/>
    <m/>
    <s v="Admin"/>
    <s v="NoHo Migration: Develop plan"/>
    <s v="Neil"/>
    <d v="2010-10-26T00:00:00"/>
    <n v="2"/>
    <s v="Support"/>
    <x v="3"/>
  </r>
  <r>
    <s v="07.5.9"/>
    <x v="7"/>
    <x v="4"/>
    <m/>
    <m/>
    <s v="Development Environment"/>
    <s v="Determine correct usage for task branches"/>
    <s v="Neil"/>
    <d v="2010-10-01T00:00:00"/>
    <n v="1"/>
    <s v="Enhancement"/>
    <x v="3"/>
  </r>
  <r>
    <s v="04.10.25"/>
    <x v="7"/>
    <x v="4"/>
    <d v="2010-10-08T00:00:00"/>
    <m/>
    <s v="Matrix Pricing Application"/>
    <s v="Review Matrix Pricing changes"/>
    <s v="Neil"/>
    <d v="2010-07-29T00:00:00"/>
    <n v="1"/>
    <s v="Enhancement"/>
    <x v="3"/>
  </r>
  <r>
    <s v="11.2.29"/>
    <x v="7"/>
    <x v="4"/>
    <d v="2010-10-04T00:00:00"/>
    <m/>
    <s v="Admin"/>
    <s v="Get desk for Parth"/>
    <s v="Pramendra"/>
    <d v="2010-10-01T00:00:00"/>
    <n v="0.1"/>
    <s v="Other"/>
    <x v="3"/>
  </r>
  <r>
    <s v="11.2.30"/>
    <x v="7"/>
    <x v="4"/>
    <d v="2010-10-04T00:00:00"/>
    <m/>
    <s v="Admin"/>
    <s v="Get PurifyPlus license for Paresh"/>
    <s v="Pramendra"/>
    <d v="2010-10-01T00:00:00"/>
    <n v="0.1"/>
    <s v="Other"/>
    <x v="3"/>
  </r>
  <r>
    <s v="11.2.31"/>
    <x v="7"/>
    <x v="4"/>
    <m/>
    <m/>
    <s v="Admin"/>
    <s v="Get Parth fully set up"/>
    <s v="Pramendra"/>
    <d v="2010-10-01T00:00:00"/>
    <n v="0.1"/>
    <s v="Other"/>
    <x v="3"/>
  </r>
  <r>
    <s v="21.4.3"/>
    <x v="7"/>
    <x v="4"/>
    <m/>
    <m/>
    <s v="Collateral Model"/>
    <s v="IntexCduPss: Review Design"/>
    <s v="Neil"/>
    <d v="2010-07-02T00:00:00"/>
    <n v="0.5"/>
    <s v="NewDevelopment"/>
    <x v="3"/>
  </r>
  <r>
    <s v="05.18.8"/>
    <x v="7"/>
    <x v="4"/>
    <d v="2010-09-14T00:00:00"/>
    <m/>
    <s v="Loan level data"/>
    <s v="Add new Kensington 2nd Lien rules for Danny"/>
    <s v="Pramendra"/>
    <d v="2010-09-13T00:00:00"/>
    <n v="1"/>
    <s v="NewDevelopment"/>
    <x v="3"/>
  </r>
  <r>
    <s v="05.21.3"/>
    <x v="7"/>
    <x v="4"/>
    <d v="2010-09-17T00:00:00"/>
    <m/>
    <s v="Loan level data"/>
    <s v="LoanHandling: First release with just ALBA"/>
    <s v="Pramendra"/>
    <d v="2010-07-29T00:00:00"/>
    <n v="3"/>
    <s v="NewDevelopment"/>
    <x v="3"/>
  </r>
  <r>
    <s v="12.1.3"/>
    <x v="7"/>
    <x v="4"/>
    <m/>
    <m/>
    <s v="Utilities"/>
    <s v="Make startup faster in Mumbai - re logging"/>
    <s v="Neil"/>
    <d v="2010-04-06T00:00:00"/>
    <n v="1.5"/>
    <s v="Enhancement"/>
    <x v="3"/>
  </r>
  <r>
    <s v="05.21.2"/>
    <x v="7"/>
    <x v="4"/>
    <d v="2010-09-10T00:00:00"/>
    <m/>
    <s v="Loan level data"/>
    <s v="LoanHandling: Design schema and library"/>
    <s v="Pramendra"/>
    <d v="2010-07-29T00:00:00"/>
    <n v="2"/>
    <s v="Enhancement"/>
    <x v="3"/>
  </r>
  <r>
    <s v="11.2.19"/>
    <x v="7"/>
    <x v="4"/>
    <d v="2010-05-01T00:00:00"/>
    <m/>
    <s v="Admin"/>
    <s v="Get Mumbai located IT share set up for logging and other uses."/>
    <s v="Neil"/>
    <d v="2010-04-13T00:00:00"/>
    <n v="0.5"/>
    <s v="NewDevelopment"/>
    <x v="3"/>
  </r>
  <r>
    <s v="04.10.17"/>
    <x v="7"/>
    <x v="4"/>
    <d v="2010-07-21T00:00:00"/>
    <m/>
    <s v="Matrix Pricing Application"/>
    <s v="Review Matrix Pricing changes"/>
    <s v="Neil"/>
    <d v="2010-06-24T00:00:00"/>
    <n v="1"/>
    <s v="NewDevelopment"/>
    <x v="3"/>
  </r>
  <r>
    <s v="05.21.1"/>
    <x v="7"/>
    <x v="4"/>
    <d v="2010-04-20T00:00:00"/>
    <m/>
    <s v="Loan level data"/>
    <s v="LoanHandling: Define loan data file handling procedure."/>
    <s v="Neil"/>
    <d v="2010-07-29T00:00:00"/>
    <n v="0.5"/>
    <s v="Enhancement"/>
    <x v="3"/>
  </r>
  <r>
    <s v="21.2.5"/>
    <x v="7"/>
    <x v="4"/>
    <d v="2010-03-26T00:00:00"/>
    <n v="1"/>
    <s v="Collateral Model"/>
    <s v="Collateral Model: Complete implementation"/>
    <s v="Neil"/>
    <d v="2010-04-16T00:00:00"/>
    <n v="15"/>
    <s v="NewDevelopment"/>
    <x v="3"/>
  </r>
  <r>
    <s v="11.2.22b"/>
    <x v="7"/>
    <x v="4"/>
    <d v="2010-06-14T00:00:00"/>
    <m/>
    <s v="Admin"/>
    <s v="Set goals for 2010_2011"/>
    <s v="Neil"/>
    <d v="2010-06-07T00:00:00"/>
    <n v="0.5"/>
    <s v="Other"/>
    <x v="3"/>
  </r>
  <r>
    <s v="12.3.1"/>
    <x v="7"/>
    <x v="4"/>
    <m/>
    <m/>
    <s v="Utilities"/>
    <s v="Add 'Bonds' View"/>
    <s v="Ajay"/>
    <d v="2010-11-23T00:00:00"/>
    <n v="1"/>
    <s v="NewDevelopment"/>
    <x v="3"/>
  </r>
  <r>
    <s v="07.4.1"/>
    <x v="7"/>
    <x v="4"/>
    <d v="2010-03-20T00:00:00"/>
    <n v="1"/>
    <s v="Development Environment"/>
    <s v="Linq: determine appropriate usage and document"/>
    <s v="Neil"/>
    <d v="2010-04-15T00:00:00"/>
    <n v="1"/>
    <s v="Enhancement"/>
    <x v="3"/>
  </r>
  <r>
    <s v="01.3.12"/>
    <x v="7"/>
    <x v="4"/>
    <m/>
    <m/>
    <s v="Deals Database"/>
    <s v="Add missing Original WAL data"/>
    <s v="Zhuu"/>
    <d v="2010-04-28T00:00:00"/>
    <n v="0.5"/>
    <s v="Maintenance"/>
    <x v="3"/>
  </r>
  <r>
    <s v="21.3.1"/>
    <x v="7"/>
    <x v="4"/>
    <m/>
    <m/>
    <s v="Collateral Model"/>
    <s v="ModelCashflows: Gather requirements"/>
    <s v="Danny"/>
    <d v="2010-05-27T00:00:00"/>
    <n v="1"/>
    <s v="NewDevelopment"/>
    <x v="3"/>
  </r>
  <r>
    <s v="16.10.3"/>
    <x v="7"/>
    <x v="4"/>
    <m/>
    <m/>
    <s v="Macro Economic Data"/>
    <s v="Normalised BOE Rate Data "/>
    <s v="Neil"/>
    <d v="2010-03-31T00:00:00"/>
    <n v="2"/>
    <s v="Maintenance"/>
    <x v="3"/>
  </r>
  <r>
    <s v="16.10.2"/>
    <x v="7"/>
    <x v="4"/>
    <m/>
    <m/>
    <s v="Macro Economic Data"/>
    <s v="Normalised ECB Rate Data "/>
    <s v="Neil"/>
    <d v="2010-03-31T00:00:00"/>
    <n v="2"/>
    <s v="Maintenance"/>
    <x v="3"/>
  </r>
  <r>
    <s v="21.2.3"/>
    <x v="7"/>
    <x v="4"/>
    <m/>
    <n v="1"/>
    <s v="Collateral Model"/>
    <s v="Collateral Model: First core implementation"/>
    <s v="Neil"/>
    <d v="2010-02-09T00:00:00"/>
    <n v="5"/>
    <n v="0"/>
    <x v="3"/>
  </r>
  <r>
    <s v="16.9.1"/>
    <x v="7"/>
    <x v="4"/>
    <m/>
    <n v="1"/>
    <s v="Macro Economic Data"/>
    <s v="Italian Land Registry quick and dirty data extraction"/>
    <s v="Friedel"/>
    <d v="2010-03-03T00:00:00"/>
    <n v="2"/>
    <n v="0"/>
    <x v="3"/>
  </r>
  <r>
    <s v="01.2.35"/>
    <x v="7"/>
    <x v="4"/>
    <m/>
    <n v="1"/>
    <s v="Deals Database"/>
    <s v="Fix 'NextFixingDate' on DealsDB and CFGenerator"/>
    <s v="Neil"/>
    <d v="2010-02-10T00:00:00"/>
    <n v="1"/>
    <n v="0"/>
    <x v="3"/>
  </r>
  <r>
    <s v="21.2.1"/>
    <x v="7"/>
    <x v="4"/>
    <m/>
    <n v="1"/>
    <s v="Collateral Model"/>
    <s v="Collateral Model: Initial Design of Framework"/>
    <s v="Neil"/>
    <d v="2010-02-23T00:00:00"/>
    <n v="5"/>
    <n v="0"/>
    <x v="3"/>
  </r>
  <r>
    <s v="01.2.13"/>
    <x v="7"/>
    <x v="4"/>
    <m/>
    <m/>
    <s v="Deals Database"/>
    <s v="Improve error message when BBG API is not present"/>
    <s v="Neil"/>
    <d v="2009-07-31T00:00:00"/>
    <n v="0.5"/>
    <n v="0"/>
    <x v="3"/>
  </r>
  <r>
    <s v="01.2.17"/>
    <x v="7"/>
    <x v="4"/>
    <m/>
    <m/>
    <s v="Deals Database"/>
    <s v="In Deals DB - Check that bonds can be built with Fingal"/>
    <s v="Neil"/>
    <d v="2009-08-24T00:00:00"/>
    <n v="3"/>
    <n v="0"/>
    <x v="3"/>
  </r>
  <r>
    <s v="01.2.18"/>
    <x v="7"/>
    <x v="4"/>
    <m/>
    <m/>
    <s v="Deals Database"/>
    <s v="In Cashflow Generator - Check that bonds can be built with Fingal"/>
    <s v="Neil"/>
    <d v="2009-08-24T00:00:00"/>
    <n v="3"/>
    <n v="0"/>
    <x v="3"/>
  </r>
  <r>
    <s v="01.2.33"/>
    <x v="7"/>
    <x v="4"/>
    <m/>
    <m/>
    <s v="Deals Database"/>
    <s v="BUG - Refresh from BBG does not populate the BBG Name for bond, example ES0347789002."/>
    <s v="David"/>
    <d v="2010-01-28T00:00:00"/>
    <n v="0.5"/>
    <n v="0"/>
    <x v="3"/>
  </r>
  <r>
    <s v="15.3.6"/>
    <x v="7"/>
    <x v="4"/>
    <m/>
    <m/>
    <s v="Excel DB Transition"/>
    <s v="Copy deal structure to comments."/>
    <s v="Pramendra"/>
    <d v="2009-11-10T00:00:00"/>
    <n v="7"/>
    <n v="0"/>
    <x v="3"/>
  </r>
  <r>
    <s v="15.3.7"/>
    <x v="7"/>
    <x v="4"/>
    <m/>
    <m/>
    <s v="Excel DB Transition"/>
    <s v="Get Reseach to fully populate triggers in DealsDB"/>
    <s v="Pramendra"/>
    <d v="2010-01-22T00:00:00"/>
    <n v="2"/>
    <n v="0"/>
    <x v="3"/>
  </r>
  <r>
    <s v="15.4.1"/>
    <x v="7"/>
    <x v="4"/>
    <m/>
    <m/>
    <s v="Excel DB Transition"/>
    <s v="Set up Counterparties (DealDB app)"/>
    <s v="Pramendra"/>
    <d v="2009-11-10T00:00:00"/>
    <n v="3"/>
    <n v="0"/>
    <x v="3"/>
  </r>
  <r>
    <s v="15.4.2"/>
    <x v="7"/>
    <x v="4"/>
    <m/>
    <m/>
    <s v="Excel DB Transition"/>
    <s v="Set up Deal Triggers and allow state changes (DealDB app)"/>
    <s v="Pramendra"/>
    <d v="2009-11-18T00:00:00"/>
    <n v="3"/>
    <n v="0"/>
    <x v="3"/>
  </r>
  <r>
    <s v="04.10.6"/>
    <x v="7"/>
    <x v="4"/>
    <m/>
    <m/>
    <s v="Matrix Pricing Application"/>
    <s v="Add Custom attributes for L2 criteria"/>
    <s v="Neil"/>
    <d v="2009-12-16T00:00:00"/>
    <n v="4"/>
    <n v="0"/>
    <x v="3"/>
  </r>
  <r>
    <s v="15.3.2"/>
    <x v="7"/>
    <x v="4"/>
    <m/>
    <m/>
    <s v="Excel DB Transition"/>
    <s v="Move trigger definition and state to DB"/>
    <s v="Pramendra"/>
    <d v="2009-11-10T00:00:00"/>
    <n v="10"/>
    <n v="0"/>
    <x v="3"/>
  </r>
  <r>
    <s v="15.3.1"/>
    <x v="7"/>
    <x v="4"/>
    <m/>
    <m/>
    <s v="Excel DB Transition"/>
    <s v="Move Deal Transaction Participants to DB + Addin"/>
    <s v="Pramendra"/>
    <d v="2009-11-10T00:00:00"/>
    <n v="3"/>
    <n v="0"/>
    <x v="3"/>
  </r>
  <r>
    <s v="10.1.7"/>
    <x v="7"/>
    <x v="4"/>
    <m/>
    <m/>
    <s v="Radial / Totoro / Other"/>
    <s v="Radial creates new bonds automatically."/>
    <s v="Neil"/>
    <d v="2009-08-07T00:00:00"/>
    <n v="0"/>
    <n v="0"/>
    <x v="3"/>
  </r>
  <r>
    <s v="04.10.2"/>
    <x v="7"/>
    <x v="4"/>
    <m/>
    <m/>
    <s v="Matrix Pricing Application"/>
    <s v="Modify L2 so that criteria can be edited"/>
    <s v="Shubh"/>
    <d v="2009-11-03T00:00:00"/>
    <n v="0.5"/>
    <n v="0"/>
    <x v="3"/>
  </r>
  <r>
    <s v="09.1.12"/>
    <x v="7"/>
    <x v="4"/>
    <m/>
    <m/>
    <s v="Nomura Now"/>
    <s v="Load up historical level 2 granite prices"/>
    <s v="Neil"/>
    <d v="2009-10-23T00:00:00"/>
    <n v="0"/>
    <n v="0"/>
    <x v="3"/>
  </r>
  <r>
    <s v="15.1.2"/>
    <x v="7"/>
    <x v="4"/>
    <m/>
    <m/>
    <s v="Excel DB Transition"/>
    <s v="Access Surveillance DB from UKNC spread sheet"/>
    <s v="Pramendra"/>
    <d v="2009-07-31T00:00:00"/>
    <n v="0"/>
    <n v="0"/>
    <x v="3"/>
  </r>
  <r>
    <s v="15.1.3"/>
    <x v="7"/>
    <x v="4"/>
    <m/>
    <m/>
    <s v="Excel DB Transition"/>
    <s v="Formulate full plan for transition"/>
    <s v="Pramendra"/>
    <d v="2009-09-30T00:00:00"/>
    <n v="0"/>
    <n v="0"/>
    <x v="3"/>
  </r>
  <r>
    <s v="15.2.1"/>
    <x v="7"/>
    <x v="4"/>
    <m/>
    <m/>
    <s v="Excel DB Transition"/>
    <s v="Create Excel Addin"/>
    <s v="Pramendra"/>
    <d v="2009-11-03T00:00:00"/>
    <n v="0"/>
    <n v="0"/>
    <x v="3"/>
  </r>
  <r>
    <s v="01.2.16"/>
    <x v="7"/>
    <x v="4"/>
    <m/>
    <m/>
    <s v="Deals Database"/>
    <s v="Make sure time stamps in feed files are London time"/>
    <s v="Neil"/>
    <d v="2009-08-05T00:00:00"/>
    <n v="0"/>
    <n v="0"/>
    <x v="3"/>
  </r>
  <r>
    <s v="01.2.14"/>
    <x v="7"/>
    <x v="4"/>
    <m/>
    <m/>
    <s v="Deals Database"/>
    <s v="Move to latest BBG Gateway API"/>
    <s v="Neil"/>
    <d v="2009-09-30T00:00:00"/>
    <n v="0"/>
    <n v="0"/>
    <x v="3"/>
  </r>
  <r>
    <s v="01.2.19"/>
    <x v="7"/>
    <x v="4"/>
    <m/>
    <m/>
    <s v="Deals Database"/>
    <s v="Investigate Date error for Cashflow schedules"/>
    <s v="Neil"/>
    <d v="2009-09-30T00:00:00"/>
    <n v="0"/>
    <n v="0"/>
    <x v="3"/>
  </r>
  <r>
    <s v="16.5"/>
    <x v="7"/>
    <x v="4"/>
    <m/>
    <m/>
    <s v="Macro Economic Data"/>
    <s v="Add ECB Data"/>
    <s v="David"/>
    <d v="2009-09-30T00:00:00"/>
    <n v="0"/>
    <n v="0"/>
    <x v="3"/>
  </r>
  <r>
    <s v="04.7.6 "/>
    <x v="7"/>
    <x v="4"/>
    <m/>
    <m/>
    <s v="Matrix Pricing Application"/>
    <s v="Enhance matrix viewer"/>
    <s v="Neil"/>
    <d v="2009-08-03T00:00:00"/>
    <n v="0"/>
    <n v="0"/>
    <x v="3"/>
  </r>
  <r>
    <s v="04.8.10"/>
    <x v="7"/>
    <x v="4"/>
    <m/>
    <m/>
    <s v="Matrix Pricing Application"/>
    <s v="Multiple L2 tier match"/>
    <s v="David Covey"/>
    <d v="2009-08-04T00:00:00"/>
    <n v="0"/>
    <n v="0"/>
    <x v="3"/>
  </r>
  <r>
    <s v="04.8.7"/>
    <x v="7"/>
    <x v="4"/>
    <m/>
    <m/>
    <s v="Matrix Pricing Application"/>
    <s v="Redesign L2 matrix screen"/>
    <s v="Neil"/>
    <d v="2009-07-31T00:00:00"/>
    <n v="0"/>
    <n v="0"/>
    <x v="3"/>
  </r>
  <r>
    <s v="04.8.9"/>
    <x v="7"/>
    <x v="4"/>
    <m/>
    <m/>
    <s v="Matrix Pricing Application"/>
    <s v="Price large universe of bonds for Aug month end."/>
    <s v="David Covey"/>
    <d v="2009-08-03T00:00:00"/>
    <n v="0"/>
    <n v="0"/>
    <x v="3"/>
  </r>
  <r>
    <s v="09.1.07"/>
    <x v="7"/>
    <x v="4"/>
    <m/>
    <m/>
    <s v="Nomura Now"/>
    <s v="Add TS for Macro Economic Data"/>
    <s v="David Covey"/>
    <d v="2009-08-24T00:00:00"/>
    <n v="0"/>
    <n v="0"/>
    <x v="3"/>
  </r>
  <r>
    <s v="12.1.1"/>
    <x v="7"/>
    <x v="4"/>
    <m/>
    <m/>
    <s v="Utilities"/>
    <s v="Build log file tidy tool"/>
    <s v="Neil"/>
    <d v="2009-08-20T00:00:00"/>
    <n v="0"/>
    <n v="0"/>
    <x v="3"/>
  </r>
  <r>
    <s v="16.2"/>
    <x v="7"/>
    <x v="4"/>
    <m/>
    <m/>
    <s v="Macro Economic Data"/>
    <s v="Develop app to download data to DB"/>
    <s v="David"/>
    <d v="2009-08-20T00:00:00"/>
    <n v="0"/>
    <n v="0"/>
    <x v="3"/>
  </r>
  <r>
    <s v="16.1"/>
    <x v="7"/>
    <x v="4"/>
    <m/>
    <m/>
    <s v="Macro Economic Data"/>
    <s v="Initial Plan with Ajay"/>
    <s v="David"/>
    <d v="2009-08-04T00:00:00"/>
    <n v="0"/>
    <n v="0"/>
    <x v="3"/>
  </r>
  <r>
    <s v="04.4.8"/>
    <x v="7"/>
    <x v="4"/>
    <m/>
    <m/>
    <s v="Matrix Pricing Application"/>
    <s v="Productionise Matrix Pricer Batch"/>
    <s v="Neil"/>
    <d v="2009-07-14T00:00:00"/>
    <n v="0"/>
    <n v="0"/>
    <x v="3"/>
  </r>
  <r>
    <s v="04.4.9"/>
    <x v="7"/>
    <x v="4"/>
    <m/>
    <m/>
    <s v="Matrix Pricing Application"/>
    <s v="Run Matrix Pricer Batch in QA and get sign off"/>
    <s v="Neil"/>
    <d v="2009-07-14T00:00:00"/>
    <n v="0"/>
    <n v="0"/>
    <x v="3"/>
  </r>
  <r>
    <s v="04.7.5"/>
    <x v="7"/>
    <x v="4"/>
    <m/>
    <m/>
    <s v="Matrix Pricing Application"/>
    <s v="Use Price viewer in QA and get sign off"/>
    <s v="Neil"/>
    <d v="2009-07-14T00:00:00"/>
    <n v="0"/>
    <n v="0"/>
    <x v="3"/>
  </r>
  <r>
    <s v="15.1.1"/>
    <x v="7"/>
    <x v="4"/>
    <m/>
    <m/>
    <s v="Excel DB Transition"/>
    <s v="Initial Plan"/>
    <s v="Neil"/>
    <d v="2009-07-20T00:00:00"/>
    <n v="0"/>
    <n v="0"/>
    <x v="3"/>
  </r>
  <r>
    <s v="04.4.6"/>
    <x v="7"/>
    <x v="4"/>
    <m/>
    <m/>
    <s v="Matrix Pricing Application"/>
    <s v="Store 'All' intermediate calcs and useful outputs in DB"/>
    <s v="Neil"/>
    <d v="2009-06-11T00:00:00"/>
    <n v="0"/>
    <n v="0"/>
    <x v="3"/>
  </r>
  <r>
    <s v="04.4.7"/>
    <x v="7"/>
    <x v="4"/>
    <m/>
    <m/>
    <s v="Matrix Pricing Application"/>
    <s v="Get sign off for batch pricing"/>
    <s v="Neil"/>
    <d v="2009-06-11T00:00:00"/>
    <n v="0"/>
    <n v="0"/>
    <x v="3"/>
  </r>
  <r>
    <s v="06.7.1"/>
    <x v="7"/>
    <x v="4"/>
    <m/>
    <m/>
    <s v="Shared application components "/>
    <s v="Add Exception Dialog with mail send option"/>
    <s v="Neil"/>
    <d v="2009-06-11T00:00:00"/>
    <n v="0"/>
    <n v="0"/>
    <x v="3"/>
  </r>
  <r>
    <s v="08.04.1"/>
    <x v="7"/>
    <x v="4"/>
    <m/>
    <m/>
    <s v="Production Environment"/>
    <s v="Get Job Scheduling working on QA machine"/>
    <s v="Neil"/>
    <d v="2009-05-06T00:00:00"/>
    <n v="0"/>
    <n v="0"/>
    <x v="3"/>
  </r>
  <r>
    <s v="04.8.3"/>
    <x v="7"/>
    <x v="4"/>
    <m/>
    <m/>
    <s v="Matrix Pricing Application"/>
    <s v="Editor - Make first implementation"/>
    <s v="Neil"/>
    <d v="2009-06-11T00:00:00"/>
    <n v="0"/>
    <n v="0"/>
    <x v="3"/>
  </r>
  <r>
    <s v="07.3.2"/>
    <x v="7"/>
    <x v="4"/>
    <m/>
    <m/>
    <s v="Development Environment"/>
    <s v="Stop license warning box displaying"/>
    <s v="Neil"/>
    <d v="2009-06-11T00:00:00"/>
    <n v="0"/>
    <n v="0"/>
    <x v="3"/>
  </r>
  <r>
    <s v="04.4.3"/>
    <x v="7"/>
    <x v="4"/>
    <m/>
    <m/>
    <s v="Matrix Pricing Application"/>
    <s v="Test Pricing and get business sign off"/>
    <s v="Neil"/>
    <d v="2009-04-24T00:00:00"/>
    <n v="0"/>
    <n v="0"/>
    <x v="3"/>
  </r>
  <r>
    <s v="04.4.1"/>
    <x v="7"/>
    <x v="4"/>
    <m/>
    <m/>
    <s v="Matrix Pricing Application"/>
    <s v="Add pricing functionality to Batch and Application"/>
    <s v="David Covey"/>
    <d v="2009-04-08T00:00:00"/>
    <n v="0"/>
    <n v="0"/>
    <x v="3"/>
  </r>
  <r>
    <s v="04.4.5"/>
    <x v="7"/>
    <x v="4"/>
    <m/>
    <m/>
    <s v="Matrix Pricing Application"/>
    <s v="Implement not ('!') as well as 'and' for Level 2 Matrix"/>
    <s v="Neil"/>
    <d v="2009-05-27T00:00:00"/>
    <n v="0"/>
    <n v="0"/>
    <x v="3"/>
  </r>
  <r>
    <s v="04.8.1"/>
    <x v="7"/>
    <x v="4"/>
    <m/>
    <m/>
    <s v="Matrix Pricing Application"/>
    <s v="Editor - Agree requirements"/>
    <s v="Neil"/>
    <d v="2009-05-12T00:00:00"/>
    <n v="0"/>
    <n v="0"/>
    <x v="3"/>
  </r>
  <r>
    <s v="06.1.1"/>
    <x v="7"/>
    <x v="4"/>
    <m/>
    <m/>
    <s v="Shared application components "/>
    <s v="Make first release of logging library"/>
    <s v="Neil"/>
    <d v="2009-04-08T00:00:00"/>
    <n v="0"/>
    <n v="0"/>
    <x v="3"/>
  </r>
  <r>
    <s v="08.10.1"/>
    <x v="8"/>
    <x v="0"/>
    <m/>
    <m/>
    <s v="Production Environment"/>
    <s v="Investigate Autosys feasibility on DEV"/>
    <s v="Neil"/>
    <d v="2009-09-04T00:00:00"/>
    <n v="2"/>
    <s v="Enhancement"/>
    <x v="0"/>
  </r>
  <r>
    <s v="05.21.10"/>
    <x v="8"/>
    <x v="0"/>
    <m/>
    <m/>
    <s v="Loan level data"/>
    <s v="LoanHandling: Kennsington loader change, review,release"/>
    <s v="Pramendra"/>
    <d v="2010-09-08T00:00:00"/>
    <n v="3"/>
    <s v="Maintenance"/>
    <x v="0"/>
  </r>
  <r>
    <s v="16.7.3"/>
    <x v="8"/>
    <x v="2"/>
    <m/>
    <m/>
    <s v="Macro Economic Data"/>
    <s v="Retrieve Ireland HPI data"/>
    <s v="Ajay"/>
    <d v="2010-10-04T00:00:00"/>
    <n v="7"/>
    <s v="NewDevelopment"/>
    <x v="1"/>
  </r>
  <r>
    <s v="11.1.8"/>
    <x v="9"/>
    <x v="0"/>
    <m/>
    <m/>
    <s v="Admin"/>
    <s v="Design Triggers for Auditing"/>
    <s v="Neil"/>
    <d v="2010-04-06T00:00:00"/>
    <n v="0.5"/>
    <s v="Enhancement"/>
    <x v="1"/>
  </r>
  <r>
    <s v="21.5.6"/>
    <x v="9"/>
    <x v="1"/>
    <m/>
    <m/>
    <s v="Collateral Model"/>
    <s v="Model2Intex: UAT Testing"/>
    <s v="Neil"/>
    <d v="2010-07-03T00:00:00"/>
    <n v="5"/>
    <s v="NewDevelopment"/>
    <x v="0"/>
  </r>
  <r>
    <s v="21.5.4"/>
    <x v="9"/>
    <x v="1"/>
    <m/>
    <m/>
    <s v="Collateral Model"/>
    <s v="Model2Intex: Implement"/>
    <s v="Neil"/>
    <d v="2010-07-02T00:00:00"/>
    <n v="5"/>
    <s v="NewDevelopment"/>
    <x v="0"/>
  </r>
  <r>
    <s v="21.3.10"/>
    <x v="9"/>
    <x v="1"/>
    <m/>
    <m/>
    <s v="Collateral Model"/>
    <s v="ModelCashflows: Complete"/>
    <s v="Neil"/>
    <d v="2010-06-24T00:00:00"/>
    <n v="1"/>
    <s v="NewDevelopment"/>
    <x v="0"/>
  </r>
  <r>
    <s v="21.3.9"/>
    <x v="9"/>
    <x v="1"/>
    <m/>
    <m/>
    <s v="Collateral Model"/>
    <s v="ModelCashflows: Modifications for comments"/>
    <s v="Neil"/>
    <d v="2010-06-24T00:00:00"/>
    <n v="2"/>
    <s v="NewDevelopment"/>
    <x v="1"/>
  </r>
  <r>
    <s v="21.5.8"/>
    <x v="9"/>
    <x v="1"/>
    <m/>
    <m/>
    <s v="Collateral Model"/>
    <s v="Model2Intex: Modifications for comments"/>
    <s v="Neil"/>
    <d v="2010-07-05T00:00:00"/>
    <n v="1"/>
    <s v="NewDevelopment"/>
    <x v="1"/>
  </r>
  <r>
    <s v="21.5.9"/>
    <x v="9"/>
    <x v="1"/>
    <m/>
    <m/>
    <s v="Collateral Model"/>
    <s v="Model2Intex: Complete"/>
    <s v="Neil"/>
    <d v="2010-07-06T00:00:00"/>
    <n v="1"/>
    <s v="NewDevelopment"/>
    <x v="1"/>
  </r>
  <r>
    <s v="06.4.3b"/>
    <x v="9"/>
    <x v="1"/>
    <m/>
    <m/>
    <s v="Shared application components "/>
    <s v="Find better way to use C# objects with GUI controls"/>
    <s v="Neil"/>
    <d v="2010-10-01T00:00:00"/>
    <n v="3"/>
    <s v="NewDevelopment"/>
    <x v="1"/>
  </r>
  <r>
    <s v="13.2.4"/>
    <x v="9"/>
    <x v="1"/>
    <m/>
    <m/>
    <s v="Comment Viewer"/>
    <s v="Make all Windows refresh when data is changed"/>
    <s v="Neil"/>
    <d v="2009-09-18T00:00:00"/>
    <n v="5"/>
    <s v="Enhancement"/>
    <x v="0"/>
  </r>
  <r>
    <s v="13.2.5"/>
    <x v="9"/>
    <x v="1"/>
    <m/>
    <m/>
    <s v="Comment Viewer"/>
    <s v="Issue with seemingly missing comments"/>
    <s v="Neil"/>
    <d v="2009-12-07T00:00:00"/>
    <n v="1"/>
    <s v="Maintenance"/>
    <x v="1"/>
  </r>
  <r>
    <s v="13.2.6"/>
    <x v="9"/>
    <x v="2"/>
    <m/>
    <m/>
    <s v="Comment Viewer"/>
    <s v="Write up wiki notes"/>
    <s v="Neil"/>
    <d v="2010-03-22T00:00:00"/>
    <n v="0.5"/>
    <s v="NewDevelopment"/>
    <x v="1"/>
  </r>
  <r>
    <s v="21.3.7"/>
    <x v="9"/>
    <x v="4"/>
    <m/>
    <m/>
    <s v="Collateral Model"/>
    <s v="ModelCashflows: UAT Testing"/>
    <s v="Neil"/>
    <d v="2010-06-24T00:00:00"/>
    <n v="3"/>
    <s v="NewDevelopment"/>
    <x v="3"/>
  </r>
  <r>
    <s v="21.4.4"/>
    <x v="9"/>
    <x v="4"/>
    <m/>
    <m/>
    <s v="Collateral Model"/>
    <s v="IntexCduPss: Implement"/>
    <s v="Neil"/>
    <d v="2010-07-02T00:00:00"/>
    <n v="2"/>
    <s v="NewDevelopment"/>
    <x v="3"/>
  </r>
  <r>
    <s v="21.4.6"/>
    <x v="9"/>
    <x v="4"/>
    <m/>
    <m/>
    <s v="Collateral Model"/>
    <s v="IntexCduPss: Complete"/>
    <s v="Neil"/>
    <d v="2010-07-02T00:00:00"/>
    <n v="0.5"/>
    <s v="NewDevelopment"/>
    <x v="3"/>
  </r>
  <r>
    <s v="21.5.2"/>
    <x v="9"/>
    <x v="4"/>
    <m/>
    <m/>
    <s v="Collateral Model"/>
    <s v="Model2Intex: Design"/>
    <s v="Neil"/>
    <d v="2010-07-02T00:00:00"/>
    <n v="1"/>
    <s v="NewDevelopment"/>
    <x v="3"/>
  </r>
  <r>
    <s v="11.2.32"/>
    <x v="9"/>
    <x v="4"/>
    <m/>
    <m/>
    <s v="Admin"/>
    <s v="Develop plan for Parth"/>
    <s v="Neil"/>
    <d v="2010-10-04T00:00:00"/>
    <n v="1"/>
    <s v="Other"/>
    <x v="3"/>
  </r>
  <r>
    <s v="21.3.6"/>
    <x v="9"/>
    <x v="4"/>
    <d v="2010-07-15T00:00:00"/>
    <m/>
    <s v="Collateral Model"/>
    <s v="ModelCashflows: Complete Implementation"/>
    <s v="Neil"/>
    <d v="2010-06-24T00:00:00"/>
    <n v="5"/>
    <s v="NewDevelopment"/>
    <x v="3"/>
  </r>
  <r>
    <s v="21.4.1"/>
    <x v="9"/>
    <x v="4"/>
    <d v="2010-07-16T00:00:00"/>
    <m/>
    <s v="Collateral Model"/>
    <s v="IntexCduPss: Define requirements"/>
    <s v="Neil"/>
    <d v="2010-07-02T00:00:00"/>
    <n v="0.5"/>
    <s v="NewDevelopment"/>
    <x v="3"/>
  </r>
  <r>
    <s v="21.4.2"/>
    <x v="9"/>
    <x v="4"/>
    <d v="2010-07-19T00:00:00"/>
    <m/>
    <s v="Collateral Model"/>
    <s v="IntexCduPss: Design"/>
    <s v="Neil"/>
    <d v="2010-07-02T00:00:00"/>
    <n v="0.5"/>
    <s v="NewDevelopment"/>
    <x v="3"/>
  </r>
  <r>
    <s v="21.3.4"/>
    <x v="9"/>
    <x v="4"/>
    <d v="2010-07-07T00:00:00"/>
    <m/>
    <s v="Collateral Model"/>
    <s v="ModelCashflows: First Implementation"/>
    <s v="Neil"/>
    <d v="2010-06-24T00:00:00"/>
    <n v="3"/>
    <s v="NewDevelopment"/>
    <x v="3"/>
  </r>
  <r>
    <s v="05.01"/>
    <x v="9"/>
    <x v="4"/>
    <m/>
    <m/>
    <s v="Loan level data"/>
    <s v="Add ALBA loans"/>
    <s v="David Covey"/>
    <d v="2009-04-08T00:00:00"/>
    <n v="0"/>
    <n v="0"/>
    <x v="3"/>
  </r>
  <r>
    <s v="05.20.2"/>
    <x v="9"/>
    <x v="4"/>
    <d v="2010-08-06T00:00:00"/>
    <m/>
    <s v="Loan level data"/>
    <s v="Add new field to Merrill Raw"/>
    <s v="Danny"/>
    <d v="2010-08-04T00:00:00"/>
    <n v="1"/>
    <s v="Maintenance"/>
    <x v="3"/>
  </r>
  <r>
    <s v="20.1.2"/>
    <x v="9"/>
    <x v="4"/>
    <m/>
    <n v="1"/>
    <s v="CMBS - TREPP"/>
    <s v="Analyse Trepp Data"/>
    <s v="Neil"/>
    <d v="2010-02-10T00:00:00"/>
    <n v="1"/>
    <s v="NewDevelopment"/>
    <x v="3"/>
  </r>
  <r>
    <s v="20.1.3"/>
    <x v="9"/>
    <x v="4"/>
    <m/>
    <m/>
    <s v="CMBS - TREPP"/>
    <s v="Take a one off copy of historic Trepp data from US"/>
    <s v="Neil"/>
    <d v="2010-03-16T00:00:00"/>
    <n v="1"/>
    <s v="NewDevelopment"/>
    <x v="3"/>
  </r>
  <r>
    <s v="16.7.8"/>
    <x v="9"/>
    <x v="4"/>
    <d v="2010-08-06T00:00:00"/>
    <m/>
    <s v="Macro Economic Data"/>
    <s v="Fix Spanish HPI load for data format change"/>
    <s v="Paresh"/>
    <d v="2010-06-24T00:00:00"/>
    <n v="1"/>
    <s v="Maintenance"/>
    <x v="3"/>
  </r>
  <r>
    <s v="01.2.07"/>
    <x v="9"/>
    <x v="5"/>
    <m/>
    <m/>
    <s v="Deals Database"/>
    <s v="Add comments functionality"/>
    <s v="David Covey"/>
    <d v="2010-04-15T00:00:00"/>
    <n v="3"/>
    <s v="NewDevelopment"/>
    <x v="4"/>
  </r>
  <r>
    <s v="03.5.04"/>
    <x v="9"/>
    <x v="5"/>
    <m/>
    <m/>
    <s v="Deal Analyser"/>
    <s v="Add comments functionality"/>
    <s v="David Covey"/>
    <d v="2010-04-15T00:00:00"/>
    <n v="7"/>
    <s v="NewDevelopment"/>
    <x v="4"/>
  </r>
  <r>
    <s v="04.7.3"/>
    <x v="9"/>
    <x v="5"/>
    <m/>
    <m/>
    <s v="Matrix Pricing Application"/>
    <s v="Add comments functionality"/>
    <s v="David Covey"/>
    <d v="2010-04-15T00:00:00"/>
    <n v="5"/>
    <s v="NewDevelopment"/>
    <x v="4"/>
  </r>
  <r>
    <s v="18.1.6"/>
    <x v="9"/>
    <x v="5"/>
    <m/>
    <m/>
    <s v="Roll Rate Analyser"/>
    <s v="Add comments functionality"/>
    <s v="David Covey"/>
    <d v="2010-04-15T00:00:00"/>
    <n v="5"/>
    <s v="NewDevelopment"/>
    <x v="4"/>
  </r>
  <r>
    <s v="21.2.6"/>
    <x v="9"/>
    <x v="4"/>
    <d v="2010-05-10T00:00:00"/>
    <m/>
    <s v="Collateral Model"/>
    <s v="Collateral Model: Incorporate updated model coefficients"/>
    <s v="Pramendra"/>
    <d v="2010-04-16T00:00:00"/>
    <n v="5"/>
    <s v="NewDevelopment"/>
    <x v="3"/>
  </r>
  <r>
    <s v="21.3.2"/>
    <x v="9"/>
    <x v="4"/>
    <d v="2010-06-30T00:00:00"/>
    <m/>
    <s v="Collateral Model"/>
    <s v="ModelCashflows: Produce initial design"/>
    <s v="Pramendra"/>
    <d v="2010-05-27T00:00:00"/>
    <n v="2"/>
    <s v="NewDevelopment"/>
    <x v="3"/>
  </r>
  <r>
    <s v="11.2.22a"/>
    <x v="9"/>
    <x v="4"/>
    <d v="2010-06-14T00:00:00"/>
    <m/>
    <s v="Admin"/>
    <s v="Set goals for 2010_2011"/>
    <s v="Neil"/>
    <d v="2010-06-07T00:00:00"/>
    <n v="0.5"/>
    <s v="Other"/>
    <x v="3"/>
  </r>
  <r>
    <s v="16.10.4"/>
    <x v="9"/>
    <x v="4"/>
    <m/>
    <m/>
    <s v="Macro Economic Data"/>
    <s v="Normalised Dutch HPI Rate Data "/>
    <s v="Neil"/>
    <d v="2010-03-31T00:00:00"/>
    <n v="2"/>
    <s v="Maintenance"/>
    <x v="3"/>
  </r>
  <r>
    <s v="16.10.5"/>
    <x v="9"/>
    <x v="4"/>
    <m/>
    <m/>
    <s v="Macro Economic Data"/>
    <s v="Normalised Spanish HPI Rate Data "/>
    <s v="Neil"/>
    <d v="2010-03-31T00:00:00"/>
    <n v="2"/>
    <s v="Maintenance"/>
    <x v="3"/>
  </r>
  <r>
    <s v="16.7.4"/>
    <x v="9"/>
    <x v="4"/>
    <m/>
    <m/>
    <s v="Macro Economic Data"/>
    <s v="Retrieve Spain HPI data + set schema to HPAIndexData"/>
    <s v="Shubh"/>
    <d v="2009-12-10T00:00:00"/>
    <n v="7"/>
    <n v="0"/>
    <x v="3"/>
  </r>
  <r>
    <s v="16.7.7"/>
    <x v="9"/>
    <x v="4"/>
    <m/>
    <m/>
    <s v="Macro Economic Data"/>
    <s v="Fully automate Dutch HPI loading"/>
    <s v="Neil"/>
    <d v="2009-12-10T00:00:00"/>
    <n v="2"/>
    <n v="0"/>
    <x v="3"/>
  </r>
  <r>
    <s v="16.7.6"/>
    <x v="9"/>
    <x v="4"/>
    <m/>
    <n v="1"/>
    <s v="Macro Economic Data"/>
    <s v="Move Dutch HPI to Prod Nomura Now"/>
    <s v="David"/>
    <d v="2009-12-10T00:00:00"/>
    <n v="1"/>
    <n v="0"/>
    <x v="3"/>
  </r>
  <r>
    <s v="17.2"/>
    <x v="9"/>
    <x v="4"/>
    <m/>
    <m/>
    <s v="Trade Blotter"/>
    <s v="Implement data cleaner"/>
    <s v="Neil"/>
    <d v="2009-11-16T00:00:00"/>
    <n v="5"/>
    <n v="0"/>
    <x v="3"/>
  </r>
  <r>
    <s v="17.3"/>
    <x v="9"/>
    <x v="4"/>
    <m/>
    <m/>
    <s v="Trade Blotter"/>
    <s v="Implement blotter prototype"/>
    <s v="David"/>
    <d v="2009-12-03T00:00:00"/>
    <n v="15"/>
    <n v="0"/>
    <x v="3"/>
  </r>
  <r>
    <s v="17.4"/>
    <x v="9"/>
    <x v="4"/>
    <m/>
    <m/>
    <s v="Trade Blotter"/>
    <s v="Make first release of blotter for research review"/>
    <s v="David"/>
    <d v="2009-12-16T00:00:00"/>
    <n v="10"/>
    <n v="0"/>
    <x v="3"/>
  </r>
  <r>
    <s v="17.5"/>
    <x v="9"/>
    <x v="4"/>
    <m/>
    <m/>
    <s v="Trade Blotter"/>
    <s v="Make first release to traders"/>
    <s v="David"/>
    <d v="2009-12-03T00:00:00"/>
    <n v="10"/>
    <n v="0"/>
    <x v="3"/>
  </r>
  <r>
    <s v="16.7.1"/>
    <x v="9"/>
    <x v="4"/>
    <m/>
    <m/>
    <s v="Macro Economic Data"/>
    <s v="Retrieve Dutch HPI data"/>
    <s v="Shubh"/>
    <d v="2009-09-30T00:00:00"/>
    <n v="7"/>
    <n v="0"/>
    <x v="3"/>
  </r>
  <r>
    <s v="17.1"/>
    <x v="9"/>
    <x v="4"/>
    <m/>
    <m/>
    <s v="Trade Blotter"/>
    <s v="Understand requirements and devise plan"/>
    <s v="David"/>
    <d v="2009-10-21T00:00:00"/>
    <n v="3"/>
    <n v="0"/>
    <x v="3"/>
  </r>
  <r>
    <s v="05.17.1"/>
    <x v="9"/>
    <x v="4"/>
    <m/>
    <m/>
    <s v="Loan level data"/>
    <s v="Implement revised mapping for ALBA"/>
    <s v="Danny"/>
    <d v="2009-09-18T00:00:00"/>
    <n v="0"/>
    <n v="0"/>
    <x v="3"/>
  </r>
  <r>
    <s v="05.18.3"/>
    <x v="9"/>
    <x v="4"/>
    <m/>
    <m/>
    <s v="Loan level data"/>
    <s v="RMAC Second level Mapper"/>
    <s v="David Covey"/>
    <d v="2009-10-07T00:00:00"/>
    <n v="0"/>
    <n v="0"/>
    <x v="3"/>
  </r>
  <r>
    <s v="05.18.4"/>
    <x v="9"/>
    <x v="4"/>
    <m/>
    <m/>
    <s v="Loan level data"/>
    <s v="ESAIL Second Level Mapper"/>
    <s v="David Covey"/>
    <d v="2009-10-07T00:00:00"/>
    <n v="0"/>
    <n v="0"/>
    <x v="3"/>
  </r>
  <r>
    <s v="09.1.09"/>
    <x v="9"/>
    <x v="4"/>
    <m/>
    <m/>
    <s v="Nomura Now"/>
    <s v="Load up historical sector spread from old Lehman DB"/>
    <s v="Shubh"/>
    <d v="2009-10-16T00:00:00"/>
    <n v="0"/>
    <n v="0"/>
    <x v="3"/>
  </r>
  <r>
    <s v="05.02"/>
    <x v="9"/>
    <x v="4"/>
    <m/>
    <m/>
    <s v="Loan level data"/>
    <s v="Add Merrill loans - raw data + document"/>
    <s v="David Covey"/>
    <d v="2010-02-05T00:00:00"/>
    <n v="0"/>
    <n v="0"/>
    <x v="3"/>
  </r>
  <r>
    <s v="05.11.2"/>
    <x v="9"/>
    <x v="4"/>
    <m/>
    <m/>
    <s v="Loan level data"/>
    <s v="Complete mapping loader for LEEK"/>
    <s v="David Covey"/>
    <d v="2009-08-28T00:00:00"/>
    <n v="0"/>
    <n v="0"/>
    <x v="3"/>
  </r>
  <r>
    <s v="05.05.4"/>
    <x v="9"/>
    <x v="4"/>
    <m/>
    <m/>
    <s v="Loan level data"/>
    <s v="Add more fields as defined by Danny"/>
    <s v="Danny"/>
    <d v="2009-08-24T00:00:00"/>
    <n v="0"/>
    <n v="0"/>
    <x v="3"/>
  </r>
  <r>
    <s v="13.2.2"/>
    <x v="9"/>
    <x v="4"/>
    <m/>
    <m/>
    <s v="Comment Viewer"/>
    <s v="Take comments and modify"/>
    <s v="Neil"/>
    <d v="2009-08-03T00:00:00"/>
    <n v="0"/>
    <n v="0"/>
    <x v="3"/>
  </r>
  <r>
    <s v="13.2.3"/>
    <x v="9"/>
    <x v="4"/>
    <m/>
    <m/>
    <s v="Comment Viewer"/>
    <s v="Test and Release"/>
    <s v="Neil"/>
    <d v="2009-08-03T00:00:00"/>
    <n v="0"/>
    <n v="0"/>
    <x v="3"/>
  </r>
  <r>
    <s v="06.2.2"/>
    <x v="9"/>
    <x v="4"/>
    <m/>
    <m/>
    <s v="Shared application components "/>
    <s v="GUI to manage config data"/>
    <s v="Neil"/>
    <d v="2009-04-21T00:00:00"/>
    <n v="0"/>
    <n v="0"/>
    <x v="3"/>
  </r>
  <r>
    <s v="13.2.1"/>
    <x v="9"/>
    <x v="4"/>
    <m/>
    <m/>
    <s v="Comment Viewer"/>
    <s v="Test and Release"/>
    <s v="Neil"/>
    <d v="2009-07-31T00:00:00"/>
    <n v="0"/>
    <n v="0"/>
    <x v="3"/>
  </r>
  <r>
    <s v="13.1"/>
    <x v="9"/>
    <x v="4"/>
    <m/>
    <m/>
    <s v="Comment Viewer"/>
    <s v="Initial Design and plan"/>
    <s v="Neil"/>
    <d v="2009-07-07T00:00:00"/>
    <n v="0"/>
    <n v="0"/>
    <x v="3"/>
  </r>
  <r>
    <s v="08.08.1"/>
    <x v="9"/>
    <x v="4"/>
    <m/>
    <m/>
    <s v="Production Environment"/>
    <s v="Get familiar with ABSNetDataLoader"/>
    <s v="Neil"/>
    <d v="2009-06-29T00:00:00"/>
    <n v="0"/>
    <n v="0"/>
    <x v="3"/>
  </r>
  <r>
    <s v="06.1.4"/>
    <x v="9"/>
    <x v="4"/>
    <m/>
    <m/>
    <s v="Shared application components "/>
    <s v="BUG - Log file limit"/>
    <s v="Pramendra"/>
    <d v="2009-06-17T00:00:00"/>
    <n v="0"/>
    <n v="0"/>
    <x v="3"/>
  </r>
  <r>
    <s v="05.05.2"/>
    <x v="9"/>
    <x v="4"/>
    <m/>
    <m/>
    <s v="Loan level data"/>
    <s v="Add 8 'critical' fields to mapping sheet and database - See 5.5.1 - not needed"/>
    <s v="David Covey"/>
    <d v="2009-06-30T00:00:00"/>
    <n v="0"/>
    <n v="0"/>
    <x v="3"/>
  </r>
  <r>
    <s v="03.6.2"/>
    <x v="9"/>
    <x v="4"/>
    <m/>
    <m/>
    <s v="Deal Analyser"/>
    <s v="Investigate and resolve issues with Italian and Dutch loans"/>
    <s v="David Covey"/>
    <d v="2009-05-27T00:00:00"/>
    <n v="0"/>
    <n v="0"/>
    <x v="3"/>
  </r>
  <r>
    <s v="05.09"/>
    <x v="9"/>
    <x v="4"/>
    <m/>
    <m/>
    <s v="Loan level data"/>
    <s v="Refactor ESFData and move all loaders to trunk"/>
    <s v="Neil"/>
    <d v="2009-05-26T00:00:00"/>
    <n v="0"/>
    <n v="0"/>
    <x v="3"/>
  </r>
  <r>
    <s v="05.10.1"/>
    <x v="9"/>
    <x v="4"/>
    <m/>
    <m/>
    <s v="Loan level data"/>
    <s v="Load Apr 09 Eurosail data"/>
    <s v="Neil"/>
    <d v="2009-06-02T00:00:00"/>
    <n v="0"/>
    <n v="0"/>
    <x v="3"/>
  </r>
  <r>
    <s v="06.1.3"/>
    <x v="9"/>
    <x v="4"/>
    <m/>
    <m/>
    <s v="Shared application components "/>
    <s v="Minor Improvements to Logging class"/>
    <s v="Neil"/>
    <d v="2009-04-23T00:00:00"/>
    <n v="0"/>
    <n v="0"/>
    <x v="3"/>
  </r>
  <r>
    <s v="06.1.2"/>
    <x v="9"/>
    <x v="4"/>
    <m/>
    <m/>
    <s v="Shared application components "/>
    <s v="Add usage of Config library to logger library"/>
    <s v="Neil"/>
    <d v="2009-04-08T00:00:00"/>
    <n v="0"/>
    <n v="0"/>
    <x v="3"/>
  </r>
  <r>
    <s v="06.2.1"/>
    <x v="9"/>
    <x v="4"/>
    <m/>
    <m/>
    <s v="Shared application components "/>
    <s v="First Release of Config Library"/>
    <s v="Neil"/>
    <d v="2009-04-14T00:00:00"/>
    <n v="0"/>
    <n v="0"/>
    <x v="3"/>
  </r>
  <r>
    <s v="11.2.27"/>
    <x v="10"/>
    <x v="6"/>
    <d v="2010-10-04T00:00:00"/>
    <m/>
    <s v="Admin"/>
    <s v="Renew Easysoft licenses"/>
    <s v="Neil"/>
    <d v="2010-09-14T00:00:00"/>
    <n v="1"/>
    <s v="Support"/>
    <x v="0"/>
  </r>
  <r>
    <s v="08.01.7"/>
    <x v="10"/>
    <x v="6"/>
    <m/>
    <m/>
    <s v="Production Environment"/>
    <s v="SAS EG looses connections for Danny"/>
    <s v="Danny"/>
    <d v="2010-12-08T00:00:00"/>
    <n v="1"/>
    <s v="Support"/>
    <x v="0"/>
  </r>
  <r>
    <s v="19.5.6"/>
    <x v="10"/>
    <x v="6"/>
    <m/>
    <m/>
    <s v="Support"/>
    <s v="Intex deals are out of date"/>
    <s v="Neil"/>
    <d v="2010-11-22T00:00:00"/>
    <n v="0.5"/>
    <s v="Support"/>
    <x v="0"/>
  </r>
  <r>
    <s v="11.2.28"/>
    <x v="10"/>
    <x v="6"/>
    <m/>
    <m/>
    <s v="Admin"/>
    <s v="Meet up with Martin Price"/>
    <s v="Neil"/>
    <d v="2010-10-01T00:00:00"/>
    <n v="0.1"/>
    <s v="Other"/>
    <x v="1"/>
  </r>
  <r>
    <s v="08.08.3"/>
    <x v="10"/>
    <x v="0"/>
    <m/>
    <m/>
    <s v="Production Environment"/>
    <s v="Figure out a better support approach for production"/>
    <s v="Neil"/>
    <d v="2010-12-09T00:00:00"/>
    <n v="1"/>
    <s v="Enhancement"/>
    <x v="1"/>
  </r>
  <r>
    <s v="11.2.35"/>
    <x v="10"/>
    <x v="0"/>
    <m/>
    <m/>
    <s v="Admin"/>
    <s v="Get Intex 5.0.0.6 packaged and released"/>
    <s v="Zhuu"/>
    <d v="2010-12-08T00:00:00"/>
    <n v="1"/>
    <s v="Support"/>
    <x v="0"/>
  </r>
  <r>
    <s v="11.2.34"/>
    <x v="10"/>
    <x v="0"/>
    <m/>
    <m/>
    <s v="Admin"/>
    <s v="Get ODBCConfig working again"/>
    <s v="Neil"/>
    <d v="2010-11-08T00:00:00"/>
    <n v="1"/>
    <s v="Support"/>
    <x v="0"/>
  </r>
  <r>
    <s v="31.1.2"/>
    <x v="10"/>
    <x v="0"/>
    <m/>
    <m/>
    <s v="Daily Book Marking for MIS (AVR)"/>
    <s v="AVR: Design application"/>
    <s v="Neil"/>
    <d v="2010-11-01T00:00:00"/>
    <n v="2"/>
    <s v="NewDevelopment"/>
    <x v="1"/>
  </r>
  <r>
    <s v="17.6"/>
    <x v="10"/>
    <x v="0"/>
    <m/>
    <m/>
    <s v="Trade Blotter"/>
    <s v="Need to use triggers to keep a back up of all data"/>
    <s v="Pramendra"/>
    <d v="2010-02-24T00:00:00"/>
    <n v="2"/>
    <s v="NewDevelopment"/>
    <x v="1"/>
  </r>
  <r>
    <s v="11.2.16"/>
    <x v="10"/>
    <x v="0"/>
    <m/>
    <m/>
    <s v="Admin"/>
    <s v="Make peer reviews work."/>
    <s v="Neil"/>
    <d v="2010-04-06T00:00:00"/>
    <n v="2"/>
    <s v="NewDevelopment"/>
    <x v="0"/>
  </r>
  <r>
    <s v="11.2.25"/>
    <x v="10"/>
    <x v="0"/>
    <m/>
    <m/>
    <s v="Admin"/>
    <s v="Make NSAM2 tickets work"/>
    <s v="Neil"/>
    <d v="2010-08-13T00:00:00"/>
    <n v="1"/>
    <s v="Other"/>
    <x v="0"/>
  </r>
  <r>
    <s v="08.09.4"/>
    <x v="10"/>
    <x v="0"/>
    <m/>
    <m/>
    <s v="Production Environment"/>
    <s v="Get EasySoft ODBC drivers renewed"/>
    <s v="Neil"/>
    <d v="2010-09-17T00:00:00"/>
    <n v="1"/>
    <s v="Support"/>
    <x v="0"/>
  </r>
  <r>
    <s v="10.4.1"/>
    <x v="10"/>
    <x v="0"/>
    <m/>
    <m/>
    <s v="Radial / Totoro / Other"/>
    <s v="Find appropriate mechanism to download BBG data"/>
    <s v="Neil"/>
    <d v="2010-04-19T00:00:00"/>
    <n v="2"/>
    <s v="Enhancement"/>
    <x v="0"/>
  </r>
  <r>
    <s v="26.1.1"/>
    <x v="10"/>
    <x v="0"/>
    <m/>
    <m/>
    <s v="Bloomberg data feed"/>
    <s v="BBG Feed: Gather requirements"/>
    <s v="Neil"/>
    <d v="2010-09-17T00:00:00"/>
    <n v="5"/>
    <s v="NewDevelopment"/>
    <x v="0"/>
  </r>
  <r>
    <s v="11.2.8"/>
    <x v="10"/>
    <x v="0"/>
    <m/>
    <m/>
    <s v="Admin"/>
    <s v="Management"/>
    <s v="Neil"/>
    <d v="2009-11-18T00:00:00"/>
    <n v="52"/>
    <s v="Support"/>
    <x v="5"/>
  </r>
  <r>
    <s v="20.1.4"/>
    <x v="10"/>
    <x v="1"/>
    <m/>
    <m/>
    <s v="CMBS - TREPP"/>
    <s v="Take regular copies of Trepp download data"/>
    <s v="Neil"/>
    <d v="2010-06-08T00:00:00"/>
    <n v="1"/>
    <s v="NewDevelopment"/>
    <x v="1"/>
  </r>
  <r>
    <s v="25.2.1"/>
    <x v="10"/>
    <x v="1"/>
    <m/>
    <m/>
    <s v="Markit"/>
    <s v="Market2: Requirements and Design"/>
    <s v="Neil"/>
    <d v="2010-11-09T00:00:00"/>
    <n v="1"/>
    <s v="NewDevelopment"/>
    <x v="1"/>
  </r>
  <r>
    <s v="31.1.1"/>
    <x v="10"/>
    <x v="1"/>
    <m/>
    <m/>
    <s v="Daily Book Marking for MIS (AVR)"/>
    <s v="AVR: Gather requirements"/>
    <s v="Zhuu"/>
    <d v="2010-11-01T00:00:00"/>
    <n v="3"/>
    <s v="NewDevelopment"/>
    <x v="0"/>
  </r>
  <r>
    <s v="06.4.2"/>
    <x v="10"/>
    <x v="1"/>
    <m/>
    <m/>
    <s v="Shared application components "/>
    <s v="Find a better way to populate C# objects from DB"/>
    <s v="Neil"/>
    <d v="2010-10-01T00:00:00"/>
    <n v="3"/>
    <s v="NewDevelopment"/>
    <x v="1"/>
  </r>
  <r>
    <s v="21.5.5"/>
    <x v="10"/>
    <x v="1"/>
    <m/>
    <m/>
    <s v="Collateral Model"/>
    <s v="Model2Intex: Review Implementation"/>
    <s v="Neil"/>
    <d v="2010-07-02T00:00:00"/>
    <n v="1"/>
    <s v="NewDevelopment"/>
    <x v="1"/>
  </r>
  <r>
    <s v="11.2.24"/>
    <x v="10"/>
    <x v="1"/>
    <m/>
    <m/>
    <s v="Admin"/>
    <s v="Get SAS Management Console Packaged"/>
    <s v="Neil"/>
    <d v="2010-07-30T00:00:00"/>
    <n v="1"/>
    <s v="Maintenance"/>
    <x v="0"/>
  </r>
  <r>
    <s v="06.9.3"/>
    <x v="10"/>
    <x v="1"/>
    <m/>
    <m/>
    <s v="Shared application components "/>
    <s v="Implement a replacement for 'CommandLineParser' that is more robusts and logs the command line."/>
    <s v="Neil"/>
    <d v="2010-07-28T00:00:00"/>
    <n v="1"/>
    <s v="Enhancement"/>
    <x v="1"/>
  </r>
  <r>
    <s v="06.9.2"/>
    <x v="10"/>
    <x v="1"/>
    <m/>
    <m/>
    <s v="Shared application components "/>
    <s v="Agree common terminology (and application level class/method names) for main application classes across all applications"/>
    <s v="Neil"/>
    <d v="2010-04-13T00:00:00"/>
    <n v="1"/>
    <s v="Enhancement"/>
    <x v="1"/>
  </r>
  <r>
    <s v="17.9"/>
    <x v="10"/>
    <x v="1"/>
    <m/>
    <m/>
    <s v="Trade Blotter"/>
    <s v="Make C# application to keep trade blottter data tidy"/>
    <s v="Neil"/>
    <d v="2010-04-26T00:00:00"/>
    <n v="1"/>
    <m/>
    <x v="1"/>
  </r>
  <r>
    <s v="10.3.4"/>
    <x v="10"/>
    <x v="1"/>
    <m/>
    <m/>
    <s v="Radial / Totoro / Other"/>
    <s v="Turn off feed to QDB"/>
    <s v="Neil"/>
    <d v="2010-05-06T00:00:00"/>
    <n v="2"/>
    <s v="Enhancement"/>
    <x v="0"/>
  </r>
  <r>
    <s v="02.4.5"/>
    <x v="10"/>
    <x v="1"/>
    <m/>
    <m/>
    <s v="Intex"/>
    <s v="Intex Wrapper: Complete implementation"/>
    <s v="Neil"/>
    <d v="2010-02-09T00:00:00"/>
    <n v="10"/>
    <s v="NewDevelopment"/>
    <x v="1"/>
  </r>
  <r>
    <s v="09.1.19"/>
    <x v="10"/>
    <x v="1"/>
    <m/>
    <m/>
    <s v="Nomura Now"/>
    <s v="Make spreads 'menu' part of the menu applications"/>
    <s v="Neil"/>
    <d v="2010-01-12T00:00:00"/>
    <n v="1"/>
    <s v="Enhancement"/>
    <x v="1"/>
  </r>
  <r>
    <s v="20.1"/>
    <x v="10"/>
    <x v="1"/>
    <m/>
    <n v="1"/>
    <s v="CMBS - TREPP"/>
    <s v="Determine initial plan"/>
    <s v="David Covey"/>
    <d v="2009-11-03T00:00:00"/>
    <n v="2"/>
    <s v="NewDevelopment"/>
    <x v="0"/>
  </r>
  <r>
    <s v="11.2.36"/>
    <x v="10"/>
    <x v="1"/>
    <m/>
    <m/>
    <s v="Admin"/>
    <s v="Get PurifyPlus packaged"/>
    <s v="Neil"/>
    <d v="2010-12-09T00:00:00"/>
    <n v="1"/>
    <s v="Other"/>
    <x v="0"/>
  </r>
  <r>
    <s v="30.1.3"/>
    <x v="10"/>
    <x v="1"/>
    <m/>
    <m/>
    <s v="Trader Runs to Bloomberg"/>
    <s v="Fixes to OpeningRuns App"/>
    <s v="Zhuu"/>
    <d v="2010-12-07T00:00:00"/>
    <n v="1"/>
    <s v="Maintenance"/>
    <x v="1"/>
  </r>
  <r>
    <s v="32.1.2"/>
    <x v="10"/>
    <x v="1"/>
    <m/>
    <m/>
    <s v="Mid/Back office data source"/>
    <s v="Produce detailed plan"/>
    <s v="David"/>
    <d v="2010-12-07T00:00:00"/>
    <n v="2"/>
    <s v="Other"/>
    <x v="1"/>
  </r>
  <r>
    <s v="07.1.3"/>
    <x v="10"/>
    <x v="1"/>
    <m/>
    <m/>
    <s v="Development Environment"/>
    <s v="Make trunk build cleanly with CodeBaseChecker"/>
    <s v="Nei"/>
    <d v="2010-12-08T00:00:00"/>
    <n v="5"/>
    <s v="Maintenance"/>
    <x v="0"/>
  </r>
  <r>
    <s v="05.21.5"/>
    <x v="10"/>
    <x v="2"/>
    <m/>
    <m/>
    <s v="Loan level data"/>
    <s v="LoanHandling: Modify RMAC loader to use C1 Excel component"/>
    <s v="Neil"/>
    <d v="2010-07-29T00:00:00"/>
    <n v="3"/>
    <s v="NewDevelopment"/>
    <x v="1"/>
  </r>
  <r>
    <s v="05.21.9"/>
    <x v="10"/>
    <x v="2"/>
    <m/>
    <m/>
    <s v="Loan level data"/>
    <s v="LoanHandling: ESAIL loader change, review,release"/>
    <s v="Pramendra"/>
    <d v="2010-09-08T00:00:00"/>
    <n v="3"/>
    <s v="Maintenance"/>
    <x v="1"/>
  </r>
  <r>
    <s v="01.3.10"/>
    <x v="10"/>
    <x v="2"/>
    <m/>
    <m/>
    <s v="Deals Database"/>
    <s v="Fully populate deals/bonds/cashflows"/>
    <s v="David"/>
    <d v="2009-12-21T00:00:00"/>
    <n v="10"/>
    <s v="Other"/>
    <x v="0"/>
  </r>
  <r>
    <s v="10.1.6"/>
    <x v="10"/>
    <x v="2"/>
    <m/>
    <m/>
    <s v="Radial / Totoro / Other"/>
    <s v="Keep an eye on blank values in Radial Bond Pricer Pos"/>
    <s v="Neil"/>
    <d v="2009-05-15T00:00:00"/>
    <n v="0.5"/>
    <s v="Support"/>
    <x v="5"/>
  </r>
  <r>
    <s v="07.5.14"/>
    <x v="10"/>
    <x v="2"/>
    <m/>
    <m/>
    <s v="Development Environment"/>
    <s v="Move to Firm SVN repository rather than Radial"/>
    <s v="Neil"/>
    <d v="2010-12-09T00:00:00"/>
    <n v="5"/>
    <s v="Maintenance"/>
    <x v="1"/>
  </r>
  <r>
    <s v="07.1.1"/>
    <x v="10"/>
    <x v="4"/>
    <m/>
    <m/>
    <s v="Development Environment"/>
    <s v="Use, scripted, daily build mechanism for 'trunk'"/>
    <s v="Neil"/>
    <d v="2010-08-20T00:00:00"/>
    <n v="3"/>
    <s v="Enhancement"/>
    <x v="3"/>
  </r>
  <r>
    <s v="07.5.8"/>
    <x v="10"/>
    <x v="5"/>
    <m/>
    <m/>
    <s v="Development Environment"/>
    <s v="Extend Release Manager for Review branches"/>
    <s v="Neil"/>
    <d v="2010-10-01T00:00:00"/>
    <n v="2"/>
    <s v="Enhancement"/>
    <x v="4"/>
  </r>
  <r>
    <s v="10.1.8"/>
    <x v="10"/>
    <x v="5"/>
    <m/>
    <m/>
    <s v="Radial / Totoro / Other"/>
    <s v="Radial Bloomberg Bridge historic rate requests"/>
    <s v="Neil"/>
    <d v="2009-12-21T00:00:00"/>
    <n v="2"/>
    <s v="Enhancement"/>
    <x v="4"/>
  </r>
  <r>
    <s v="11.4.1a"/>
    <x v="10"/>
    <x v="4"/>
    <m/>
    <m/>
    <s v="Admin"/>
    <s v="NoHo Migration: Develop plan"/>
    <s v="Neil"/>
    <d v="2010-09-17T00:00:00"/>
    <n v="2"/>
    <s v="Support"/>
    <x v="3"/>
  </r>
  <r>
    <s v="11.4.3"/>
    <x v="10"/>
    <x v="4"/>
    <m/>
    <m/>
    <s v="Admin"/>
    <s v="NoHo Migration: Project Office Tasks"/>
    <s v="Neil"/>
    <d v="2010-10-14T00:00:00"/>
    <n v="5"/>
    <s v="Maintenance"/>
    <x v="3"/>
  </r>
  <r>
    <s v="11.4.4"/>
    <x v="10"/>
    <x v="4"/>
    <m/>
    <m/>
    <s v="Admin"/>
    <s v="NoHo Migration: DR test before migration"/>
    <s v="Neil"/>
    <d v="2010-10-14T00:00:00"/>
    <n v="5"/>
    <s v="Support"/>
    <x v="3"/>
  </r>
  <r>
    <s v="30.1.2"/>
    <x v="10"/>
    <x v="4"/>
    <m/>
    <m/>
    <s v="Trader Runs to Bloomberg"/>
    <s v="SaveOpeningRuns: Build app to save runs from email"/>
    <s v="Zhuu"/>
    <d v="2010-11-01T00:00:00"/>
    <n v="2"/>
    <s v="NewDevelopment"/>
    <x v="3"/>
  </r>
  <r>
    <s v="01.2.47"/>
    <x v="10"/>
    <x v="4"/>
    <m/>
    <m/>
    <s v="Deals Database"/>
    <s v="Investigate BBG gateway retries"/>
    <s v="Neil"/>
    <d v="2010-06-10T00:00:00"/>
    <n v="1"/>
    <s v="Maintenance"/>
    <x v="3"/>
  </r>
  <r>
    <s v="01.2.49"/>
    <x v="10"/>
    <x v="4"/>
    <m/>
    <m/>
    <s v="Deals Database"/>
    <s v="Use BBG Dynamic cashflows"/>
    <s v="Zhuu"/>
    <d v="2010-10-01T00:00:00"/>
    <n v="3"/>
    <s v="Enhancement"/>
    <x v="3"/>
  </r>
  <r>
    <s v="01.2.50"/>
    <x v="10"/>
    <x v="4"/>
    <m/>
    <m/>
    <s v="Deals Database"/>
    <s v="Fix bugs for Ajay"/>
    <s v="Ajay"/>
    <d v="2010-10-08T00:00:00"/>
    <n v="1"/>
    <s v="Maintenance"/>
    <x v="3"/>
  </r>
  <r>
    <s v="01.2.51"/>
    <x v="10"/>
    <x v="4"/>
    <m/>
    <m/>
    <s v="Deals Database"/>
    <s v="Cashflow generator to not report errors on bonds where the current factor is now zero, and to send them to radial."/>
    <s v="Neil"/>
    <d v="2010-10-18T00:00:00"/>
    <n v="1"/>
    <s v="Enhancement"/>
    <x v="3"/>
  </r>
  <r>
    <s v="01.2.52"/>
    <x v="10"/>
    <x v="4"/>
    <m/>
    <m/>
    <s v="Deals Database"/>
    <s v="Cashflow generator should not report warning when everything is fine"/>
    <s v="Neil"/>
    <d v="2010-10-18T00:00:00"/>
    <n v="1"/>
    <s v="Enhancement"/>
    <x v="3"/>
  </r>
  <r>
    <s v="01.2.54"/>
    <x v="10"/>
    <x v="4"/>
    <m/>
    <m/>
    <s v="Deals Database"/>
    <s v="Add Cashflow generation source field for each bond"/>
    <s v="Neil"/>
    <d v="2010-11-26T00:00:00"/>
    <n v="1"/>
    <s v="NewDevelopment"/>
    <x v="3"/>
  </r>
  <r>
    <s v="01.2.55"/>
    <x v="10"/>
    <x v="4"/>
    <m/>
    <m/>
    <s v="Deals Database"/>
    <s v="Add 'OriginalPaymentPriority’ for each bond"/>
    <s v="Neil"/>
    <d v="2010-11-26T00:00:00"/>
    <n v="1"/>
    <s v="NewDevelopment"/>
    <x v="3"/>
  </r>
  <r>
    <s v="01.2.56"/>
    <x v="10"/>
    <x v="4"/>
    <m/>
    <m/>
    <s v="Deals Database"/>
    <s v="Add Warning when saving a bond if FX rate is not set"/>
    <s v="Ajay"/>
    <d v="2010-11-25T00:00:00"/>
    <n v="0.5"/>
    <s v="NewDevelopment"/>
    <x v="3"/>
  </r>
  <r>
    <s v="02.6.2"/>
    <x v="10"/>
    <x v="4"/>
    <m/>
    <m/>
    <s v="Intex"/>
    <s v="CFGen: Spec out requirements for using Intex Bond Cfs"/>
    <s v="Zhuu"/>
    <d v="2010-05-12T00:00:00"/>
    <n v="2"/>
    <s v="NewDevelopment"/>
    <x v="3"/>
  </r>
  <r>
    <s v="02.6.3"/>
    <x v="10"/>
    <x v="4"/>
    <m/>
    <m/>
    <s v="Intex"/>
    <s v="CFGen: Design and build 1st implementation"/>
    <s v="Neil"/>
    <d v="2010-05-12T00:00:00"/>
    <n v="5"/>
    <s v="NewDevelopment"/>
    <x v="3"/>
  </r>
  <r>
    <s v="02.6.4"/>
    <x v="10"/>
    <x v="4"/>
    <m/>
    <m/>
    <s v="Intex"/>
    <s v="CFGen: Review and agree implementation"/>
    <s v="Neil"/>
    <d v="2010-05-12T00:00:00"/>
    <n v="2"/>
    <s v="NewDevelopment"/>
    <x v="3"/>
  </r>
  <r>
    <s v="02.6.5"/>
    <x v="10"/>
    <x v="4"/>
    <m/>
    <m/>
    <s v="Intex"/>
    <s v="CFGen: Complete first implementation"/>
    <s v="Neil"/>
    <d v="2010-05-12T00:00:00"/>
    <n v="10"/>
    <s v="NewDevelopment"/>
    <x v="3"/>
  </r>
  <r>
    <s v="02.6.6"/>
    <x v="10"/>
    <x v="4"/>
    <m/>
    <m/>
    <s v="Intex"/>
    <s v="CFGen: Test in QA"/>
    <s v="Neil"/>
    <d v="2010-05-12T00:00:00"/>
    <n v="5"/>
    <s v="NewDevelopment"/>
    <x v="3"/>
  </r>
  <r>
    <s v="02.6.7"/>
    <x v="10"/>
    <x v="4"/>
    <d v="2010-09-25T00:00:00"/>
    <m/>
    <s v="Intex"/>
    <s v="CFGen: Stand alone version for Aus RMBS"/>
    <s v="Neil"/>
    <d v="2010-09-17T00:00:00"/>
    <n v="3"/>
    <s v="NewDevelopment"/>
    <x v="3"/>
  </r>
  <r>
    <s v="06.13.2"/>
    <x v="10"/>
    <x v="4"/>
    <m/>
    <m/>
    <s v="Shared application components "/>
    <s v="Remove exception class 'ABSFingalProxyWrapperException'"/>
    <s v="Neil"/>
    <d v="2010-11-02T00:00:00"/>
    <n v="0.5"/>
    <s v="Enhancement"/>
    <x v="3"/>
  </r>
  <r>
    <s v="06.9.5"/>
    <x v="10"/>
    <x v="4"/>
    <m/>
    <m/>
    <s v="Shared application components "/>
    <s v="Modify Environment Helper so that is returns an enum for the environment (throws if it is ambiguous), also a new method to return the EnvironmentDescription as a string."/>
    <s v="Neil"/>
    <d v="2010-11-23T00:00:00"/>
    <n v="1"/>
    <s v="Enhancement"/>
    <x v="3"/>
  </r>
  <r>
    <s v="25.1.1"/>
    <x v="10"/>
    <x v="4"/>
    <d v="2010-09-13T00:00:00"/>
    <m/>
    <s v="Markit"/>
    <s v="Market1: Understand requirements"/>
    <s v="Neil"/>
    <d v="2010-09-08T00:00:00"/>
    <n v="1"/>
    <s v="NewDevelopment"/>
    <x v="3"/>
  </r>
  <r>
    <s v="25.1.2"/>
    <x v="10"/>
    <x v="4"/>
    <d v="2010-09-17T00:00:00"/>
    <m/>
    <s v="Markit"/>
    <s v="Market1: Design"/>
    <s v="Neil"/>
    <d v="2010-09-08T00:00:00"/>
    <n v="1"/>
    <s v="NewDevelopment"/>
    <x v="3"/>
  </r>
  <r>
    <s v="05.21.8"/>
    <x v="10"/>
    <x v="4"/>
    <m/>
    <m/>
    <s v="Loan level data"/>
    <s v="LoanHandling: RMAC loader change, review,release"/>
    <s v="Pramendra"/>
    <d v="2010-09-08T00:00:00"/>
    <n v="3"/>
    <s v="Maintenance"/>
    <x v="3"/>
  </r>
  <r>
    <s v="17.10.5"/>
    <x v="10"/>
    <x v="4"/>
    <m/>
    <m/>
    <s v="Trade Blotter"/>
    <s v="Blotter: Add CoverPx functionality"/>
    <s v="Neil"/>
    <d v="2010-11-01T00:00:00"/>
    <n v="2"/>
    <s v="Enhancement"/>
    <x v="3"/>
  </r>
  <r>
    <s v="21.5.3"/>
    <x v="10"/>
    <x v="4"/>
    <d v="2010-08-27T00:00:00"/>
    <m/>
    <s v="Collateral Model"/>
    <s v="Model2Intex: Review Design"/>
    <s v="Neil"/>
    <d v="2010-07-02T00:00:00"/>
    <n v="1"/>
    <s v="NewDevelopment"/>
    <x v="3"/>
  </r>
  <r>
    <s v="30.1.1"/>
    <x v="10"/>
    <x v="4"/>
    <m/>
    <m/>
    <s v="Trader Runs to Bloomberg"/>
    <s v="SaveOpeningRuns: Gather requirements"/>
    <s v="Zhuu"/>
    <d v="2010-11-01T00:00:00"/>
    <n v="1"/>
    <s v="NewDevelopment"/>
    <x v="3"/>
  </r>
  <r>
    <s v="17.10.2"/>
    <x v="10"/>
    <x v="4"/>
    <m/>
    <m/>
    <s v="Trade Blotter"/>
    <s v="Fix (or remove) 'Bonds not in DB' report"/>
    <s v="Paresh"/>
    <d v="2010-09-22T00:00:00"/>
    <n v="1"/>
    <s v="Enhancement"/>
    <x v="3"/>
  </r>
  <r>
    <s v="21.3.5"/>
    <x v="10"/>
    <x v="4"/>
    <d v="2010-08-20T00:00:00"/>
    <m/>
    <s v="Collateral Model"/>
    <s v="ModelCashflows: Review Implementation"/>
    <s v="Neil"/>
    <d v="2010-06-24T00:00:00"/>
    <n v="1"/>
    <s v="NewDevelopment"/>
    <x v="3"/>
  </r>
  <r>
    <s v="10.5.3"/>
    <x v="10"/>
    <x v="4"/>
    <m/>
    <m/>
    <s v="Radial / Totoro / Other"/>
    <s v="BBG Rates: Design Review"/>
    <s v="Neil"/>
    <d v="2010-09-08T00:00:00"/>
    <n v="1"/>
    <s v="NewDevelopment"/>
    <x v="3"/>
  </r>
  <r>
    <s v="07.1.2"/>
    <x v="10"/>
    <x v="4"/>
    <m/>
    <m/>
    <s v="Development Environment"/>
    <s v="Gather dependancy information"/>
    <s v="Neil"/>
    <d v="2010-08-20T00:00:00"/>
    <n v="1"/>
    <s v="Enhancement"/>
    <x v="3"/>
  </r>
  <r>
    <s v="13.2.7"/>
    <x v="10"/>
    <x v="4"/>
    <d v="2010-09-12T00:00:00"/>
    <m/>
    <s v="Comment Viewer"/>
    <s v="Make Comment Date and Author visible on the comment window itself."/>
    <s v="David Covey"/>
    <d v="2010-06-03T00:00:00"/>
    <n v="1"/>
    <s v="Enhancement"/>
    <x v="3"/>
  </r>
  <r>
    <s v="06.10.3"/>
    <x v="10"/>
    <x v="4"/>
    <d v="2010-07-05T00:00:00"/>
    <m/>
    <s v="Shared application components "/>
    <s v="PerformanceDataLib: Review"/>
    <s v="Ruth"/>
    <d v="2010-07-28T00:00:00"/>
    <n v="1"/>
    <s v="NewDevelopment"/>
    <x v="3"/>
  </r>
  <r>
    <s v="07.5.7"/>
    <x v="10"/>
    <x v="4"/>
    <m/>
    <m/>
    <s v="Development Environment"/>
    <s v="Find a good way to patch applications reliably"/>
    <s v="Neil"/>
    <d v="2010-07-28T00:00:00"/>
    <n v="2"/>
    <s v="Enhancement"/>
    <x v="3"/>
  </r>
  <r>
    <s v="11.2.26"/>
    <x v="10"/>
    <x v="4"/>
    <m/>
    <m/>
    <s v="Admin"/>
    <s v="Ensure sufficient documentation for all apps"/>
    <s v="Neil"/>
    <d v="2010-08-16T00:00:00"/>
    <n v="2"/>
    <s v="Enhancement"/>
    <x v="3"/>
  </r>
  <r>
    <s v="05.17.2"/>
    <x v="10"/>
    <x v="5"/>
    <d v="2010-06-05T00:00:00"/>
    <m/>
    <s v="Loan level data"/>
    <s v="Re-implement raw data aggregation - duplicate (5.17.3)"/>
    <s v="Danny"/>
    <d v="2010-08-16T00:00:00"/>
    <n v="2"/>
    <s v="Enhancement"/>
    <x v="4"/>
  </r>
  <r>
    <s v="11.2.15"/>
    <x v="10"/>
    <x v="4"/>
    <m/>
    <m/>
    <s v="Admin"/>
    <s v="Get more UNIX disk space"/>
    <s v="Danny"/>
    <d v="2010-03-08T00:00:00"/>
    <n v="2"/>
    <s v="Enhancement"/>
    <x v="3"/>
  </r>
  <r>
    <s v="11.2.5"/>
    <x v="10"/>
    <x v="4"/>
    <m/>
    <m/>
    <s v="Admin"/>
    <s v="Get dedicated PC for Danny"/>
    <s v="Danny"/>
    <d v="2009-08-28T00:00:00"/>
    <n v="0.5"/>
    <s v="Enhancement"/>
    <x v="3"/>
  </r>
  <r>
    <s v="06.3.3"/>
    <x v="10"/>
    <x v="4"/>
    <m/>
    <m/>
    <s v="Shared application components "/>
    <s v="Make DealsDbOOLayer easier to use in applications"/>
    <s v="Neil"/>
    <d v="2010-07-09T00:00:00"/>
    <n v="2"/>
    <s v="NewDevelopment"/>
    <x v="3"/>
  </r>
  <r>
    <s v="06.11.1"/>
    <x v="10"/>
    <x v="4"/>
    <m/>
    <m/>
    <s v="Shared application components "/>
    <s v="Develop SVN client library"/>
    <s v="Neil"/>
    <d v="2010-07-06T00:00:00"/>
    <n v="2"/>
    <s v="NewDevelopment"/>
    <x v="3"/>
  </r>
  <r>
    <s v="07.5.3"/>
    <x v="10"/>
    <x v="4"/>
    <m/>
    <m/>
    <s v="Development Environment"/>
    <s v="Review and acquire VS productivity tools"/>
    <s v="Pramendra"/>
    <d v="2010-04-19T00:00:00"/>
    <n v="1"/>
    <s v="Enhancement"/>
    <x v="3"/>
  </r>
  <r>
    <s v="11.2.20"/>
    <x v="10"/>
    <x v="4"/>
    <d v="2010-06-01T00:00:00"/>
    <m/>
    <s v="Admin"/>
    <s v="Get Sreevani all set up"/>
    <s v="Neil"/>
    <d v="2010-05-20T00:00:00"/>
    <n v="0.5"/>
    <s v="NewDevelopment"/>
    <x v="3"/>
  </r>
  <r>
    <s v="05.05.5"/>
    <x v="10"/>
    <x v="4"/>
    <d v="2010-06-30T00:00:00"/>
    <m/>
    <s v="Loan level data"/>
    <s v="Add two more fields to ESF_Static"/>
    <s v="Neil"/>
    <d v="2010-06-23T00:00:00"/>
    <n v="0"/>
    <s v="NewDevelopment"/>
    <x v="3"/>
  </r>
  <r>
    <s v="09.7.1"/>
    <x v="10"/>
    <x v="4"/>
    <d v="2010-06-10T00:00:00"/>
    <m/>
    <s v="Nomura Now"/>
    <s v="Implement SP to provide bond level prices and analytics"/>
    <s v="Gerald"/>
    <d v="2010-05-21T00:00:00"/>
    <n v="1"/>
    <s v="NewDevelopment"/>
    <x v="3"/>
  </r>
  <r>
    <s v="11.3.1"/>
    <x v="10"/>
    <x v="4"/>
    <m/>
    <n v="1"/>
    <s v="Admin"/>
    <s v="SAS Server move"/>
    <s v="Neil"/>
    <d v="2010-01-14T00:00:00"/>
    <n v="2"/>
    <s v="NewDevelopment"/>
    <x v="3"/>
  </r>
  <r>
    <s v="16.11.1"/>
    <x v="10"/>
    <x v="4"/>
    <d v="2010-07-05T00:00:00"/>
    <m/>
    <s v="Macro Economic Data"/>
    <s v="ES Repo Rates: Build and release simple app to download files"/>
    <s v="Friedel"/>
    <d v="2010-07-29T00:00:00"/>
    <n v="1"/>
    <s v="NewDevelopment"/>
    <x v="3"/>
  </r>
  <r>
    <s v="11.2.23"/>
    <x v="10"/>
    <x v="4"/>
    <d v="2010-06-28T00:00:00"/>
    <m/>
    <s v="Admin"/>
    <s v="All non WIG goals agreed by all team members and Neil and Yogesh"/>
    <s v="Neil"/>
    <d v="2010-06-24T00:00:00"/>
    <n v="1"/>
    <s v="Other"/>
    <x v="3"/>
  </r>
  <r>
    <s v="21.5.1"/>
    <x v="10"/>
    <x v="4"/>
    <d v="2010-07-02T00:00:00"/>
    <m/>
    <s v="Collateral Model"/>
    <s v="Model2Intex: Define requirements"/>
    <s v="Neil"/>
    <d v="2010-07-02T00:00:00"/>
    <n v="0.5"/>
    <s v="NewDevelopment"/>
    <x v="3"/>
  </r>
  <r>
    <s v="07.5.4"/>
    <x v="10"/>
    <x v="4"/>
    <d v="2010-06-28T00:00:00"/>
    <m/>
    <s v="Development Environment"/>
    <s v="Find better way to tag libraries"/>
    <s v="Neil"/>
    <d v="2010-04-20T00:00:00"/>
    <n v="3"/>
    <s v="Enhancement"/>
    <x v="3"/>
  </r>
  <r>
    <s v="11.2.21"/>
    <x v="10"/>
    <x v="4"/>
    <d v="2010-06-01T00:00:00"/>
    <m/>
    <s v="Admin"/>
    <s v="Get London visit organised"/>
    <s v="Neil"/>
    <d v="2010-05-21T00:00:00"/>
    <n v="0.5"/>
    <s v="Other"/>
    <x v="3"/>
  </r>
  <r>
    <s v="11.2.2"/>
    <x v="10"/>
    <x v="4"/>
    <m/>
    <m/>
    <s v="Admin"/>
    <s v="Configure SAS backup server"/>
    <s v="Neil"/>
    <d v="2009-07-09T00:00:00"/>
    <n v="2"/>
    <s v="NewDevelopment"/>
    <x v="3"/>
  </r>
  <r>
    <s v="05.11.4"/>
    <x v="10"/>
    <x v="4"/>
    <d v="2010-06-05T00:00:00"/>
    <m/>
    <s v="Loan level data"/>
    <s v="Update LEEK mapping for changes by Danny"/>
    <s v="Danny"/>
    <d v="2010-01-22T00:00:00"/>
    <n v="1"/>
    <s v="Enhancement"/>
    <x v="3"/>
  </r>
  <r>
    <s v="05.07.4"/>
    <x v="10"/>
    <x v="4"/>
    <d v="2010-05-07T00:00:00"/>
    <m/>
    <s v="Loan level data"/>
    <s v="Modify mappings for REM_TERM across many issuers"/>
    <s v="Danny"/>
    <d v="2010-05-06T00:00:00"/>
    <n v="1"/>
    <s v="Enhancement"/>
    <x v="3"/>
  </r>
  <r>
    <s v="02.6.1"/>
    <x v="10"/>
    <x v="4"/>
    <d v="2010-06-01T00:00:00"/>
    <m/>
    <s v="Intex"/>
    <s v="CFGen: Complete Prototype Implementation with Wrapped API and document"/>
    <s v="Neil"/>
    <d v="2010-05-27T00:00:00"/>
    <n v="3"/>
    <s v="NewDevelopment"/>
    <x v="3"/>
  </r>
  <r>
    <s v="11.2.10"/>
    <x v="10"/>
    <x v="4"/>
    <m/>
    <n v="1"/>
    <s v="Admin"/>
    <s v="Renew SAS License"/>
    <s v="Neil"/>
    <d v="2010-01-14T00:00:00"/>
    <n v="1"/>
    <s v="Other"/>
    <x v="3"/>
  </r>
  <r>
    <s v="02.1.2"/>
    <x v="10"/>
    <x v="4"/>
    <m/>
    <m/>
    <s v="Intex"/>
    <s v="Figure out design to drive cashflows from CPRs etc."/>
    <s v="David Covey"/>
    <d v="2009-04-23T00:00:00"/>
    <n v="4"/>
    <s v="NewDevelopment"/>
    <x v="3"/>
  </r>
  <r>
    <s v="02.4.3"/>
    <x v="10"/>
    <x v="4"/>
    <m/>
    <n v="1"/>
    <s v="Intex"/>
    <s v="Intex Wrapper: First core implementation"/>
    <s v="Neil"/>
    <d v="2010-02-09T00:00:00"/>
    <n v="5"/>
    <s v="NewDevelopment"/>
    <x v="3"/>
  </r>
  <r>
    <s v="02.5.1"/>
    <x v="10"/>
    <x v="4"/>
    <m/>
    <m/>
    <s v="Intex"/>
    <s v="Scraper - 1st implementation"/>
    <s v="Neil"/>
    <d v="2010-03-16T00:00:00"/>
    <n v="5"/>
    <s v="NewDevelopment"/>
    <x v="3"/>
  </r>
  <r>
    <s v="11.2.11"/>
    <x v="10"/>
    <x v="4"/>
    <m/>
    <n v="1"/>
    <s v="Admin"/>
    <s v="Hire new person in London"/>
    <s v="Neil"/>
    <d v="2010-01-14T00:00:00"/>
    <n v="1"/>
    <s v="Other"/>
    <x v="3"/>
  </r>
  <r>
    <s v="03.5.14"/>
    <x v="10"/>
    <x v="4"/>
    <d v="2010-05-06T00:00:00"/>
    <m/>
    <s v="Deal Analyser"/>
    <s v="Use DealId in database not BBG Deal Name"/>
    <s v="Neil"/>
    <d v="2010-05-04T00:00:00"/>
    <n v="2"/>
    <s v="Maintenance"/>
    <x v="3"/>
  </r>
  <r>
    <s v="11.2.18"/>
    <x v="10"/>
    <x v="4"/>
    <d v="2010-05-01T00:00:00"/>
    <m/>
    <s v="Admin"/>
    <s v="Get Research Team (India) to set up deals"/>
    <s v="Neil"/>
    <d v="2010-04-06T00:00:00"/>
    <n v="1"/>
    <s v="Other"/>
    <x v="3"/>
  </r>
  <r>
    <s v="01.2.38"/>
    <x v="10"/>
    <x v="4"/>
    <m/>
    <n v="1"/>
    <s v="Deals Database"/>
    <s v="Insert new Fixing Data when fixing data is missing from BBG"/>
    <s v="Zhuu"/>
    <d v="2010-02-24T00:00:00"/>
    <n v="1"/>
    <s v="Maintenance"/>
    <x v="3"/>
  </r>
  <r>
    <s v="01.2.40"/>
    <x v="10"/>
    <x v="4"/>
    <m/>
    <m/>
    <s v="Deals Database"/>
    <s v="Don't update bonds in CashflwoGenerator if their factor it zero"/>
    <s v="Neil"/>
    <d v="2010-04-23T00:00:00"/>
    <n v="0.5"/>
    <s v="Maintenance"/>
    <x v="3"/>
  </r>
  <r>
    <s v="01.2.37"/>
    <x v="10"/>
    <x v="4"/>
    <m/>
    <m/>
    <s v="Deals Database"/>
    <s v="Bug with fixing generation for IT0004485063 - 1st fixing is on a holiday - why?"/>
    <s v="Neil"/>
    <d v="2010-02-24T00:00:00"/>
    <n v="0.5"/>
    <s v="Maintenance"/>
    <x v="3"/>
  </r>
  <r>
    <s v="01.2.26"/>
    <x v="10"/>
    <x v="4"/>
    <m/>
    <n v="1"/>
    <s v="Deals Database"/>
    <s v="Add Factor to Bonds in Deal DB"/>
    <s v="Neil"/>
    <d v="2009-12-16T00:00:00"/>
    <n v="1"/>
    <n v="0"/>
    <x v="3"/>
  </r>
  <r>
    <s v="01.2.34"/>
    <x v="10"/>
    <x v="4"/>
    <m/>
    <n v="1"/>
    <s v="Deals Database"/>
    <s v="Add original FX rate on bonds"/>
    <s v="Ruth"/>
    <d v="2010-02-09T00:00:00"/>
    <n v="1"/>
    <n v="0"/>
    <x v="3"/>
  </r>
  <r>
    <s v="01.2.36"/>
    <x v="10"/>
    <x v="4"/>
    <m/>
    <n v="1"/>
    <s v="Deals Database"/>
    <s v="Add 'OriginalPlacement' field to bonds, i.e., private/public/other"/>
    <s v="Ruth"/>
    <d v="2010-02-19T00:00:00"/>
    <n v="1"/>
    <n v="0"/>
    <x v="3"/>
  </r>
  <r>
    <s v="01.2.39"/>
    <x v="10"/>
    <x v="4"/>
    <m/>
    <n v="1"/>
    <s v="Deals Database"/>
    <s v="Add 'CPR Type' to deals to specify non-default CPR values to use in BBG for cashflow generation."/>
    <s v="Zhuu"/>
    <d v="2010-03-02T00:00:00"/>
    <n v="3"/>
    <n v="0"/>
    <x v="3"/>
  </r>
  <r>
    <s v="02.3.2"/>
    <x v="10"/>
    <x v="4"/>
    <m/>
    <m/>
    <s v="Intex"/>
    <s v="Get US Intex files"/>
    <s v="David Covey"/>
    <d v="2010-03-16T00:00:00"/>
    <n v="2"/>
    <n v="0"/>
    <x v="3"/>
  </r>
  <r>
    <s v="08.12.3"/>
    <x v="10"/>
    <x v="4"/>
    <m/>
    <n v="1"/>
    <s v="Production Environment"/>
    <s v="Implement regular Calyon download"/>
    <s v="Neil"/>
    <d v="2010-03-02T00:00:00"/>
    <n v="2"/>
    <n v="0"/>
    <x v="3"/>
  </r>
  <r>
    <s v="11.2.14"/>
    <x v="10"/>
    <x v="4"/>
    <m/>
    <n v="1"/>
    <s v="Admin"/>
    <s v="Investigate Intex missing files"/>
    <s v="Zhuu"/>
    <d v="2010-03-03T00:00:00"/>
    <n v="1"/>
    <n v="0"/>
    <x v="3"/>
  </r>
  <r>
    <s v="11.2.7"/>
    <x v="10"/>
    <x v="4"/>
    <m/>
    <m/>
    <s v="Admin"/>
    <s v="Make Plan Outlook folder shared"/>
    <s v="Neil"/>
    <d v="2009-09-30T00:00:00"/>
    <n v="0.5"/>
    <n v="0"/>
    <x v="3"/>
  </r>
  <r>
    <s v="20.3.1"/>
    <x v="10"/>
    <x v="4"/>
    <m/>
    <m/>
    <s v="CMBS - TREPP"/>
    <s v="Plan collaboration with US"/>
    <s v="Neil"/>
    <d v="2010-04-07T00:00:00"/>
    <n v="2"/>
    <n v="0"/>
    <x v="3"/>
  </r>
  <r>
    <s v="08.12.4"/>
    <x v="10"/>
    <x v="4"/>
    <m/>
    <n v="1"/>
    <s v="Production Environment"/>
    <s v="Calyon: Ensure Kennsington data is loaded"/>
    <s v="David"/>
    <d v="2010-03-03T00:00:00"/>
    <n v="1"/>
    <n v="0"/>
    <x v="3"/>
  </r>
  <r>
    <s v="16.10.1"/>
    <x v="10"/>
    <x v="4"/>
    <m/>
    <m/>
    <s v="Macro Economic Data"/>
    <s v="Normalised BBG Rate Data "/>
    <s v="Neil"/>
    <d v="2010-03-30T00:00:00"/>
    <n v="0.5"/>
    <n v="0"/>
    <x v="3"/>
  </r>
  <r>
    <s v="02.3.3"/>
    <x v="10"/>
    <x v="4"/>
    <m/>
    <m/>
    <s v="Intex"/>
    <s v="Intex files missing"/>
    <s v="Zhuu"/>
    <d v="2010-03-18T00:00:00"/>
    <n v="1"/>
    <n v="0"/>
    <x v="3"/>
  </r>
  <r>
    <s v="08.12.1"/>
    <x v="10"/>
    <x v="4"/>
    <m/>
    <n v="1"/>
    <s v="Production Environment"/>
    <s v="Calyon: Figure out a suitable data delivery method"/>
    <s v="David"/>
    <d v="2010-02-02T00:00:00"/>
    <n v="2"/>
    <n v="0"/>
    <x v="3"/>
  </r>
  <r>
    <s v="02.4.1"/>
    <x v="10"/>
    <x v="4"/>
    <m/>
    <n v="1"/>
    <s v="Intex"/>
    <s v="Intex Wrapper: Design suitable wrapper"/>
    <s v="Neil"/>
    <d v="2010-02-09T00:00:00"/>
    <n v="5"/>
    <n v="0"/>
    <x v="3"/>
  </r>
  <r>
    <s v="32.1.1"/>
    <x v="10"/>
    <x v="4"/>
    <m/>
    <m/>
    <s v="Mid/Back office data source"/>
    <s v="Define approach"/>
    <s v="David"/>
    <d v="2010-12-07T00:00:00"/>
    <n v="1"/>
    <s v="Other"/>
    <x v="3"/>
  </r>
  <r>
    <s v="08.12.2"/>
    <x v="10"/>
    <x v="4"/>
    <m/>
    <m/>
    <s v="Production Environment"/>
    <s v="Calyon: Modify loan rule process for Calyon specific tables"/>
    <s v="David"/>
    <d v="2010-02-02T00:00:00"/>
    <n v="5"/>
    <n v="0"/>
    <x v="3"/>
  </r>
  <r>
    <s v="11.1.7"/>
    <x v="10"/>
    <x v="4"/>
    <m/>
    <m/>
    <s v="Admin"/>
    <s v="Use 'NSAM' for all changes"/>
    <s v="Dan Balsom"/>
    <d v="2010-02-16T00:00:00"/>
    <n v="0"/>
    <n v="0"/>
    <x v="3"/>
  </r>
  <r>
    <s v="11.1.6"/>
    <x v="10"/>
    <x v="4"/>
    <m/>
    <m/>
    <s v="Admin"/>
    <s v="Change Management procedures"/>
    <s v="Compliance"/>
    <d v="2009-09-16T00:00:00"/>
    <n v="0"/>
    <n v="0"/>
    <x v="3"/>
  </r>
  <r>
    <s v="20.1.1"/>
    <x v="10"/>
    <x v="4"/>
    <m/>
    <m/>
    <s v="CMBS - TREPP"/>
    <s v="Download Trepp data"/>
    <s v="David Covey"/>
    <d v="2010-02-10T00:00:00"/>
    <n v="0.5"/>
    <n v="0"/>
    <x v="3"/>
  </r>
  <r>
    <s v="21.1"/>
    <x v="10"/>
    <x v="4"/>
    <m/>
    <m/>
    <s v="Collateral Model"/>
    <s v="Design Architecture and plan"/>
    <s v="David Covey"/>
    <d v="2010-01-22T00:00:00"/>
    <n v="2"/>
    <n v="0"/>
    <x v="3"/>
  </r>
  <r>
    <s v="11.2.12"/>
    <x v="10"/>
    <x v="4"/>
    <m/>
    <m/>
    <s v="Admin"/>
    <s v="Get Intex Desktop 4.9 packaged and released"/>
    <s v="David"/>
    <d v="2010-01-20T00:00:00"/>
    <n v="1"/>
    <n v="0"/>
    <x v="3"/>
  </r>
  <r>
    <s v="02.1.3"/>
    <x v="10"/>
    <x v="4"/>
    <m/>
    <m/>
    <s v="Intex"/>
    <s v="Download Intex Wrapper"/>
    <s v="Neil"/>
    <d v="2010-01-22T00:00:00"/>
    <n v="1"/>
    <n v="0"/>
    <x v="3"/>
  </r>
  <r>
    <s v="01.2.31"/>
    <x v="10"/>
    <x v="4"/>
    <m/>
    <m/>
    <s v="Deals Database"/>
    <s v="Modify Totoro sector mapping"/>
    <s v="Zhuu"/>
    <d v="2010-01-19T00:00:00"/>
    <n v="2"/>
    <n v="0"/>
    <x v="3"/>
  </r>
  <r>
    <s v="01.2.32"/>
    <x v="10"/>
    <x v="4"/>
    <m/>
    <m/>
    <s v="Deals Database"/>
    <s v="Floor WAL to 6 mnths"/>
    <s v="Zhuu"/>
    <d v="2010-01-20T00:00:00"/>
    <n v="1"/>
    <n v="0"/>
    <x v="3"/>
  </r>
  <r>
    <s v="05.18.6"/>
    <x v="10"/>
    <x v="4"/>
    <m/>
    <m/>
    <s v="Loan level data"/>
    <s v="Add new rules for Friedel"/>
    <s v="Friedel"/>
    <d v="2010-01-12T00:00:00"/>
    <n v="3"/>
    <n v="0"/>
    <x v="3"/>
  </r>
  <r>
    <s v="18.1.7"/>
    <x v="10"/>
    <x v="4"/>
    <m/>
    <m/>
    <s v="Roll Rate Analyser"/>
    <s v="Add interest rate adjustment to roll rates as specified by Zhuu Ang."/>
    <s v="David Covey"/>
    <d v="2009-08-27T00:00:00"/>
    <n v="3"/>
    <n v="0"/>
    <x v="3"/>
  </r>
  <r>
    <s v="08.01.5"/>
    <x v="10"/>
    <x v="4"/>
    <m/>
    <m/>
    <s v="Production Environment"/>
    <s v="Get SAS ETS installed."/>
    <s v="Danny"/>
    <d v="2009-10-13T00:00:00"/>
    <n v="1"/>
    <n v="0"/>
    <x v="3"/>
  </r>
  <r>
    <s v="01.2.30"/>
    <x v="10"/>
    <x v="4"/>
    <m/>
    <m/>
    <s v="Deals Database"/>
    <s v="Bug with 'Foll' bus day convention - see XS0429125577"/>
    <s v="Neil"/>
    <d v="2010-01-04T00:00:00"/>
    <n v="1"/>
    <n v="0"/>
    <x v="3"/>
  </r>
  <r>
    <s v="09.1.13"/>
    <x v="10"/>
    <x v="4"/>
    <m/>
    <m/>
    <s v="Nomura Now"/>
    <s v="Make Spanish HPI available to ChartViewer SP"/>
    <s v="Gerald"/>
    <d v="2009-11-18T00:00:00"/>
    <n v="1"/>
    <n v="0"/>
    <x v="3"/>
  </r>
  <r>
    <s v="09.1.14"/>
    <x v="10"/>
    <x v="4"/>
    <m/>
    <m/>
    <s v="Nomura Now"/>
    <s v="Add Spanish HPI to ChartViewer menu"/>
    <s v="Gerald"/>
    <d v="2009-11-18T00:00:00"/>
    <n v="0.25"/>
    <n v="0"/>
    <x v="3"/>
  </r>
  <r>
    <s v="09.1.17"/>
    <x v="10"/>
    <x v="4"/>
    <m/>
    <m/>
    <s v="Nomura Now"/>
    <s v="Make Dutch HPI available to ChartViewer SP"/>
    <s v="Gerald"/>
    <d v="2009-12-10T00:00:00"/>
    <n v="1"/>
    <n v="0"/>
    <x v="3"/>
  </r>
  <r>
    <s v="09.1.18"/>
    <x v="10"/>
    <x v="4"/>
    <m/>
    <m/>
    <s v="Nomura Now"/>
    <s v="Add Dutch HPI to ChartViewer menu"/>
    <s v="Gerald"/>
    <d v="2009-12-10T00:00:00"/>
    <n v="0.25"/>
    <n v="0"/>
    <x v="3"/>
  </r>
  <r>
    <s v="02.1.1"/>
    <x v="10"/>
    <x v="4"/>
    <m/>
    <m/>
    <s v="Intex"/>
    <s v="Decide whether to use batch or wrapper"/>
    <s v="David Covey"/>
    <d v="2009-04-23T00:00:00"/>
    <n v="4"/>
    <n v="0"/>
    <x v="3"/>
  </r>
  <r>
    <s v="16.6.1"/>
    <x v="10"/>
    <x v="4"/>
    <m/>
    <m/>
    <s v="Macro Economic Data"/>
    <s v="Build app to retrieve BBG static data"/>
    <s v="Neil"/>
    <d v="2009-09-30T00:00:00"/>
    <n v="4"/>
    <n v="0"/>
    <x v="3"/>
  </r>
  <r>
    <s v="01.2.24"/>
    <x v="10"/>
    <x v="4"/>
    <m/>
    <m/>
    <s v="Deals Database"/>
    <s v="Populate original ratings from agencies"/>
    <s v="David"/>
    <d v="2009-12-03T00:00:00"/>
    <n v="0.5"/>
    <n v="0"/>
    <x v="3"/>
  </r>
  <r>
    <s v="01.2.25"/>
    <x v="10"/>
    <x v="4"/>
    <m/>
    <m/>
    <s v="Deals Database"/>
    <s v="Implement combined rating algorithm from Ajay"/>
    <s v="David"/>
    <d v="2009-12-03T00:00:00"/>
    <n v="1"/>
    <n v="0"/>
    <x v="3"/>
  </r>
  <r>
    <s v="01.2.23"/>
    <x v="10"/>
    <x v="4"/>
    <m/>
    <m/>
    <s v="Deals Database"/>
    <s v="Bug with roll day being 31 rather than 30"/>
    <s v="Neil"/>
    <d v="2009-11-03T00:00:00"/>
    <n v="0.5"/>
    <n v="0"/>
    <x v="3"/>
  </r>
  <r>
    <s v="01.3.8"/>
    <x v="10"/>
    <x v="4"/>
    <m/>
    <m/>
    <s v="Deals Database"/>
    <s v="Add FX tables for conversions."/>
    <s v="Neil"/>
    <d v="2009-12-07T00:00:00"/>
    <n v="2"/>
    <n v="0"/>
    <x v="3"/>
  </r>
  <r>
    <s v="16.6.2"/>
    <x v="10"/>
    <x v="4"/>
    <m/>
    <m/>
    <s v="Macro Economic Data"/>
    <s v="Retrieve 2,3,4,5 yrs GBP Swap rates"/>
    <s v="Friedel"/>
    <d v="2009-10-23T00:00:00"/>
    <n v="2"/>
    <n v="0"/>
    <x v="3"/>
  </r>
  <r>
    <s v="16.6.3"/>
    <x v="10"/>
    <x v="4"/>
    <m/>
    <m/>
    <s v="Macro Economic Data"/>
    <s v="Retrieve  BoE base rate"/>
    <s v="Friedel"/>
    <d v="2009-09-30T00:00:00"/>
    <n v="2"/>
    <n v="0"/>
    <x v="3"/>
  </r>
  <r>
    <s v="16.6.5"/>
    <x v="10"/>
    <x v="4"/>
    <m/>
    <m/>
    <s v="Macro Economic Data"/>
    <s v="Retrieve Historical FX rates"/>
    <s v="Neil"/>
    <d v="2009-09-30T00:00:00"/>
    <n v="2"/>
    <n v="0"/>
    <x v="3"/>
  </r>
  <r>
    <s v="16.6.6"/>
    <x v="10"/>
    <x v="4"/>
    <m/>
    <m/>
    <s v="Macro Economic Data"/>
    <s v="Retrieve 1m, 3m,6m,9m,12m LIBOR and BBR rate for GBP"/>
    <s v="Dan"/>
    <d v="2009-10-23T00:00:00"/>
    <n v="2"/>
    <n v="0"/>
    <x v="3"/>
  </r>
  <r>
    <s v="01.2.20"/>
    <x v="10"/>
    <x v="4"/>
    <m/>
    <m/>
    <s v="Deals Database"/>
    <s v="Change Cashflow Generator Support email message on errors"/>
    <s v="Pramendra"/>
    <d v="2009-10-09T00:00:00"/>
    <n v="0.5"/>
    <n v="0"/>
    <x v="3"/>
  </r>
  <r>
    <s v="01.3.7"/>
    <x v="10"/>
    <x v="4"/>
    <m/>
    <m/>
    <s v="Deals Database"/>
    <s v="Add collateral currency to Deal."/>
    <s v="Neil"/>
    <d v="2009-12-07T00:00:00"/>
    <n v="5"/>
    <n v="0"/>
    <x v="3"/>
  </r>
  <r>
    <s v="01.2.12"/>
    <x v="10"/>
    <x v="4"/>
    <m/>
    <m/>
    <s v="Deals Database"/>
    <s v="Add 'to call' facility for extracting BBG cashflows"/>
    <s v="Neil"/>
    <d v="2009-07-31T00:00:00"/>
    <n v="0.5"/>
    <n v="0"/>
    <x v="3"/>
  </r>
  <r>
    <s v="01.2.21"/>
    <x v="10"/>
    <x v="4"/>
    <m/>
    <m/>
    <s v="Deals Database"/>
    <s v="Make Original Ratings and Current Rating distinct"/>
    <s v="David"/>
    <d v="2009-10-21T00:00:00"/>
    <n v="3"/>
    <n v="0"/>
    <x v="3"/>
  </r>
  <r>
    <s v="01.2.22"/>
    <x v="10"/>
    <x v="4"/>
    <m/>
    <m/>
    <s v="Deals Database"/>
    <s v="Handle the situations of bonds that have multiple ISINs"/>
    <s v="Neil"/>
    <d v="2009-10-30T00:00:00"/>
    <n v="5"/>
    <n v="0"/>
    <x v="3"/>
  </r>
  <r>
    <s v="02.3.1"/>
    <x v="10"/>
    <x v="4"/>
    <m/>
    <m/>
    <s v="Intex"/>
    <s v="Extract loan data for Paragon and EMAC"/>
    <s v="David Covey"/>
    <d v="2009-11-06T00:00:00"/>
    <n v="2"/>
    <n v="0"/>
    <x v="3"/>
  </r>
  <r>
    <s v="01.1"/>
    <x v="10"/>
    <x v="4"/>
    <m/>
    <m/>
    <s v="Deals Database"/>
    <s v="Fixes to fixing and schedule building required to stop error from Radial and Totoro"/>
    <s v="Research"/>
    <d v="2009-04-08T00:00:00"/>
    <n v="0"/>
    <n v="0"/>
    <x v="3"/>
  </r>
  <r>
    <s v="01.2.02"/>
    <x v="10"/>
    <x v="4"/>
    <m/>
    <m/>
    <s v="Deals Database"/>
    <s v="Add function to GUI to refresh all BBG data in one go"/>
    <s v="Friedel"/>
    <d v="2009-05-20T00:00:00"/>
    <n v="0"/>
    <n v="0"/>
    <x v="3"/>
  </r>
  <r>
    <s v="01.2.04"/>
    <x v="10"/>
    <x v="4"/>
    <m/>
    <m/>
    <s v="Deals Database"/>
    <s v="Investigate duplicate fixings"/>
    <s v="Friedel"/>
    <d v="2009-05-21T00:00:00"/>
    <n v="0"/>
    <n v="0"/>
    <x v="3"/>
  </r>
  <r>
    <s v="05.13"/>
    <x v="10"/>
    <x v="4"/>
    <m/>
    <m/>
    <s v="Loan level data"/>
    <s v="Support Danny reviewing all existing mappings"/>
    <s v="David Covey"/>
    <d v="2009-08-03T00:00:00"/>
    <n v="0"/>
    <n v="0"/>
    <x v="3"/>
  </r>
  <r>
    <s v="05.08.7"/>
    <x v="10"/>
    <x v="4"/>
    <m/>
    <m/>
    <s v="Loan level data"/>
    <s v="Complete ESFData changes for ESAIL and RMAC for csv"/>
    <s v="Neil"/>
    <d v="2009-06-23T00:00:00"/>
    <n v="0"/>
    <n v="0"/>
    <x v="3"/>
  </r>
  <r>
    <s v="05.15.1"/>
    <x v="10"/>
    <x v="4"/>
    <m/>
    <m/>
    <s v="Loan level data"/>
    <s v="Implement ESFraw for ESAIL loader"/>
    <s v="Danny"/>
    <d v="2009-08-18T00:00:00"/>
    <n v="0"/>
    <n v="0"/>
    <x v="3"/>
  </r>
  <r>
    <s v="05.18.5"/>
    <x v="10"/>
    <x v="4"/>
    <m/>
    <m/>
    <s v="Loan level data"/>
    <s v="Complete 1st version of 2nd level rules and run on prod"/>
    <s v="Neil"/>
    <d v="2009-11-06T00:00:00"/>
    <n v="0"/>
    <n v="0"/>
    <x v="3"/>
  </r>
  <r>
    <s v="09.3.3"/>
    <x v="10"/>
    <x v="4"/>
    <m/>
    <m/>
    <s v="Nomura Now"/>
    <s v="Make WALA and WAM in months"/>
    <s v="David Covey"/>
    <d v="2009-10-16T00:00:00"/>
    <n v="0"/>
    <n v="0"/>
    <x v="3"/>
  </r>
  <r>
    <s v="08.01.4"/>
    <x v="10"/>
    <x v="4"/>
    <m/>
    <m/>
    <s v="Production Environment"/>
    <s v="Get SAS Insight/JMP installed"/>
    <s v="Danny"/>
    <d v="2009-09-15T00:00:00"/>
    <n v="0"/>
    <n v="0"/>
    <x v="3"/>
  </r>
  <r>
    <s v="05.18.1"/>
    <x v="10"/>
    <x v="4"/>
    <m/>
    <m/>
    <s v="Loan level data"/>
    <s v="1st implementation of 2nd Level Loan Mapper"/>
    <s v="David Covey"/>
    <d v="2009-09-18T00:00:00"/>
    <n v="0"/>
    <n v="0"/>
    <x v="3"/>
  </r>
  <r>
    <s v="05.16.1"/>
    <x v="10"/>
    <x v="4"/>
    <m/>
    <m/>
    <s v="Loan level data"/>
    <s v="Implement revised mapping for RMAC"/>
    <s v="Danny"/>
    <d v="2009-09-18T00:00:00"/>
    <n v="0"/>
    <n v="0"/>
    <x v="3"/>
  </r>
  <r>
    <s v="05.18.2"/>
    <x v="10"/>
    <x v="4"/>
    <m/>
    <m/>
    <s v="Loan level data"/>
    <s v="Get requirements for 2nd Level"/>
    <s v="Danny"/>
    <d v="2009-10-16T00:00:00"/>
    <n v="0"/>
    <n v="0"/>
    <x v="3"/>
  </r>
  <r>
    <s v="09.2.6"/>
    <x v="10"/>
    <x v="4"/>
    <m/>
    <m/>
    <s v="Nomura Now"/>
    <s v="Changes for first release"/>
    <s v="David Covey"/>
    <d v="2009-09-30T00:00:00"/>
    <n v="0"/>
    <n v="0"/>
    <x v="3"/>
  </r>
  <r>
    <s v="11.1.5"/>
    <x v="10"/>
    <x v="4"/>
    <m/>
    <m/>
    <s v="Admin"/>
    <s v="SP for QDB to get factor changes"/>
    <s v="Compliance"/>
    <d v="2009-08-25T00:00:00"/>
    <n v="0"/>
    <n v="0"/>
    <x v="3"/>
  </r>
  <r>
    <s v="08.09.2"/>
    <x v="10"/>
    <x v="4"/>
    <m/>
    <m/>
    <s v="Production Environment"/>
    <s v="Get Support permissions on DB set up"/>
    <s v="Neil"/>
    <d v="2009-09-18T00:00:00"/>
    <n v="0"/>
    <n v="0"/>
    <x v="3"/>
  </r>
  <r>
    <s v="11.1.2"/>
    <x v="10"/>
    <x v="4"/>
    <m/>
    <m/>
    <s v="Admin"/>
    <s v="Set up Remedy group"/>
    <s v="Compliance"/>
    <d v="2009-06-11T00:00:00"/>
    <n v="0"/>
    <n v="0"/>
    <x v="3"/>
  </r>
  <r>
    <s v="09.3.2"/>
    <x v="10"/>
    <x v="4"/>
    <m/>
    <m/>
    <s v="Nomura Now"/>
    <s v="Add 'Total' bucket"/>
    <s v="David Covey"/>
    <d v="2009-09-21T00:00:00"/>
    <n v="0"/>
    <n v="0"/>
    <x v="3"/>
  </r>
  <r>
    <s v="09.3.1"/>
    <x v="10"/>
    <x v="4"/>
    <m/>
    <m/>
    <s v="Nomura Now"/>
    <s v="First Implementation of Loan Strats"/>
    <s v="David Covey"/>
    <d v="2009-08-28T00:00:00"/>
    <n v="0"/>
    <n v="0"/>
    <x v="3"/>
  </r>
  <r>
    <s v="08.09.1"/>
    <x v="10"/>
    <x v="4"/>
    <m/>
    <m/>
    <s v="Production Environment"/>
    <s v="Get New DB for Nomura Now set up"/>
    <s v="Neil"/>
    <d v="2009-09-04T00:00:00"/>
    <n v="0"/>
    <n v="0"/>
    <x v="3"/>
  </r>
  <r>
    <s v="10.3.2"/>
    <x v="10"/>
    <x v="4"/>
    <m/>
    <m/>
    <s v="Radial / Totoro / Other"/>
    <s v="Intra day feed to QDB"/>
    <s v="Operations"/>
    <d v="2009-08-04T00:00:00"/>
    <n v="0"/>
    <n v="0"/>
    <x v="3"/>
  </r>
  <r>
    <s v="11.1.3"/>
    <x v="10"/>
    <x v="4"/>
    <m/>
    <m/>
    <s v="Admin"/>
    <s v="Meet with DBA to determine suitable access to production database."/>
    <s v="Compliance"/>
    <d v="2009-06-11T00:00:00"/>
    <n v="0"/>
    <n v="0"/>
    <x v="3"/>
  </r>
  <r>
    <s v="09.2.5"/>
    <x v="10"/>
    <x v="4"/>
    <m/>
    <m/>
    <s v="Nomura Now"/>
    <s v="Find out what ReservePct is supposed to be"/>
    <s v="Gerald"/>
    <d v="2009-08-20T00:00:00"/>
    <n v="0"/>
    <n v="0"/>
    <x v="3"/>
  </r>
  <r>
    <s v="05.07.3"/>
    <x v="10"/>
    <x v="4"/>
    <m/>
    <m/>
    <s v="Loan level data"/>
    <s v="Modify LoadID and BorrowerID fields for ESAIL"/>
    <s v="Danny"/>
    <d v="2009-08-20T00:00:00"/>
    <n v="0"/>
    <n v="0"/>
    <x v="3"/>
  </r>
  <r>
    <s v="14.3"/>
    <x v="10"/>
    <x v="4"/>
    <m/>
    <m/>
    <s v="Stratification tool / PALS"/>
    <s v="Modify according to feedback"/>
    <s v="Neil"/>
    <d v="2009-08-20T00:00:00"/>
    <n v="0"/>
    <n v="0"/>
    <x v="3"/>
  </r>
  <r>
    <s v="11.2.6"/>
    <x v="10"/>
    <x v="4"/>
    <m/>
    <m/>
    <s v="Admin"/>
    <s v="Get Intex PC moved"/>
    <s v="Neil"/>
    <d v="2009-08-20T00:00:00"/>
    <n v="0"/>
    <n v="0"/>
    <x v="3"/>
  </r>
  <r>
    <s v="14.2"/>
    <x v="10"/>
    <x v="4"/>
    <m/>
    <m/>
    <s v="Stratification tool / PALS"/>
    <s v="Implement first version of application"/>
    <s v="David"/>
    <d v="2009-08-18T00:00:00"/>
    <n v="0"/>
    <n v="0"/>
    <x v="3"/>
  </r>
  <r>
    <s v="08.07.1"/>
    <x v="10"/>
    <x v="4"/>
    <m/>
    <m/>
    <s v="Production Environment"/>
    <s v="Get eabs_p1/q1 set up for Internet"/>
    <s v="Pramendra"/>
    <d v="2009-08-24T00:00:00"/>
    <n v="0"/>
    <n v="0"/>
    <x v="3"/>
  </r>
  <r>
    <s v="11.1.4"/>
    <x v="10"/>
    <x v="4"/>
    <m/>
    <m/>
    <s v="Admin"/>
    <s v="Write up DR plan"/>
    <s v="Compliance"/>
    <d v="2009-06-11T00:00:00"/>
    <n v="0"/>
    <n v="0"/>
    <x v="3"/>
  </r>
  <r>
    <s v="09.2.2"/>
    <x v="10"/>
    <x v="4"/>
    <m/>
    <m/>
    <s v="Nomura Now"/>
    <s v="Determine SP to support Deal Analyser"/>
    <s v="Neil"/>
    <d v="2009-08-04T00:00:00"/>
    <n v="0"/>
    <n v="0"/>
    <x v="3"/>
  </r>
  <r>
    <s v="14.1"/>
    <x v="10"/>
    <x v="4"/>
    <m/>
    <m/>
    <s v="Stratification tool / PALS"/>
    <s v="Determine detailed requirements"/>
    <s v="David"/>
    <d v="2009-07-15T00:00:00"/>
    <n v="0"/>
    <n v="0"/>
    <x v="3"/>
  </r>
  <r>
    <s v="05.05.3"/>
    <x v="10"/>
    <x v="4"/>
    <m/>
    <m/>
    <s v="Loan level data"/>
    <s v="Add new fields to ESF tables 1st for ESAIL"/>
    <s v="Danny"/>
    <d v="2009-08-03T00:00:00"/>
    <n v="0"/>
    <n v="0"/>
    <x v="3"/>
  </r>
  <r>
    <s v="09.2.1"/>
    <x v="10"/>
    <x v="4"/>
    <m/>
    <m/>
    <s v="Nomura Now"/>
    <s v="Plan"/>
    <s v="David Covey"/>
    <d v="2009-08-04T00:00:00"/>
    <n v="0"/>
    <n v="0"/>
    <x v="3"/>
  </r>
  <r>
    <s v="01.2.11"/>
    <x v="10"/>
    <x v="4"/>
    <m/>
    <m/>
    <s v="Deals Database"/>
    <s v="Find out why bond XS0112279616 errors on overnight load - Done. Due to BBG bridge access Corp key"/>
    <s v="Neil"/>
    <d v="2009-08-03T00:00:00"/>
    <n v="0"/>
    <n v="0"/>
    <x v="3"/>
  </r>
  <r>
    <s v="01.2.15"/>
    <x v="10"/>
    <x v="4"/>
    <m/>
    <m/>
    <s v="Deals Database"/>
    <s v="Add ability to populate many bonds from a list of isins"/>
    <s v="David"/>
    <d v="2009-08-03T00:00:00"/>
    <n v="0"/>
    <n v="0"/>
    <x v="3"/>
  </r>
  <r>
    <s v="03.5.06"/>
    <x v="10"/>
    <x v="4"/>
    <m/>
    <m/>
    <s v="Deal Analyser"/>
    <s v="Various enhancements as specified by David"/>
    <s v="David Covey"/>
    <d v="2009-06-11T00:00:00"/>
    <n v="0"/>
    <n v="0"/>
    <x v="3"/>
  </r>
  <r>
    <s v="01.2.08"/>
    <x v="10"/>
    <x v="4"/>
    <m/>
    <m/>
    <s v="Deals Database"/>
    <s v="Modify Radial feed to be more secure"/>
    <s v="Compliance"/>
    <d v="2009-06-11T00:00:00"/>
    <n v="0"/>
    <n v="0"/>
    <x v="3"/>
  </r>
  <r>
    <s v="01.2.09"/>
    <x v="10"/>
    <x v="4"/>
    <m/>
    <m/>
    <s v="Deals Database"/>
    <s v="Add 'TradesOnCurrentFace' to Radial feed and get it into Totoro"/>
    <s v="Friedel"/>
    <d v="2009-07-07T00:00:00"/>
    <n v="0"/>
    <n v="0"/>
    <x v="3"/>
  </r>
  <r>
    <s v="01.2.10"/>
    <x v="10"/>
    <x v="4"/>
    <m/>
    <m/>
    <s v="Deals Database"/>
    <s v="Make Cashflow Generate send emails upon completion"/>
    <s v="Neil"/>
    <d v="2009-07-07T00:00:00"/>
    <n v="0"/>
    <n v="0"/>
    <x v="3"/>
  </r>
  <r>
    <s v="01.4"/>
    <x v="10"/>
    <x v="4"/>
    <m/>
    <m/>
    <s v="Deals Database"/>
    <s v="Move Cashflow Generator to production"/>
    <s v="Compliance"/>
    <d v="2009-06-11T00:00:00"/>
    <n v="0"/>
    <n v="0"/>
    <x v="3"/>
  </r>
  <r>
    <s v="05.07.2"/>
    <x v="10"/>
    <x v="4"/>
    <m/>
    <m/>
    <s v="Loan level data"/>
    <s v="Release with new interpolation and graph functionality"/>
    <s v="David Covey"/>
    <d v="2009-07-03T00:00:00"/>
    <n v="0"/>
    <n v="0"/>
    <x v="3"/>
  </r>
  <r>
    <s v="08.01.1"/>
    <x v="10"/>
    <x v="4"/>
    <m/>
    <m/>
    <s v="Production Environment"/>
    <s v="Get SAS Installed"/>
    <s v="David Covey"/>
    <d v="2009-04-14T00:00:00"/>
    <n v="0"/>
    <n v="0"/>
    <x v="3"/>
  </r>
  <r>
    <s v="08.01.3"/>
    <x v="10"/>
    <x v="4"/>
    <m/>
    <m/>
    <s v="Production Environment"/>
    <s v="Get ODBC Drivers purchased"/>
    <s v="Neil"/>
    <d v="2009-06-15T00:00:00"/>
    <n v="0"/>
    <n v="0"/>
    <x v="3"/>
  </r>
  <r>
    <s v="08.05"/>
    <x v="10"/>
    <x v="4"/>
    <m/>
    <m/>
    <s v="Production Environment"/>
    <s v="Get a global writeable shared area for logs"/>
    <s v="Neil"/>
    <d v="2009-05-27T00:00:00"/>
    <n v="0"/>
    <n v="0"/>
    <x v="3"/>
  </r>
  <r>
    <s v="08.07"/>
    <x v="10"/>
    <x v="4"/>
    <m/>
    <m/>
    <s v="Production Environment"/>
    <s v="Get eabs_p1/q1 set up for email and Fingal share access"/>
    <s v="Neil"/>
    <d v="2009-06-11T00:00:00"/>
    <n v="0"/>
    <n v="0"/>
    <x v="3"/>
  </r>
  <r>
    <s v="01.2.06"/>
    <x v="10"/>
    <x v="4"/>
    <m/>
    <m/>
    <s v="Deals Database"/>
    <s v="Make Fixings editable"/>
    <s v="Neil"/>
    <d v="2009-06-11T00:00:00"/>
    <n v="0"/>
    <n v="0"/>
    <x v="3"/>
  </r>
  <r>
    <s v="03.6.3"/>
    <x v="10"/>
    <x v="4"/>
    <m/>
    <m/>
    <s v="Deal Analyser"/>
    <s v="Merge sub pools into main pool - can't be done"/>
    <s v="Neil"/>
    <d v="2009-07-03T00:00:00"/>
    <n v="0"/>
    <n v="0"/>
    <x v="3"/>
  </r>
  <r>
    <s v="08.01.2"/>
    <x v="10"/>
    <x v="4"/>
    <m/>
    <m/>
    <s v="Production Environment"/>
    <s v="Get SAS Package Released"/>
    <s v="Neil"/>
    <d v="2009-06-15T00:00:00"/>
    <n v="0"/>
    <n v="0"/>
    <x v="3"/>
  </r>
  <r>
    <s v="18.1.1"/>
    <x v="10"/>
    <x v="4"/>
    <m/>
    <m/>
    <s v="Roll Rate Analyser"/>
    <s v="Add CPR and CDR to predictions."/>
    <s v="David Covey"/>
    <d v="2009-05-14T00:00:00"/>
    <n v="0"/>
    <n v="0"/>
    <x v="3"/>
  </r>
  <r>
    <s v="03.5.03"/>
    <x v="10"/>
    <x v="4"/>
    <m/>
    <m/>
    <s v="Deal Analyser"/>
    <s v="Use the 'Series_ID' as the ASBNetDealID rather than the 'series_pk' in the database. - Cancelled."/>
    <s v="Neil"/>
    <d v="2009-06-29T00:00:00"/>
    <n v="0"/>
    <n v="0"/>
    <x v="3"/>
  </r>
  <r>
    <s v="18.1.2"/>
    <x v="10"/>
    <x v="4"/>
    <m/>
    <m/>
    <s v="Roll Rate Analyser"/>
    <s v="In 'Extrapolate', highlight if any 'current' values are zero."/>
    <s v="Friedel"/>
    <d v="2009-05-15T00:00:00"/>
    <n v="0"/>
    <n v="0"/>
    <x v="3"/>
  </r>
  <r>
    <s v="18.1.3"/>
    <x v="10"/>
    <x v="4"/>
    <m/>
    <m/>
    <s v="Roll Rate Analyser"/>
    <s v="In 'Extrapolate', allow the 'Roll Rate' to be  edited."/>
    <s v="Friedel"/>
    <d v="2009-05-15T00:00:00"/>
    <n v="0"/>
    <n v="0"/>
    <x v="3"/>
  </r>
  <r>
    <s v="18.1.4"/>
    <x v="10"/>
    <x v="4"/>
    <m/>
    <m/>
    <s v="Roll Rate Analyser"/>
    <s v="In 'Copy' either copy full precision or allow precision to be configured."/>
    <s v="Friedel"/>
    <d v="2009-09-30T00:00:00"/>
    <n v="0"/>
    <n v="0"/>
    <x v="3"/>
  </r>
  <r>
    <s v="03.3.2"/>
    <x v="10"/>
    <x v="4"/>
    <m/>
    <m/>
    <s v="Deal Analyser"/>
    <s v="Integrate SFTP scripts in loader"/>
    <s v="Neil"/>
    <d v="2009-05-11T00:00:00"/>
    <n v="0"/>
    <n v="0"/>
    <x v="3"/>
  </r>
  <r>
    <s v="03.3.3"/>
    <x v="10"/>
    <x v="4"/>
    <m/>
    <m/>
    <s v="Deal Analyser"/>
    <s v="Test and release data loader"/>
    <s v="Neil"/>
    <d v="2009-05-11T00:00:00"/>
    <n v="0"/>
    <n v="0"/>
    <x v="3"/>
  </r>
  <r>
    <s v="03.6.1"/>
    <x v="10"/>
    <x v="4"/>
    <m/>
    <m/>
    <s v="Deal Analyser"/>
    <s v="Write detailed support notes for ABSNet"/>
    <s v="Neil"/>
    <d v="2009-05-27T00:00:00"/>
    <n v="0"/>
    <n v="0"/>
    <x v="3"/>
  </r>
  <r>
    <s v="03.2.3"/>
    <x v="10"/>
    <x v="4"/>
    <m/>
    <m/>
    <s v="Deal Analyser"/>
    <s v="Testing and comments from Research"/>
    <s v="David Covey"/>
    <d v="2009-04-29T00:00:00"/>
    <n v="0"/>
    <n v="0"/>
    <x v="3"/>
  </r>
  <r>
    <s v="04.2"/>
    <x v="10"/>
    <x v="4"/>
    <m/>
    <m/>
    <s v="Matrix Pricing Application"/>
    <s v="Test and make release build"/>
    <s v="Neil"/>
    <d v="2009-04-08T00:00:00"/>
    <n v="0"/>
    <n v="0"/>
    <x v="3"/>
  </r>
  <r>
    <s v="07.2.1"/>
    <x v="10"/>
    <x v="4"/>
    <m/>
    <m/>
    <s v="Development Environment"/>
    <s v="Schema save: Requirements"/>
    <s v="Neil"/>
    <d v="2010-07-02T00:00:00"/>
    <n v="2"/>
    <s v="Maintenance"/>
    <x v="3"/>
  </r>
  <r>
    <s v="11.1.1"/>
    <x v="10"/>
    <x v="4"/>
    <m/>
    <m/>
    <s v="Admin"/>
    <s v="Turn audit items into plan items"/>
    <s v="Neil"/>
    <d v="2009-05-26T00:00:00"/>
    <n v="0"/>
    <n v="0"/>
    <x v="3"/>
  </r>
  <r>
    <s v="11.2.1"/>
    <x v="10"/>
    <x v="4"/>
    <m/>
    <m/>
    <s v="Admin"/>
    <s v="Get 'ABS Primer' and morning meeting details Mumbai"/>
    <s v="Pramendra"/>
    <d v="2009-05-27T00:00:00"/>
    <n v="0"/>
    <n v="0"/>
    <x v="3"/>
  </r>
  <r>
    <s v="01.2.05"/>
    <x v="10"/>
    <x v="4"/>
    <m/>
    <m/>
    <s v="Deals Database"/>
    <s v="Make use of Bloomberg Bridge"/>
    <s v="Neil"/>
    <d v="2009-05-27T00:00:00"/>
    <n v="0"/>
    <n v="0"/>
    <x v="3"/>
  </r>
  <r>
    <s v="06.6"/>
    <x v="10"/>
    <x v="4"/>
    <m/>
    <m/>
    <s v="Shared application components "/>
    <s v="Add new 'UserConfig' database"/>
    <s v="Neil"/>
    <d v="2009-05-21T00:00:00"/>
    <n v="0"/>
    <n v="0"/>
    <x v="3"/>
  </r>
  <r>
    <s v="10.1.4"/>
    <x v="10"/>
    <x v="4"/>
    <m/>
    <m/>
    <s v="Radial / Totoro / Other"/>
    <s v="Understand how Radial's Bloomberg Bridge works"/>
    <s v="David Covey"/>
    <d v="2009-04-23T00:00:00"/>
    <n v="0"/>
    <n v="0"/>
    <x v="3"/>
  </r>
  <r>
    <s v="18.1.5"/>
    <x v="10"/>
    <x v="4"/>
    <m/>
    <m/>
    <s v="Roll Rate Analyser"/>
    <s v="Move Roll Rate Analyser to Trunk"/>
    <s v="Neil"/>
    <d v="2009-06-02T00:00:00"/>
    <n v="0"/>
    <n v="0"/>
    <x v="3"/>
  </r>
  <r>
    <s v="03.3.1"/>
    <x v="10"/>
    <x v="4"/>
    <m/>
    <m/>
    <s v="Deal Analyser"/>
    <s v="Move loader application to Trunk"/>
    <s v="Neil"/>
    <d v="2009-05-11T00:00:00"/>
    <n v="0"/>
    <n v="0"/>
    <x v="3"/>
  </r>
  <r>
    <s v="05.07.1"/>
    <x v="10"/>
    <x v="4"/>
    <m/>
    <m/>
    <s v="Loan level data"/>
    <s v="Add both views of a loan to detail drill in"/>
    <s v="David Covey"/>
    <d v="2009-05-11T00:00:00"/>
    <n v="0"/>
    <n v="0"/>
    <x v="3"/>
  </r>
  <r>
    <s v="04.4.4"/>
    <x v="10"/>
    <x v="4"/>
    <m/>
    <m/>
    <s v="Matrix Pricing Application"/>
    <s v="Specify fields to use in Level 2 Matrix"/>
    <s v="Neil"/>
    <d v="2009-05-27T00:00:00"/>
    <n v="0"/>
    <n v="0"/>
    <x v="3"/>
  </r>
  <r>
    <s v="03.5.01"/>
    <x v="10"/>
    <x v="4"/>
    <m/>
    <m/>
    <s v="Deal Analyser"/>
    <s v="Add 'All' and 'None' button to aggregate windows"/>
    <s v="David Covey"/>
    <d v="2009-05-21T00:00:00"/>
    <n v="0"/>
    <n v="0"/>
    <x v="3"/>
  </r>
  <r>
    <s v="03.5.02"/>
    <x v="10"/>
    <x v="4"/>
    <m/>
    <m/>
    <s v="Deal Analyser"/>
    <s v="Allow 'Aggregates' list box to be widened"/>
    <s v="David Covey"/>
    <d v="2009-05-21T00:00:00"/>
    <n v="0"/>
    <n v="0"/>
    <x v="3"/>
  </r>
  <r>
    <s v="01.2.01"/>
    <x v="10"/>
    <x v="4"/>
    <m/>
    <m/>
    <s v="Deals Database"/>
    <s v="Add additional BBG fields to support pricing"/>
    <s v="Neil"/>
    <d v="2009-05-11T00:00:00"/>
    <n v="0"/>
    <n v="0"/>
    <x v="3"/>
  </r>
  <r>
    <s v="01.3.2"/>
    <x v="10"/>
    <x v="4"/>
    <m/>
    <m/>
    <s v="Deals Database"/>
    <s v="Merge duplicate ABSNet Master Trusts"/>
    <s v="Research"/>
    <d v="2009-05-12T00:00:00"/>
    <n v="0"/>
    <n v="0"/>
    <x v="3"/>
  </r>
  <r>
    <s v="01.3.6"/>
    <x v="10"/>
    <x v="4"/>
    <m/>
    <m/>
    <s v="Deals Database"/>
    <s v="Populate bond Index data from Bloomberg."/>
    <s v="Research"/>
    <d v="2009-05-12T00:00:00"/>
    <n v="0"/>
    <n v="0"/>
    <x v="3"/>
  </r>
  <r>
    <s v="01.1.2"/>
    <x v="10"/>
    <x v="4"/>
    <m/>
    <m/>
    <s v="Deals Database"/>
    <s v="Fix problem where fixing &gt;= work out date"/>
    <s v="Neil"/>
    <d v="2009-05-12T00:00:00"/>
    <n v="0"/>
    <n v="0"/>
    <x v="3"/>
  </r>
  <r>
    <s v="01.3.1"/>
    <x v="10"/>
    <x v="4"/>
    <m/>
    <m/>
    <s v="Deals Database"/>
    <s v="Make Bond and Deal Id visible and searchable"/>
    <s v="Neil"/>
    <d v="2009-05-12T00:00:00"/>
    <n v="0"/>
    <n v="0"/>
    <x v="3"/>
  </r>
  <r>
    <s v="05.03"/>
    <x v="10"/>
    <x v="4"/>
    <m/>
    <m/>
    <s v="Loan level data"/>
    <s v="Update ESAIL data for March + Add Wiki Notes"/>
    <s v="David Covey"/>
    <d v="2009-05-05T00:00:00"/>
    <n v="0"/>
    <n v="0"/>
    <x v="3"/>
  </r>
  <r>
    <s v="06.5.1"/>
    <x v="10"/>
    <x v="4"/>
    <m/>
    <m/>
    <s v="Shared application components "/>
    <s v="Put tagged common libraries on C: Drive"/>
    <s v="Neil"/>
    <d v="2009-04-29T00:00:00"/>
    <n v="0"/>
    <n v="0"/>
    <x v="3"/>
  </r>
  <r>
    <s v="01.1.1"/>
    <x v="10"/>
    <x v="4"/>
    <m/>
    <m/>
    <s v="Deals Database"/>
    <s v="Fix workout date issue of 3 bonds listed on 'Problem Bonds' Sheet"/>
    <s v="Research"/>
    <d v="2009-04-29T00:00:00"/>
    <n v="0"/>
    <n v="0"/>
    <x v="3"/>
  </r>
  <r>
    <s v="03.2.1"/>
    <x v="10"/>
    <x v="4"/>
    <m/>
    <m/>
    <s v="Deal Analyser"/>
    <s v="Add aggregation functionality"/>
    <s v="David Covey"/>
    <d v="2009-04-23T00:00:00"/>
    <n v="0"/>
    <n v="0"/>
    <x v="3"/>
  </r>
  <r>
    <s v="03.2.2"/>
    <x v="10"/>
    <x v="4"/>
    <m/>
    <m/>
    <s v="Deal Analyser"/>
    <s v="Add graphing functionality"/>
    <s v="David Covey"/>
    <d v="2009-04-23T00:00:00"/>
    <n v="0"/>
    <n v="0"/>
    <x v="3"/>
  </r>
  <r>
    <s v="08.02"/>
    <x v="10"/>
    <x v="4"/>
    <m/>
    <m/>
    <s v="Production Environment"/>
    <s v="Get Ajay's team set up with the Deals DB"/>
    <s v="David Covey"/>
    <d v="2009-04-14T00:00:00"/>
    <n v="0"/>
    <n v="0"/>
    <x v="3"/>
  </r>
  <r>
    <s v="09.1.01"/>
    <x v="10"/>
    <x v="4"/>
    <m/>
    <m/>
    <s v="Nomura Now"/>
    <s v="Agree interface with Duncan"/>
    <s v="David Covey"/>
    <d v="2009-04-22T00:00:00"/>
    <n v="0"/>
    <n v="0"/>
    <x v="3"/>
  </r>
  <r>
    <s v="09.1.02"/>
    <x v="10"/>
    <x v="4"/>
    <m/>
    <m/>
    <s v="Nomura Now"/>
    <s v="Implement interface in dev"/>
    <s v="David Covey"/>
    <d v="2009-04-22T00:00:00"/>
    <n v="0"/>
    <n v="0"/>
    <x v="3"/>
  </r>
  <r>
    <s v="03.1"/>
    <x v="10"/>
    <x v="4"/>
    <m/>
    <m/>
    <s v="Deal Analyser"/>
    <s v="Get feed from ABSNet and load into database"/>
    <s v="Research"/>
    <d v="2009-04-08T00:00:00"/>
    <n v="0"/>
    <n v="0"/>
    <x v="3"/>
  </r>
  <r>
    <s v="07.5.10"/>
    <x v="10"/>
    <x v="4"/>
    <m/>
    <m/>
    <s v="Development Environment"/>
    <s v="Get dataservers for QA and Stage"/>
    <s v="Neil"/>
    <d v="2010-12-08T00:00:00"/>
    <n v="1"/>
    <s v="Enhancement"/>
    <x v="3"/>
  </r>
  <r>
    <s v="10.1.9"/>
    <x v="11"/>
    <x v="1"/>
    <m/>
    <m/>
    <s v="Radial / Totoro / Other"/>
    <s v="Radial to accept a single XML file of updates for bonds"/>
    <s v="Neil"/>
    <d v="2010-04-16T00:00:00"/>
    <n v="2"/>
    <s v="Enhancement"/>
    <x v="1"/>
  </r>
  <r>
    <s v="10.1.3"/>
    <x v="11"/>
    <x v="4"/>
    <m/>
    <m/>
    <s v="Radial / Totoro / Other"/>
    <s v="Don't automatically update fixings from Bloomberg"/>
    <s v="David Covey"/>
    <d v="2010-01-27T00:00:00"/>
    <n v="0"/>
    <n v="0"/>
    <x v="3"/>
  </r>
  <r>
    <s v="01.3.13"/>
    <x v="12"/>
    <x v="0"/>
    <d v="2010-08-20T00:00:00"/>
    <m/>
    <s v="Deals Database"/>
    <s v="Remove duplicate Deals and Bonds"/>
    <s v="Neil"/>
    <d v="2010-08-13T00:00:00"/>
    <n v="1"/>
    <s v="Maintenance"/>
    <x v="0"/>
  </r>
  <r>
    <s v="09.1.15"/>
    <x v="13"/>
    <x v="4"/>
    <m/>
    <m/>
    <s v="Nomura Now"/>
    <s v="SP for Deal Data for NN HPI Calculator"/>
    <s v="Gerald"/>
    <d v="2009-11-18T00:00:00"/>
    <n v="0.5"/>
    <n v="0"/>
    <x v="3"/>
  </r>
  <r>
    <s v="04.4.2"/>
    <x v="14"/>
    <x v="4"/>
    <m/>
    <m/>
    <s v="Matrix Pricing Application"/>
    <s v="Develop test cases carry out testing"/>
    <s v="Neil"/>
    <d v="2009-04-24T00:00:00"/>
    <n v="0"/>
    <n v="0"/>
    <x v="3"/>
  </r>
  <r>
    <s v="08.03"/>
    <x v="15"/>
    <x v="4"/>
    <m/>
    <m/>
    <s v="Production Environment"/>
    <s v="Get AMS calendar fixed to add Ascension Day"/>
    <s v="Neil"/>
    <d v="2009-04-14T00:00:00"/>
    <n v="0"/>
    <n v="0"/>
    <x v="3"/>
  </r>
  <r>
    <s v="09.1.03"/>
    <x v="16"/>
    <x v="4"/>
    <m/>
    <m/>
    <s v="Nomura Now"/>
    <s v="Test Times Series Plotter with Dev"/>
    <s v="David Covey"/>
    <d v="2009-04-29T00:00:00"/>
    <n v="0"/>
    <n v="0"/>
    <x v="3"/>
  </r>
  <r>
    <s v="10.1.2"/>
    <x v="17"/>
    <x v="4"/>
    <m/>
    <m/>
    <s v="Radial / Totoro / Other"/>
    <s v="Automatically update ratings from Bloomberg"/>
    <s v="Friedel"/>
    <d v="2009-04-14T00:00:00"/>
    <n v="0"/>
    <n v="0"/>
    <x v="3"/>
  </r>
  <r>
    <s v="10.1.1"/>
    <x v="17"/>
    <x v="4"/>
    <m/>
    <m/>
    <s v="Radial / Totoro / Other"/>
    <s v="Modify Radial to show factored positions"/>
    <s v="David Covey"/>
    <d v="2009-04-23T00:00:00"/>
    <n v="0"/>
    <n v="0"/>
    <x v="3"/>
  </r>
  <r>
    <s v="10.1.5"/>
    <x v="17"/>
    <x v="4"/>
    <m/>
    <m/>
    <s v="Radial / Totoro / Other"/>
    <s v="Fix Radial Position for factored bond on trade day"/>
    <s v="Neil"/>
    <d v="2009-04-30T00:00:00"/>
    <n v="0"/>
    <n v="0"/>
    <x v="3"/>
  </r>
  <r>
    <s v="05.05.1"/>
    <x v="18"/>
    <x v="4"/>
    <m/>
    <m/>
    <s v="Loan level data"/>
    <s v="Add 2 fields to Mapping sheets and data base - not needed"/>
    <s v="David Covey"/>
    <d v="2009-06-30T00:00:00"/>
    <n v="0"/>
    <n v="0"/>
    <x v="3"/>
  </r>
  <r>
    <s v="04.3"/>
    <x v="18"/>
    <x v="4"/>
    <m/>
    <m/>
    <s v="Matrix Pricing Application"/>
    <s v="Review application and feed back comments"/>
    <s v="Neil"/>
    <d v="2009-04-23T00:00:00"/>
    <n v="0"/>
    <n v="0"/>
    <x v="3"/>
  </r>
  <r>
    <s v="08.01.6"/>
    <x v="19"/>
    <x v="4"/>
    <d v="2010-07-10T00:00:00"/>
    <m/>
    <s v="Production Environment"/>
    <s v="Better SAS Tools"/>
    <s v="Danny"/>
    <d v="2010-06-23T00:00:00"/>
    <n v="0.5"/>
    <s v="Enhancement"/>
    <x v="3"/>
  </r>
  <r>
    <s v="07.3.1"/>
    <x v="20"/>
    <x v="4"/>
    <m/>
    <m/>
    <s v="Development Environment"/>
    <s v="Component One Licenses for Mumbai"/>
    <s v="Neil"/>
    <d v="2009-04-14T00:00:00"/>
    <n v="0"/>
    <n v="0"/>
    <x v="3"/>
  </r>
  <r>
    <s v="10.3.3"/>
    <x v="21"/>
    <x v="1"/>
    <m/>
    <m/>
    <s v="Radial / Totoro / Other"/>
    <s v="RDM/QDB enhancements for ABS"/>
    <s v="David Covey"/>
    <d v="2010-01-22T00:00:00"/>
    <n v="0"/>
    <s v="Enhancement"/>
    <x v="0"/>
  </r>
  <r>
    <s v="21.5.7"/>
    <x v="22"/>
    <x v="0"/>
    <d v="2010-08-12T00:00:00"/>
    <m/>
    <s v="Collateral Model"/>
    <s v="Model2Intex: Initial Team review"/>
    <s v="Neil"/>
    <d v="2010-11-01T00:00:00"/>
    <n v="1"/>
    <s v="NewDevelopment"/>
    <x v="3"/>
  </r>
  <r>
    <s v="21.3.8"/>
    <x v="22"/>
    <x v="1"/>
    <d v="2010-07-21T00:00:00"/>
    <m/>
    <s v="Collateral Model"/>
    <s v="ModelCashflows: Team review"/>
    <s v="Neil"/>
    <d v="2010-06-24T00:00:00"/>
    <n v="1"/>
    <s v="NewDevelopment"/>
    <x v="1"/>
  </r>
  <r>
    <s v="01.3.14"/>
    <x v="22"/>
    <x v="6"/>
    <m/>
    <m/>
    <s v="Deals Database"/>
    <s v="Various DealsDB clean up for end of 2010 Outlook report"/>
    <s v="Ajay"/>
    <d v="2010-12-08T00:00:00"/>
    <n v="5"/>
    <s v="Support"/>
    <x v="0"/>
  </r>
  <r>
    <s v="19.2"/>
    <x v="22"/>
    <x v="0"/>
    <m/>
    <m/>
    <s v="Support"/>
    <s v="Daily deal DB refresh"/>
    <s v="Neil"/>
    <d v="2009-11-18T00:00:00"/>
    <n v="13"/>
    <s v="Support"/>
    <x v="3"/>
  </r>
  <r>
    <s v="19.3"/>
    <x v="22"/>
    <x v="0"/>
    <m/>
    <m/>
    <s v="Support"/>
    <s v="Loan Level data, queries and uploads"/>
    <s v="Neil"/>
    <d v="2009-11-18T00:00:00"/>
    <n v="26"/>
    <s v="Support"/>
    <x v="5"/>
  </r>
  <r>
    <s v="21.5.10"/>
    <x v="22"/>
    <x v="1"/>
    <m/>
    <m/>
    <s v="Collateral Model"/>
    <s v="Model2Intex: Final review"/>
    <s v="Neil"/>
    <d v="2010-11-01T00:00:00"/>
    <n v="1"/>
    <s v="NewDevelopment"/>
    <x v="1"/>
  </r>
  <r>
    <s v="02.4.4"/>
    <x v="22"/>
    <x v="1"/>
    <m/>
    <m/>
    <s v="Intex"/>
    <s v="Intex Wrapper: Review and agree implementation"/>
    <s v="Neil"/>
    <d v="2010-02-09T00:00:00"/>
    <n v="2"/>
    <s v="NewDevelopment"/>
    <x v="1"/>
  </r>
  <r>
    <s v="10.5.5"/>
    <x v="22"/>
    <x v="4"/>
    <m/>
    <m/>
    <s v="Radial / Totoro / Other"/>
    <s v="BBG Rates: Code Review"/>
    <s v="Neil"/>
    <d v="2010-09-08T00:00:00"/>
    <n v="1"/>
    <s v="NewDevelopment"/>
    <x v="3"/>
  </r>
  <r>
    <s v="25.1.5"/>
    <x v="22"/>
    <x v="4"/>
    <d v="2010-09-24T00:00:00"/>
    <m/>
    <s v="Markit"/>
    <s v="Market1: Review"/>
    <s v="Neil"/>
    <d v="2010-09-08T00:00:00"/>
    <n v="1"/>
    <s v="NewDevelopment"/>
    <x v="3"/>
  </r>
  <r>
    <s v="05.21.6"/>
    <x v="22"/>
    <x v="4"/>
    <m/>
    <m/>
    <s v="Loan level data"/>
    <s v="LoanHandling: Team Review and incorporate comments"/>
    <s v="Neil"/>
    <d v="2010-07-29T00:00:00"/>
    <n v="3"/>
    <s v="NewDevelopment"/>
    <x v="3"/>
  </r>
  <r>
    <s v="21.4.5"/>
    <x v="22"/>
    <x v="4"/>
    <d v="2010-07-21T00:00:00"/>
    <m/>
    <s v="Collateral Model"/>
    <s v="IntexCduPss: Review Implementation"/>
    <s v="Neil"/>
    <d v="2010-07-02T00:00:00"/>
    <n v="0.5"/>
    <s v="NewDevelopment"/>
    <x v="3"/>
  </r>
  <r>
    <s v="09.4.5"/>
    <x v="22"/>
    <x v="4"/>
    <d v="2010-09-06T00:00:00"/>
    <m/>
    <s v="Nomura Now"/>
    <s v="NN RRA: Code review"/>
    <s v="Neil"/>
    <d v="2010-08-20T00:00:00"/>
    <n v="1"/>
    <s v="NewDevelopment"/>
    <x v="3"/>
  </r>
  <r>
    <s v="09.4.2"/>
    <x v="22"/>
    <x v="4"/>
    <d v="2010-08-25T00:00:00"/>
    <m/>
    <s v="Nomura Now"/>
    <s v="NN RRA: Review Design"/>
    <s v="Neil"/>
    <d v="2010-08-20T00:00:00"/>
    <n v="1"/>
    <s v="NewDevelopment"/>
    <x v="3"/>
  </r>
  <r>
    <s v="24.1.5"/>
    <x v="22"/>
    <x v="4"/>
    <d v="2010-08-19T00:00:00"/>
    <m/>
    <s v="Client Tracker"/>
    <s v="ClientTracker: Review Implementation"/>
    <s v="Neil"/>
    <d v="2010-06-24T00:00:00"/>
    <n v="1"/>
    <s v="NewDevelopment"/>
    <x v="3"/>
  </r>
  <r>
    <s v="24.1.3"/>
    <x v="22"/>
    <x v="4"/>
    <d v="2010-06-30T00:00:00"/>
    <m/>
    <s v="Client Tracker"/>
    <s v="ClientTracker: Review Design"/>
    <s v="Neil"/>
    <d v="2010-06-24T00:00:00"/>
    <n v="1"/>
    <s v="NewDevelopment"/>
    <x v="3"/>
  </r>
  <r>
    <s v="19.1"/>
    <x v="22"/>
    <x v="4"/>
    <d v="2010-08-11T00:00:00"/>
    <m/>
    <s v="Support"/>
    <s v="Totoro support for finance"/>
    <s v="Friedel"/>
    <d v="2009-11-03T00:00:00"/>
    <n v="5.2"/>
    <s v="Support"/>
    <x v="3"/>
  </r>
  <r>
    <s v="19.4"/>
    <x v="22"/>
    <x v="4"/>
    <m/>
    <m/>
    <s v="Support"/>
    <s v="Adding bonds"/>
    <s v="Neil"/>
    <d v="2009-11-18T00:00:00"/>
    <n v="6.5"/>
    <s v="Support"/>
    <x v="3"/>
  </r>
  <r>
    <s v="21.3.3"/>
    <x v="22"/>
    <x v="4"/>
    <d v="2010-07-03T00:00:00"/>
    <m/>
    <s v="Collateral Model"/>
    <s v="ModelCashflows: Review initial design"/>
    <s v="Neil"/>
    <d v="2010-06-24T00:00:00"/>
    <n v="2"/>
    <s v="NewDevelopment"/>
    <x v="3"/>
  </r>
  <r>
    <s v="21.2.4"/>
    <x v="22"/>
    <x v="4"/>
    <m/>
    <m/>
    <s v="Collateral Model"/>
    <s v="Collateral Model: Review and agree implementation"/>
    <s v="Neil"/>
    <d v="2010-02-09T00:00:00"/>
    <n v="2"/>
    <n v="0"/>
    <x v="3"/>
  </r>
  <r>
    <s v="02.4.2"/>
    <x v="22"/>
    <x v="4"/>
    <m/>
    <m/>
    <s v="Intex"/>
    <s v="Intex Wrapper: Review and agree design"/>
    <s v="Neil"/>
    <d v="2010-02-09T00:00:00"/>
    <n v="2"/>
    <n v="0"/>
    <x v="3"/>
  </r>
  <r>
    <s v="21.2.2"/>
    <x v="22"/>
    <x v="4"/>
    <m/>
    <n v="1"/>
    <s v="Collateral Model"/>
    <s v="Collateral Model: Review and agree design"/>
    <s v="Neil"/>
    <d v="2010-02-23T00:00:00"/>
    <n v="2"/>
    <n v="0"/>
    <x v="3"/>
  </r>
  <r>
    <s v="01.3.11"/>
    <x v="23"/>
    <x v="2"/>
    <m/>
    <m/>
    <s v="Deals Database"/>
    <s v="Correct date issues for LegalMaturity and First Settlement"/>
    <s v="David"/>
    <d v="2010-04-15T00:00:00"/>
    <n v="1"/>
    <s v="Maintenance"/>
    <x v="0"/>
  </r>
  <r>
    <m/>
    <x v="24"/>
    <x v="7"/>
    <m/>
    <m/>
    <m/>
    <m/>
    <m/>
    <m/>
    <m/>
    <m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4">
  <location ref="A4:F11" firstHeaderRow="1" firstDataRow="2" firstDataCol="1" rowPageCount="1" colPageCount="1"/>
  <pivotFields count="15">
    <pivotField dataField="1" numFmtId="165" showAll="0"/>
    <pivotField axis="axisPage" numFmtId="165" showAll="0">
      <items count="28">
        <item x="20"/>
        <item x="18"/>
        <item x="17"/>
        <item x="16"/>
        <item x="15"/>
        <item x="14"/>
        <item x="10"/>
        <item x="9"/>
        <item x="7"/>
        <item x="6"/>
        <item x="5"/>
        <item x="3"/>
        <item x="1"/>
        <item x="24"/>
        <item x="22"/>
        <item x="13"/>
        <item x="0"/>
        <item m="1" x="25"/>
        <item m="1" x="26"/>
        <item x="11"/>
        <item x="23"/>
        <item x="21"/>
        <item x="4"/>
        <item x="2"/>
        <item x="19"/>
        <item x="12"/>
        <item x="8"/>
        <item t="default"/>
      </items>
    </pivotField>
    <pivotField axis="axisRow" numFmtId="165" showAll="0">
      <items count="13">
        <item m="1" x="11"/>
        <item x="3"/>
        <item x="2"/>
        <item m="1" x="8"/>
        <item x="1"/>
        <item x="0"/>
        <item h="1" x="4"/>
        <item h="1" x="7"/>
        <item x="6"/>
        <item h="1" m="1" x="10"/>
        <item h="1" x="5"/>
        <item h="1" m="1" x="9"/>
        <item t="default"/>
      </items>
    </pivotField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 defaultSubtotal="0"/>
    <pivotField numFmtId="165" showAll="0" defaultSubtotal="0"/>
    <pivotField axis="axisCol" numFmtId="165" showAll="0">
      <items count="9">
        <item x="2"/>
        <item x="1"/>
        <item x="0"/>
        <item m="1" x="7"/>
        <item h="1" x="3"/>
        <item h="1" x="6"/>
        <item x="5"/>
        <item h="1" x="4"/>
        <item t="default"/>
      </items>
    </pivotField>
    <pivotField numFmtId="165" showAll="0" defaultSubtotal="0"/>
    <pivotField numFmtId="165" showAll="0"/>
    <pivotField numFmtId="165" showAll="0"/>
  </pivotFields>
  <rowFields count="1">
    <field x="2"/>
  </rowFields>
  <rowItems count="6">
    <i>
      <x v="1"/>
    </i>
    <i>
      <x v="2"/>
    </i>
    <i>
      <x v="4"/>
    </i>
    <i>
      <x v="5"/>
    </i>
    <i>
      <x v="8"/>
    </i>
    <i t="grand">
      <x/>
    </i>
  </rowItems>
  <colFields count="1">
    <field x="11"/>
  </colFields>
  <colItems count="5">
    <i>
      <x/>
    </i>
    <i>
      <x v="1"/>
    </i>
    <i>
      <x v="2"/>
    </i>
    <i>
      <x v="6"/>
    </i>
    <i t="grand">
      <x/>
    </i>
  </colItems>
  <pageFields count="1">
    <pageField fld="1" hier="-1"/>
  </pageFields>
  <dataFields count="1">
    <dataField name="Count of Item" fld="0" subtotal="count" baseField="0" baseItem="0" numFmtId="165"/>
  </dataFields>
  <formats count="2">
    <format dxfId="8">
      <pivotArea dataOnly="0" fieldPosition="0">
        <references count="1">
          <reference field="2" count="0"/>
        </references>
      </pivotArea>
    </format>
    <format dxfId="7">
      <pivotArea grandRow="1" outline="0" collapsedLevelsAreSubtotals="1" fieldPosition="0"/>
    </format>
  </formats>
  <chartFormats count="1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6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48:B51" firstHeaderRow="1" firstDataRow="1" firstDataCol="1" rowPageCount="1" colPageCount="1"/>
  <pivotFields count="15">
    <pivotField dataField="1" showAll="0"/>
    <pivotField multipleItemSelectionAllowed="1" showAll="0"/>
    <pivotField showAll="0"/>
    <pivotField showAll="0"/>
    <pivotField showAll="0"/>
    <pivotField showAll="0"/>
    <pivotField showAll="0"/>
    <pivotField showAll="0"/>
    <pivotField numFmtId="15" showAll="0"/>
    <pivotField numFmtId="167" showAll="0"/>
    <pivotField axis="axisRow" showAll="0">
      <items count="8">
        <item h="1" x="4"/>
        <item x="2"/>
        <item x="1"/>
        <item h="1" x="0"/>
        <item h="1" x="5"/>
        <item h="1" x="6"/>
        <item h="1" x="3"/>
        <item t="default"/>
      </items>
    </pivotField>
    <pivotField axis="axisPage" multipleItemSelectionAllowed="1" showAll="0">
      <items count="8">
        <item h="1" x="3"/>
        <item h="1" x="4"/>
        <item h="1" x="0"/>
        <item x="1"/>
        <item h="1" x="6"/>
        <item h="1" x="2"/>
        <item h="1" x="5"/>
        <item t="default"/>
      </items>
    </pivotField>
    <pivotField numFmtId="165" showAll="0"/>
    <pivotField numFmtId="1" showAll="0"/>
    <pivotField numFmtId="1" showAll="0"/>
  </pivotFields>
  <rowFields count="1">
    <field x="10"/>
  </rowFields>
  <rowItems count="3">
    <i>
      <x v="1"/>
    </i>
    <i>
      <x v="2"/>
    </i>
    <i t="grand">
      <x/>
    </i>
  </rowItems>
  <colItems count="1">
    <i/>
  </colItems>
  <pageFields count="1">
    <pageField fld="11" hier="-1"/>
  </pageFields>
  <dataFields count="1">
    <dataField name="Count of Item" fld="0" subtotal="count" baseField="0" baseItem="0" numFmtId="165"/>
  </dataFields>
  <formats count="2">
    <format dxfId="10">
      <pivotArea grandRow="1" outline="0" collapsedLevelsAreSubtotals="1" fieldPosition="0"/>
    </format>
    <format dxfId="9">
      <pivotArea outline="0" collapsedLevelsAreSubtotals="1" fieldPosition="0"/>
    </format>
  </formats>
  <chartFormats count="1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37:D42" firstHeaderRow="1" firstDataRow="2" firstDataCol="1" rowPageCount="1" colPageCount="1"/>
  <pivotFields count="15">
    <pivotField dataField="1" showAll="0"/>
    <pivotField axis="axisPage" multipleItemSelectionAllowed="1" showAll="0">
      <items count="22">
        <item h="1" m="1" x="13"/>
        <item h="1" m="1" x="15"/>
        <item h="1" m="1" x="18"/>
        <item h="1" m="1" x="17"/>
        <item h="1" m="1" x="14"/>
        <item h="1" m="1" x="12"/>
        <item h="1" m="1" x="20"/>
        <item h="1" m="1" x="10"/>
        <item h="1" m="1" x="16"/>
        <item h="1" m="1" x="11"/>
        <item h="1" m="1" x="19"/>
        <item h="1" x="9"/>
        <item x="8"/>
        <item x="7"/>
        <item h="1" x="6"/>
        <item x="5"/>
        <item x="4"/>
        <item h="1" x="3"/>
        <item h="1" x="2"/>
        <item h="1" x="1"/>
        <item h="1" x="0"/>
        <item t="default"/>
      </items>
    </pivotField>
    <pivotField axis="axisRow" showAll="0">
      <items count="9">
        <item h="1" x="4"/>
        <item h="1" m="1" x="7"/>
        <item h="1" x="5"/>
        <item h="1" x="3"/>
        <item h="1" x="1"/>
        <item x="2"/>
        <item x="0"/>
        <item x="6"/>
        <item t="default"/>
      </items>
    </pivotField>
    <pivotField showAll="0"/>
    <pivotField showAll="0"/>
    <pivotField showAll="0"/>
    <pivotField showAll="0"/>
    <pivotField showAll="0"/>
    <pivotField numFmtId="15" showAll="0"/>
    <pivotField numFmtId="167" showAll="0"/>
    <pivotField showAll="0"/>
    <pivotField axis="axisCol" showAll="0">
      <items count="8">
        <item x="3"/>
        <item x="4"/>
        <item x="0"/>
        <item x="1"/>
        <item x="6"/>
        <item x="2"/>
        <item x="5"/>
        <item t="default"/>
      </items>
    </pivotField>
    <pivotField numFmtId="165" showAll="0"/>
    <pivotField numFmtId="1" showAll="0"/>
    <pivotField numFmtId="1" showAll="0"/>
  </pivotFields>
  <rowFields count="1">
    <field x="2"/>
  </rowFields>
  <rowItems count="4">
    <i>
      <x v="5"/>
    </i>
    <i>
      <x v="6"/>
    </i>
    <i>
      <x v="7"/>
    </i>
    <i t="grand">
      <x/>
    </i>
  </rowItems>
  <colFields count="1">
    <field x="11"/>
  </colFields>
  <colItems count="3">
    <i>
      <x v="2"/>
    </i>
    <i>
      <x v="3"/>
    </i>
    <i t="grand">
      <x/>
    </i>
  </colItems>
  <pageFields count="1">
    <pageField fld="1" hier="-1"/>
  </pageFields>
  <dataFields count="1">
    <dataField name="Count of Item" fld="0" subtotal="count" baseField="0" baseItem="0" numFmtId="165"/>
  </dataFields>
  <formats count="3">
    <format dxfId="13">
      <pivotArea collapsedLevelsAreSubtotals="1" fieldPosition="0">
        <references count="1">
          <reference field="2" count="0"/>
        </references>
      </pivotArea>
    </format>
    <format dxfId="12">
      <pivotArea grandRow="1" outline="0" collapsedLevelsAreSubtotals="1" fieldPosition="0"/>
    </format>
    <format dxfId="11">
      <pivotArea outline="0" collapsedLevelsAreSubtotals="1" fieldPosition="0"/>
    </format>
  </format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H4:M11" firstHeaderRow="1" firstDataRow="2" firstDataCol="1" rowPageCount="1" colPageCount="1"/>
  <pivotFields count="12">
    <pivotField numFmtId="165" showAll="0"/>
    <pivotField axis="axisPage" numFmtId="165" showAll="0">
      <items count="28">
        <item x="22"/>
        <item x="20"/>
        <item x="18"/>
        <item x="17"/>
        <item x="16"/>
        <item x="15"/>
        <item x="14"/>
        <item x="13"/>
        <item x="10"/>
        <item x="9"/>
        <item x="7"/>
        <item x="6"/>
        <item x="5"/>
        <item x="3"/>
        <item x="1"/>
        <item x="24"/>
        <item x="0"/>
        <item m="1" x="25"/>
        <item m="1" x="26"/>
        <item x="11"/>
        <item x="23"/>
        <item x="21"/>
        <item x="4"/>
        <item x="2"/>
        <item x="19"/>
        <item x="12"/>
        <item x="8"/>
        <item t="default"/>
      </items>
    </pivotField>
    <pivotField axis="axisRow" numFmtId="165" showAll="0">
      <items count="12">
        <item h="1" x="4"/>
        <item x="3"/>
        <item x="2"/>
        <item x="1"/>
        <item x="0"/>
        <item x="6"/>
        <item h="1" x="7"/>
        <item m="1" x="10"/>
        <item h="1" m="1" x="9"/>
        <item h="1" x="5"/>
        <item h="1" m="1" x="8"/>
        <item t="default"/>
      </items>
    </pivotField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  <pivotField numFmtId="165" showAll="0" defaultSubtotal="0"/>
    <pivotField axis="axisCol" numFmtId="165" showAll="0">
      <items count="9">
        <item h="1" x="3"/>
        <item x="2"/>
        <item x="1"/>
        <item x="0"/>
        <item m="1" x="7"/>
        <item h="1" x="6"/>
        <item x="5"/>
        <item h="1" x="4"/>
        <item t="default"/>
      </items>
    </pivotField>
  </pivotFields>
  <rowFields count="1"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11"/>
  </colFields>
  <colItems count="5">
    <i>
      <x v="1"/>
    </i>
    <i>
      <x v="2"/>
    </i>
    <i>
      <x v="3"/>
    </i>
    <i>
      <x v="6"/>
    </i>
    <i t="grand">
      <x/>
    </i>
  </colItems>
  <pageFields count="1">
    <pageField fld="1" hier="-1"/>
  </pageFields>
  <dataFields count="1">
    <dataField name="Sum of Effort (days)" fld="9" baseField="0" baseItem="0" numFmtId="2"/>
  </dataFields>
  <formats count="1">
    <format dxfId="14">
      <pivotArea outline="0" collapsedLevelsAreSubtotals="1" fieldPosition="0"/>
    </format>
  </format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6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outlinePr summaryRight="0"/>
    <pageSetUpPr fitToPage="1"/>
  </sheetPr>
  <dimension ref="A1:P998"/>
  <sheetViews>
    <sheetView tabSelected="1" topLeftCell="A694" workbookViewId="0">
      <selection activeCell="A826" sqref="A826"/>
    </sheetView>
  </sheetViews>
  <sheetFormatPr defaultRowHeight="12.75" outlineLevelRow="1"/>
  <cols>
    <col min="1" max="1" width="9.140625" style="46"/>
    <col min="2" max="2" width="3.28515625" style="1" customWidth="1"/>
    <col min="3" max="3" width="49.5703125" style="42" customWidth="1"/>
    <col min="4" max="4" width="18.28515625" style="1" customWidth="1"/>
    <col min="5" max="5" width="13.5703125" style="24" customWidth="1"/>
    <col min="6" max="6" width="13.5703125" style="25" customWidth="1"/>
    <col min="7" max="7" width="15.28515625" style="25" bestFit="1" customWidth="1"/>
    <col min="8" max="8" width="11.140625" style="37" customWidth="1"/>
    <col min="9" max="9" width="12.7109375" style="38" customWidth="1"/>
    <col min="10" max="10" width="15.5703125" style="39" customWidth="1"/>
    <col min="11" max="11" width="12.140625" style="39" customWidth="1"/>
    <col min="12" max="12" width="12.140625" style="40" customWidth="1"/>
    <col min="13" max="13" width="8.85546875" style="58" bestFit="1" customWidth="1"/>
    <col min="14" max="16384" width="9.140625" style="1"/>
  </cols>
  <sheetData>
    <row r="1" spans="1:14" s="2" customFormat="1">
      <c r="A1" s="29" t="s">
        <v>16</v>
      </c>
      <c r="C1" s="30" t="s">
        <v>0</v>
      </c>
      <c r="D1" s="2" t="s">
        <v>8</v>
      </c>
      <c r="E1" s="2" t="s">
        <v>60</v>
      </c>
      <c r="F1" s="23" t="s">
        <v>686</v>
      </c>
      <c r="G1" s="23" t="s">
        <v>1097</v>
      </c>
      <c r="H1" s="31" t="s">
        <v>62</v>
      </c>
      <c r="I1" s="32" t="s">
        <v>4</v>
      </c>
      <c r="J1" s="33" t="s">
        <v>2</v>
      </c>
      <c r="K1" s="33" t="s">
        <v>6</v>
      </c>
      <c r="L1" s="34" t="s">
        <v>61</v>
      </c>
      <c r="M1" s="57" t="s">
        <v>319</v>
      </c>
      <c r="N1" s="5" t="s">
        <v>1263</v>
      </c>
    </row>
    <row r="2" spans="1:14" ht="15.75">
      <c r="A2" s="35" t="s">
        <v>118</v>
      </c>
      <c r="B2" s="1" t="s">
        <v>15</v>
      </c>
      <c r="C2" s="36" t="s">
        <v>18</v>
      </c>
      <c r="H2" s="37" t="str">
        <f ca="1">IF(AND(B2="",NOT(A2="")),VLOOKUP(A2,TaskPlan!A:M,11,FALSE),"")</f>
        <v/>
      </c>
      <c r="I2" s="38" t="str">
        <f ca="1">IF(AND(B2="",NOT(A2="")),VLOOKUP(A2,TaskPlan!A:L,10,FALSE),"")</f>
        <v/>
      </c>
      <c r="J2" s="39" t="str">
        <f ca="1">IF(AND(B2="",NOT(A2="")),VLOOKUP(A2,TaskPlan!A:L,2,FALSE),"")</f>
        <v/>
      </c>
      <c r="K2" s="39" t="str">
        <f ca="1">IF(AND(B2="",NOT(A2="")),IF(NOT(LEFT(VLOOKUP(A2,TaskPlan!A:L,3,FALSE),1) = "0"),VLOOKUP(A2,TaskPlan!A:L,3,FALSE),""),"")</f>
        <v/>
      </c>
      <c r="L2" s="55" t="str">
        <f ca="1">IF(AND(B2="",NOT(A2="")),IF(NOT(LEFT(VLOOKUP(A2,TaskPlan!A:L,3,FALSE),1) = "0"),VLOOKUP(A2,TaskPlan!A:M,4,FALSE),""),"")</f>
        <v/>
      </c>
      <c r="M2" s="58">
        <f ca="1">IF(B2=".",1,IF(AND(B2="",NOT(A2="")),IF(VLOOKUP(A2,TaskPlan!A:L,5,FALSE)&gt;0,VLOOKUP(A2,TaskPlan!A:L,5,FALSE),""),""))</f>
        <v>1</v>
      </c>
      <c r="N2" s="1" t="str">
        <f ca="1">IF(ISNA(VLOOKUP(A2,Projects!B:B,1,FALSE)),"","Yes")</f>
        <v/>
      </c>
    </row>
    <row r="3" spans="1:14">
      <c r="A3" s="43" t="s">
        <v>119</v>
      </c>
      <c r="B3" s="7" t="s">
        <v>15</v>
      </c>
      <c r="C3" s="45" t="s">
        <v>174</v>
      </c>
      <c r="L3" s="55"/>
    </row>
    <row r="4" spans="1:14" ht="25.5" hidden="1" outlineLevel="1">
      <c r="A4" s="43" t="s">
        <v>138</v>
      </c>
      <c r="C4" s="42" t="s">
        <v>19</v>
      </c>
      <c r="D4" s="1" t="s">
        <v>9</v>
      </c>
      <c r="E4" s="26">
        <v>39911</v>
      </c>
      <c r="H4" s="37">
        <f ca="1">IF(AND(B4="",NOT(A4="")),VLOOKUP(A4,TaskPlan!A:M,13,FALSE),"")</f>
        <v>40135</v>
      </c>
      <c r="I4" s="38" t="str">
        <f ca="1">IF(AND(B4="",NOT(A4="")),VLOOKUP(A4,TaskPlan!A:M,12,FALSE),"")</f>
        <v>Closed</v>
      </c>
      <c r="J4" s="39" t="str">
        <f ca="1">IF(AND(B4="",NOT(A4="")),VLOOKUP(A4,TaskPlan!A:L,2,FALSE),"")</f>
        <v>Neil</v>
      </c>
      <c r="K4" s="39" t="str">
        <f ca="1">IF(AND(B4="",NOT(A4="")),IF(NOT(LEFT(VLOOKUP(A4,TaskPlan!A:L,3,FALSE),1) = "0"),VLOOKUP(A4,TaskPlan!A:L,3,FALSE),""),"")</f>
        <v/>
      </c>
      <c r="L4" s="55" t="str">
        <f ca="1">IF(AND(B4="",NOT(A4="")),IF(NOT(LEFT(VLOOKUP(A4,TaskPlan!A:L,3,FALSE),1) = "0"),VLOOKUP(A4,TaskPlan!A:M,4,FALSE),""),"")</f>
        <v/>
      </c>
      <c r="M4" s="58" t="str">
        <f ca="1">IF(B4=".",1,IF(AND(B4="",NOT(A4="")),IF(VLOOKUP(A4,TaskPlan!A:L,5,FALSE)&gt;0,VLOOKUP(A4,TaskPlan!A:L,5,FALSE),""),""))</f>
        <v/>
      </c>
      <c r="N4" s="1" t="str">
        <f ca="1">IF(ISNA(VLOOKUP(A4,Projects!B:B,1,FALSE)),"","Yes")</f>
        <v/>
      </c>
    </row>
    <row r="5" spans="1:14" ht="25.5" hidden="1" outlineLevel="1">
      <c r="A5" s="43" t="s">
        <v>176</v>
      </c>
      <c r="C5" s="44" t="s">
        <v>749</v>
      </c>
      <c r="D5" s="7" t="s">
        <v>9</v>
      </c>
      <c r="E5" s="26">
        <v>39932</v>
      </c>
      <c r="H5" s="37">
        <f ca="1">IF(AND(B5="",NOT(A5="")),VLOOKUP(A5,TaskPlan!A:M,13,FALSE),"")</f>
        <v>39932</v>
      </c>
      <c r="I5" s="38" t="str">
        <f ca="1">IF(AND(B5="",NOT(A5="")),VLOOKUP(A5,TaskPlan!A:M,12,FALSE),"")</f>
        <v>Closed</v>
      </c>
      <c r="J5" s="39" t="str">
        <f ca="1">IF(AND(B5="",NOT(A5="")),VLOOKUP(A5,TaskPlan!A:L,2,FALSE),"")</f>
        <v>Neil</v>
      </c>
      <c r="K5" s="39" t="str">
        <f ca="1">IF(AND(B5="",NOT(A5="")),IF(NOT(LEFT(VLOOKUP(A5,TaskPlan!A:L,3,FALSE),1) = "0"),VLOOKUP(A5,TaskPlan!A:L,3,FALSE),""),"")</f>
        <v/>
      </c>
      <c r="L5" s="55" t="str">
        <f ca="1">IF(AND(B5="",NOT(A5="")),IF(NOT(LEFT(VLOOKUP(A5,TaskPlan!A:L,3,FALSE),1) = "0"),VLOOKUP(A5,TaskPlan!A:M,4,FALSE),""),"")</f>
        <v/>
      </c>
      <c r="M5" s="58" t="str">
        <f ca="1">IF(B5=".",1,IF(AND(B5="",NOT(A5="")),IF(VLOOKUP(A5,TaskPlan!A:L,5,FALSE)&gt;0,VLOOKUP(A5,TaskPlan!A:L,5,FALSE),""),""))</f>
        <v/>
      </c>
      <c r="N5" s="1" t="str">
        <f ca="1">IF(ISNA(VLOOKUP(A5,Projects!B:B,1,FALSE)),"","Yes")</f>
        <v/>
      </c>
    </row>
    <row r="6" spans="1:14" hidden="1" outlineLevel="1">
      <c r="A6" s="43" t="s">
        <v>1961</v>
      </c>
      <c r="C6" s="44" t="s">
        <v>175</v>
      </c>
      <c r="D6" s="7" t="s">
        <v>11</v>
      </c>
      <c r="E6" s="26">
        <v>39945</v>
      </c>
      <c r="H6" s="37">
        <f ca="1">IF(AND(B6="",NOT(A6="")),VLOOKUP(A6,TaskPlan!A:M,13,FALSE),"")</f>
        <v>39945</v>
      </c>
      <c r="I6" s="38" t="str">
        <f ca="1">IF(AND(B6="",NOT(A6="")),VLOOKUP(A6,TaskPlan!A:M,12,FALSE),"")</f>
        <v>Closed</v>
      </c>
      <c r="J6" s="39" t="str">
        <f ca="1">IF(AND(B6="",NOT(A6="")),VLOOKUP(A6,TaskPlan!A:L,2,FALSE),"")</f>
        <v>Neil</v>
      </c>
      <c r="K6" s="39" t="str">
        <f ca="1">IF(AND(B6="",NOT(A6="")),IF(NOT(LEFT(VLOOKUP(A6,TaskPlan!A:L,3,FALSE),1) = "0"),VLOOKUP(A6,TaskPlan!A:L,3,FALSE),""),"")</f>
        <v/>
      </c>
      <c r="L6" s="55" t="str">
        <f ca="1">IF(AND(B6="",NOT(A6="")),IF(NOT(LEFT(VLOOKUP(A6,TaskPlan!A:L,3,FALSE),1) = "0"),VLOOKUP(A6,TaskPlan!A:M,4,FALSE),""),"")</f>
        <v/>
      </c>
      <c r="M6" s="58" t="str">
        <f ca="1">IF(B6=".",1,IF(AND(B6="",NOT(A6="")),IF(VLOOKUP(A6,TaskPlan!A:L,5,FALSE)&gt;0,VLOOKUP(A6,TaskPlan!A:L,5,FALSE),""),""))</f>
        <v/>
      </c>
      <c r="N6" s="1" t="str">
        <f ca="1">IF(ISNA(VLOOKUP(A6,Projects!B:B,1,FALSE)),"","Yes")</f>
        <v/>
      </c>
    </row>
    <row r="7" spans="1:14" hidden="1" outlineLevel="1">
      <c r="A7" s="43" t="s">
        <v>166</v>
      </c>
      <c r="B7" s="1" t="s">
        <v>15</v>
      </c>
      <c r="C7" s="45" t="s">
        <v>202</v>
      </c>
      <c r="D7" s="7"/>
      <c r="E7" s="26"/>
      <c r="H7" s="37" t="str">
        <f ca="1">IF(AND(B7="",NOT(A7="")),VLOOKUP(A7,TaskPlan!A:M,13,FALSE),"")</f>
        <v/>
      </c>
      <c r="I7" s="38" t="str">
        <f ca="1">IF(AND(B7="",NOT(A7="")),VLOOKUP(A7,TaskPlan!A:M,12,FALSE),"")</f>
        <v/>
      </c>
      <c r="J7" s="39" t="str">
        <f ca="1">IF(AND(B7="",NOT(A7="")),VLOOKUP(A7,TaskPlan!A:L,2,FALSE),"")</f>
        <v/>
      </c>
      <c r="K7" s="39" t="str">
        <f ca="1">IF(AND(B7="",NOT(A7="")),IF(NOT(LEFT(VLOOKUP(A7,TaskPlan!A:L,3,FALSE),1) = "0"),VLOOKUP(A7,TaskPlan!A:L,3,FALSE),""),"")</f>
        <v/>
      </c>
      <c r="L7" s="55" t="str">
        <f ca="1">IF(AND(B7="",NOT(A7="")),IF(NOT(LEFT(VLOOKUP(A7,TaskPlan!A:L,3,FALSE),1) = "0"),VLOOKUP(A7,TaskPlan!A:M,4,FALSE),""),"")</f>
        <v/>
      </c>
      <c r="M7" s="58">
        <f ca="1">IF(B7=".",1,IF(AND(B7="",NOT(A7="")),IF(VLOOKUP(A7,TaskPlan!A:L,5,FALSE)&gt;0,VLOOKUP(A7,TaskPlan!A:L,5,FALSE),""),""))</f>
        <v>1</v>
      </c>
      <c r="N7" s="1" t="str">
        <f ca="1">IF(ISNA(VLOOKUP(A7,Projects!B:B,1,FALSE)),"","Yes")</f>
        <v/>
      </c>
    </row>
    <row r="8" spans="1:14" hidden="1" outlineLevel="1">
      <c r="A8" s="43" t="s">
        <v>556</v>
      </c>
      <c r="C8" s="44" t="s">
        <v>167</v>
      </c>
      <c r="D8" s="7" t="s">
        <v>11</v>
      </c>
      <c r="E8" s="26">
        <v>39944</v>
      </c>
      <c r="H8" s="37">
        <f ca="1">IF(AND(B8="",NOT(A8="")),VLOOKUP(A8,TaskPlan!A:M,13,FALSE),"")</f>
        <v>39948</v>
      </c>
      <c r="I8" s="38" t="str">
        <f ca="1">IF(AND(B8="",NOT(A8="")),VLOOKUP(A8,TaskPlan!A:M,12,FALSE),"")</f>
        <v>Closed</v>
      </c>
      <c r="J8" s="39" t="str">
        <f ca="1">IF(AND(B8="",NOT(A8="")),VLOOKUP(A8,TaskPlan!A:L,2,FALSE),"")</f>
        <v>Neil</v>
      </c>
      <c r="K8" s="39" t="str">
        <f ca="1">IF(AND(B8="",NOT(A8="")),IF(NOT(LEFT(VLOOKUP(A8,TaskPlan!A:L,3,FALSE),1) = "0"),VLOOKUP(A8,TaskPlan!A:L,3,FALSE),""),"")</f>
        <v/>
      </c>
      <c r="L8" s="55" t="str">
        <f ca="1">IF(AND(B8="",NOT(A8="")),IF(NOT(LEFT(VLOOKUP(A8,TaskPlan!A:L,3,FALSE),1) = "0"),VLOOKUP(A8,TaskPlan!A:M,4,FALSE),""),"")</f>
        <v/>
      </c>
      <c r="M8" s="58" t="str">
        <f ca="1">IF(B8=".",1,IF(AND(B8="",NOT(A8="")),IF(VLOOKUP(A8,TaskPlan!A:L,5,FALSE)&gt;0,VLOOKUP(A8,TaskPlan!A:L,5,FALSE),""),""))</f>
        <v/>
      </c>
      <c r="N8" s="1" t="str">
        <f ca="1">IF(ISNA(VLOOKUP(A8,Projects!B:B,1,FALSE)),"","Yes")</f>
        <v/>
      </c>
    </row>
    <row r="9" spans="1:14" hidden="1" outlineLevel="1">
      <c r="A9" s="43" t="s">
        <v>555</v>
      </c>
      <c r="C9" s="44" t="s">
        <v>750</v>
      </c>
      <c r="D9" s="7" t="s">
        <v>45</v>
      </c>
      <c r="E9" s="26">
        <v>39953</v>
      </c>
      <c r="H9" s="37">
        <f ca="1">IF(AND(B9="",NOT(A9="")),VLOOKUP(A9,TaskPlan!A:M,13,FALSE),"")</f>
        <v>40135</v>
      </c>
      <c r="I9" s="38" t="str">
        <f ca="1">IF(AND(B9="",NOT(A9="")),VLOOKUP(A9,TaskPlan!A:M,12,FALSE),"")</f>
        <v>Closed</v>
      </c>
      <c r="J9" s="39" t="str">
        <f ca="1">IF(AND(B9="",NOT(A9="")),VLOOKUP(A9,TaskPlan!A:L,2,FALSE),"")</f>
        <v>Neil</v>
      </c>
      <c r="K9" s="39" t="str">
        <f ca="1">IF(AND(B9="",NOT(A9="")),IF(NOT(LEFT(VLOOKUP(A9,TaskPlan!A:L,3,FALSE),1) = "0"),VLOOKUP(A9,TaskPlan!A:L,3,FALSE),""),"")</f>
        <v/>
      </c>
      <c r="L9" s="55" t="str">
        <f ca="1">IF(AND(B9="",NOT(A9="")),IF(NOT(LEFT(VLOOKUP(A9,TaskPlan!A:L,3,FALSE),1) = "0"),VLOOKUP(A9,TaskPlan!A:M,4,FALSE),""),"")</f>
        <v/>
      </c>
      <c r="M9" s="58" t="str">
        <f ca="1">IF(B9=".",1,IF(AND(B9="",NOT(A9="")),IF(VLOOKUP(A9,TaskPlan!A:L,5,FALSE)&gt;0,VLOOKUP(A9,TaskPlan!A:L,5,FALSE),""),""))</f>
        <v/>
      </c>
      <c r="N9" s="1" t="str">
        <f ca="1">IF(ISNA(VLOOKUP(A9,Projects!B:B,1,FALSE)),"","Yes")</f>
        <v/>
      </c>
    </row>
    <row r="10" spans="1:14" hidden="1" outlineLevel="1">
      <c r="A10" s="43" t="s">
        <v>554</v>
      </c>
      <c r="C10" s="44" t="s">
        <v>206</v>
      </c>
      <c r="D10" s="7" t="s">
        <v>11</v>
      </c>
      <c r="E10" s="26">
        <v>39954</v>
      </c>
      <c r="F10" s="25">
        <v>3</v>
      </c>
      <c r="G10" s="25" t="s">
        <v>1098</v>
      </c>
      <c r="H10" s="37">
        <f ca="1">IF(AND(B10="",NOT(A10="")),VLOOKUP(A10,TaskPlan!A:M,13,FALSE),"")</f>
        <v>40283</v>
      </c>
      <c r="I10" s="38" t="str">
        <f ca="1">IF(AND(B10="",NOT(A10="")),VLOOKUP(A10,TaskPlan!A:M,12,FALSE),"")</f>
        <v>Not Started</v>
      </c>
      <c r="J10" s="39" t="str">
        <f ca="1">IF(AND(B10="",NOT(A10="")),VLOOKUP(A10,TaskPlan!A:L,2,FALSE),"")</f>
        <v>Unassigned</v>
      </c>
      <c r="K10" s="39" t="str">
        <f ca="1">IF(AND(B10="",NOT(A10="")),IF(NOT(LEFT(VLOOKUP(A10,TaskPlan!A:L,3,FALSE),1) = "0"),VLOOKUP(A10,TaskPlan!A:L,3,FALSE),""),"")</f>
        <v>1-LOW</v>
      </c>
      <c r="L10" s="55">
        <f ca="1">IF(AND(B10="",NOT(A10="")),IF(NOT(LEFT(VLOOKUP(A10,TaskPlan!A:L,3,FALSE),1) = "0"),VLOOKUP(A10,TaskPlan!A:M,4,FALSE),""),"")</f>
        <v>0</v>
      </c>
      <c r="M10" s="58" t="str">
        <f ca="1">IF(B10=".",1,IF(AND(B10="",NOT(A10="")),IF(VLOOKUP(A10,TaskPlan!A:L,5,FALSE)&gt;0,VLOOKUP(A10,TaskPlan!A:L,5,FALSE),""),""))</f>
        <v/>
      </c>
      <c r="N10" s="1" t="str">
        <f ca="1">IF(ISNA(VLOOKUP(A10,Projects!B:B,1,FALSE)),"","Yes")</f>
        <v/>
      </c>
    </row>
    <row r="11" spans="1:14" hidden="1" outlineLevel="1">
      <c r="A11" s="43" t="s">
        <v>553</v>
      </c>
      <c r="C11" s="44" t="s">
        <v>207</v>
      </c>
      <c r="D11" s="7" t="s">
        <v>45</v>
      </c>
      <c r="E11" s="26">
        <v>39954</v>
      </c>
      <c r="H11" s="37">
        <f ca="1">IF(AND(B11="",NOT(A11="")),VLOOKUP(A11,TaskPlan!A:M,13,FALSE),"")</f>
        <v>40135</v>
      </c>
      <c r="I11" s="38" t="str">
        <f ca="1">IF(AND(B11="",NOT(A11="")),VLOOKUP(A11,TaskPlan!A:M,12,FALSE),"")</f>
        <v>Closed</v>
      </c>
      <c r="J11" s="39" t="str">
        <f ca="1">IF(AND(B11="",NOT(A11="")),VLOOKUP(A11,TaskPlan!A:L,2,FALSE),"")</f>
        <v>Neil</v>
      </c>
      <c r="K11" s="39" t="str">
        <f ca="1">IF(AND(B11="",NOT(A11="")),IF(NOT(LEFT(VLOOKUP(A11,TaskPlan!A:L,3,FALSE),1) = "0"),VLOOKUP(A11,TaskPlan!A:L,3,FALSE),""),"")</f>
        <v/>
      </c>
      <c r="L11" s="55" t="str">
        <f ca="1">IF(AND(B11="",NOT(A11="")),IF(NOT(LEFT(VLOOKUP(A11,TaskPlan!A:L,3,FALSE),1) = "0"),VLOOKUP(A11,TaskPlan!A:M,4,FALSE),""),"")</f>
        <v/>
      </c>
      <c r="M11" s="58" t="str">
        <f ca="1">IF(B11=".",1,IF(AND(B11="",NOT(A11="")),IF(VLOOKUP(A11,TaskPlan!A:L,5,FALSE)&gt;0,VLOOKUP(A11,TaskPlan!A:L,5,FALSE),""),""))</f>
        <v/>
      </c>
      <c r="N11" s="1" t="str">
        <f ca="1">IF(ISNA(VLOOKUP(A11,Projects!B:B,1,FALSE)),"","Yes")</f>
        <v/>
      </c>
    </row>
    <row r="12" spans="1:14" hidden="1" outlineLevel="1">
      <c r="A12" s="43" t="s">
        <v>552</v>
      </c>
      <c r="C12" s="44" t="s">
        <v>225</v>
      </c>
      <c r="D12" s="7" t="s">
        <v>11</v>
      </c>
      <c r="E12" s="26">
        <v>39960</v>
      </c>
      <c r="H12" s="37">
        <f ca="1">IF(AND(B12="",NOT(A12="")),VLOOKUP(A12,TaskPlan!A:M,13,FALSE),"")</f>
        <v>39972</v>
      </c>
      <c r="I12" s="38" t="str">
        <f ca="1">IF(AND(B12="",NOT(A12="")),VLOOKUP(A12,TaskPlan!A:M,12,FALSE),"")</f>
        <v>Closed</v>
      </c>
      <c r="J12" s="39" t="str">
        <f ca="1">IF(AND(B12="",NOT(A12="")),VLOOKUP(A12,TaskPlan!A:L,2,FALSE),"")</f>
        <v>Neil</v>
      </c>
      <c r="K12" s="39" t="str">
        <f ca="1">IF(AND(B12="",NOT(A12="")),IF(NOT(LEFT(VLOOKUP(A12,TaskPlan!A:L,3,FALSE),1) = "0"),VLOOKUP(A12,TaskPlan!A:L,3,FALSE),""),"")</f>
        <v/>
      </c>
      <c r="L12" s="55" t="str">
        <f ca="1">IF(AND(B12="",NOT(A12="")),IF(NOT(LEFT(VLOOKUP(A12,TaskPlan!A:L,3,FALSE),1) = "0"),VLOOKUP(A12,TaskPlan!A:M,4,FALSE),""),"")</f>
        <v/>
      </c>
      <c r="M12" s="58" t="str">
        <f ca="1">IF(B12=".",1,IF(AND(B12="",NOT(A12="")),IF(VLOOKUP(A12,TaskPlan!A:L,5,FALSE)&gt;0,VLOOKUP(A12,TaskPlan!A:L,5,FALSE),""),""))</f>
        <v/>
      </c>
      <c r="N12" s="1" t="str">
        <f ca="1">IF(ISNA(VLOOKUP(A12,Projects!B:B,1,FALSE)),"","Yes")</f>
        <v/>
      </c>
    </row>
    <row r="13" spans="1:14" hidden="1" outlineLevel="1">
      <c r="A13" s="43" t="s">
        <v>551</v>
      </c>
      <c r="C13" s="44" t="s">
        <v>244</v>
      </c>
      <c r="D13" s="7" t="s">
        <v>11</v>
      </c>
      <c r="E13" s="26">
        <v>39975</v>
      </c>
      <c r="H13" s="37">
        <f ca="1">IF(AND(B13="",NOT(A13="")),VLOOKUP(A13,TaskPlan!A:M,13,FALSE),"")</f>
        <v>39997</v>
      </c>
      <c r="I13" s="38" t="str">
        <f ca="1">IF(AND(B13="",NOT(A13="")),VLOOKUP(A13,TaskPlan!A:M,12,FALSE),"")</f>
        <v>Closed</v>
      </c>
      <c r="J13" s="39" t="str">
        <f ca="1">IF(AND(B13="",NOT(A13="")),VLOOKUP(A13,TaskPlan!A:L,2,FALSE),"")</f>
        <v>Neil</v>
      </c>
      <c r="K13" s="39" t="str">
        <f ca="1">IF(AND(B13="",NOT(A13="")),IF(NOT(LEFT(VLOOKUP(A13,TaskPlan!A:L,3,FALSE),1) = "0"),VLOOKUP(A13,TaskPlan!A:L,3,FALSE),""),"")</f>
        <v/>
      </c>
      <c r="L13" s="55" t="str">
        <f ca="1">IF(AND(B13="",NOT(A13="")),IF(NOT(LEFT(VLOOKUP(A13,TaskPlan!A:L,3,FALSE),1) = "0"),VLOOKUP(A13,TaskPlan!A:M,4,FALSE),""),"")</f>
        <v/>
      </c>
      <c r="M13" s="58" t="str">
        <f ca="1">IF(B13=".",1,IF(AND(B13="",NOT(A13="")),IF(VLOOKUP(A13,TaskPlan!A:L,5,FALSE)&gt;0,VLOOKUP(A13,TaskPlan!A:L,5,FALSE),""),""))</f>
        <v/>
      </c>
      <c r="N13" s="1" t="str">
        <f ca="1">IF(ISNA(VLOOKUP(A13,Projects!B:B,1,FALSE)),"","Yes")</f>
        <v/>
      </c>
    </row>
    <row r="14" spans="1:14" hidden="1" outlineLevel="1">
      <c r="A14" s="43" t="s">
        <v>550</v>
      </c>
      <c r="C14" s="44" t="s">
        <v>1062</v>
      </c>
      <c r="D14" s="1" t="s">
        <v>20</v>
      </c>
      <c r="E14" s="26">
        <v>40283</v>
      </c>
      <c r="F14" s="25">
        <v>3</v>
      </c>
      <c r="G14" s="28" t="s">
        <v>1099</v>
      </c>
      <c r="H14" s="37">
        <f ca="1">IF(AND(B14="",NOT(A14="")),VLOOKUP(A14,TaskPlan!A:M,13,FALSE),"")</f>
        <v>40394</v>
      </c>
      <c r="I14" s="38" t="str">
        <f ca="1">IF(AND(B14="",NOT(A14="")),VLOOKUP(A14,TaskPlan!A:M,12,FALSE),"")</f>
        <v>Cancelled</v>
      </c>
      <c r="J14" s="39" t="str">
        <f ca="1">IF(AND(B14="",NOT(A14="")),VLOOKUP(A14,TaskPlan!A:L,2,FALSE),"")</f>
        <v>Paresh</v>
      </c>
      <c r="K14" s="39" t="str">
        <f ca="1">IF(AND(B14="",NOT(A14="")),IF(NOT(LEFT(VLOOKUP(A14,TaskPlan!A:L,3,FALSE),1) = "0"),VLOOKUP(A14,TaskPlan!A:L,3,FALSE),""),"")</f>
        <v/>
      </c>
      <c r="L14" s="55" t="str">
        <f ca="1">IF(AND(B14="",NOT(A14="")),IF(NOT(LEFT(VLOOKUP(A14,TaskPlan!A:L,3,FALSE),1) = "0"),VLOOKUP(A14,TaskPlan!A:M,4,FALSE),""),"")</f>
        <v/>
      </c>
      <c r="M14" s="58" t="str">
        <f ca="1">IF(B14=".",1,IF(AND(B14="",NOT(A14="")),IF(VLOOKUP(A14,TaskPlan!A:L,5,FALSE)&gt;0,VLOOKUP(A14,TaskPlan!A:L,5,FALSE),""),""))</f>
        <v/>
      </c>
      <c r="N14" s="1" t="str">
        <f ca="1">IF(ISNA(VLOOKUP(A14,Projects!B:B,1,FALSE)),"","Yes")</f>
        <v/>
      </c>
    </row>
    <row r="15" spans="1:14" hidden="1" outlineLevel="1">
      <c r="A15" s="43" t="s">
        <v>549</v>
      </c>
      <c r="C15" s="44" t="s">
        <v>273</v>
      </c>
      <c r="D15" s="7" t="s">
        <v>268</v>
      </c>
      <c r="E15" s="26">
        <v>39975</v>
      </c>
      <c r="H15" s="37">
        <f ca="1">IF(AND(B15="",NOT(A15="")),VLOOKUP(A15,TaskPlan!A:M,13,FALSE),"")</f>
        <v>40011</v>
      </c>
      <c r="I15" s="38" t="str">
        <f ca="1">IF(AND(B15="",NOT(A15="")),VLOOKUP(A15,TaskPlan!A:M,12,FALSE),"")</f>
        <v>Closed</v>
      </c>
      <c r="J15" s="39" t="str">
        <f ca="1">IF(AND(B15="",NOT(A15="")),VLOOKUP(A15,TaskPlan!A:L,2,FALSE),"")</f>
        <v>Neil</v>
      </c>
      <c r="K15" s="39" t="str">
        <f ca="1">IF(AND(B15="",NOT(A15="")),IF(NOT(LEFT(VLOOKUP(A15,TaskPlan!A:L,3,FALSE),1) = "0"),VLOOKUP(A15,TaskPlan!A:L,3,FALSE),""),"")</f>
        <v/>
      </c>
      <c r="L15" s="55" t="str">
        <f ca="1">IF(AND(B15="",NOT(A15="")),IF(NOT(LEFT(VLOOKUP(A15,TaskPlan!A:L,3,FALSE),1) = "0"),VLOOKUP(A15,TaskPlan!A:M,4,FALSE),""),"")</f>
        <v/>
      </c>
      <c r="M15" s="58" t="str">
        <f ca="1">IF(B15=".",1,IF(AND(B15="",NOT(A15="")),IF(VLOOKUP(A15,TaskPlan!A:L,5,FALSE)&gt;0,VLOOKUP(A15,TaskPlan!A:L,5,FALSE),""),""))</f>
        <v/>
      </c>
      <c r="N15" s="1" t="str">
        <f ca="1">IF(ISNA(VLOOKUP(A15,Projects!B:B,1,FALSE)),"","Yes")</f>
        <v/>
      </c>
    </row>
    <row r="16" spans="1:14" ht="25.5" hidden="1" outlineLevel="1">
      <c r="A16" s="43" t="s">
        <v>548</v>
      </c>
      <c r="C16" s="44" t="s">
        <v>308</v>
      </c>
      <c r="D16" s="7" t="s">
        <v>45</v>
      </c>
      <c r="E16" s="26">
        <v>40001</v>
      </c>
      <c r="H16" s="37">
        <f ca="1">IF(AND(B16="",NOT(A16="")),VLOOKUP(A16,TaskPlan!A:M,13,FALSE),"")</f>
        <v>40011</v>
      </c>
      <c r="I16" s="38" t="str">
        <f ca="1">IF(AND(B16="",NOT(A16="")),VLOOKUP(A16,TaskPlan!A:M,12,FALSE),"")</f>
        <v>Closed</v>
      </c>
      <c r="J16" s="39" t="str">
        <f ca="1">IF(AND(B16="",NOT(A16="")),VLOOKUP(A16,TaskPlan!A:L,2,FALSE),"")</f>
        <v>Neil</v>
      </c>
      <c r="K16" s="39" t="str">
        <f ca="1">IF(AND(B16="",NOT(A16="")),IF(NOT(LEFT(VLOOKUP(A16,TaskPlan!A:L,3,FALSE),1) = "0"),VLOOKUP(A16,TaskPlan!A:L,3,FALSE),""),"")</f>
        <v/>
      </c>
      <c r="L16" s="55" t="str">
        <f ca="1">IF(AND(B16="",NOT(A16="")),IF(NOT(LEFT(VLOOKUP(A16,TaskPlan!A:L,3,FALSE),1) = "0"),VLOOKUP(A16,TaskPlan!A:M,4,FALSE),""),"")</f>
        <v/>
      </c>
      <c r="M16" s="58" t="str">
        <f ca="1">IF(B16=".",1,IF(AND(B16="",NOT(A16="")),IF(VLOOKUP(A16,TaskPlan!A:L,5,FALSE)&gt;0,VLOOKUP(A16,TaskPlan!A:L,5,FALSE),""),""))</f>
        <v/>
      </c>
      <c r="N16" s="1" t="str">
        <f ca="1">IF(ISNA(VLOOKUP(A16,Projects!B:B,1,FALSE)),"","Yes")</f>
        <v/>
      </c>
    </row>
    <row r="17" spans="1:14" hidden="1" outlineLevel="1">
      <c r="A17" s="43" t="s">
        <v>310</v>
      </c>
      <c r="C17" s="44" t="s">
        <v>751</v>
      </c>
      <c r="D17" s="7" t="s">
        <v>11</v>
      </c>
      <c r="E17" s="26">
        <v>40001</v>
      </c>
      <c r="H17" s="37">
        <f ca="1">IF(AND(B17="",NOT(A17="")),VLOOKUP(A17,TaskPlan!A:M,13,FALSE),"")</f>
        <v>40011</v>
      </c>
      <c r="I17" s="38" t="str">
        <f ca="1">IF(AND(B17="",NOT(A17="")),VLOOKUP(A17,TaskPlan!A:M,12,FALSE),"")</f>
        <v>Closed</v>
      </c>
      <c r="J17" s="39" t="str">
        <f ca="1">IF(AND(B17="",NOT(A17="")),VLOOKUP(A17,TaskPlan!A:L,2,FALSE),"")</f>
        <v>Neil</v>
      </c>
      <c r="K17" s="39" t="str">
        <f ca="1">IF(AND(B17="",NOT(A17="")),IF(NOT(LEFT(VLOOKUP(A17,TaskPlan!A:L,3,FALSE),1) = "0"),VLOOKUP(A17,TaskPlan!A:L,3,FALSE),""),"")</f>
        <v/>
      </c>
      <c r="L17" s="55" t="str">
        <f ca="1">IF(AND(B17="",NOT(A17="")),IF(NOT(LEFT(VLOOKUP(A17,TaskPlan!A:L,3,FALSE),1) = "0"),VLOOKUP(A17,TaskPlan!A:M,4,FALSE),""),"")</f>
        <v/>
      </c>
      <c r="M17" s="58" t="str">
        <f ca="1">IF(B17=".",1,IF(AND(B17="",NOT(A17="")),IF(VLOOKUP(A17,TaskPlan!A:L,5,FALSE)&gt;0,VLOOKUP(A17,TaskPlan!A:L,5,FALSE),""),""))</f>
        <v/>
      </c>
      <c r="N17" s="1" t="str">
        <f ca="1">IF(ISNA(VLOOKUP(A17,Projects!B:B,1,FALSE)),"","Yes")</f>
        <v/>
      </c>
    </row>
    <row r="18" spans="1:14" ht="25.5" hidden="1" outlineLevel="1">
      <c r="A18" s="43" t="s">
        <v>349</v>
      </c>
      <c r="C18" s="44" t="s">
        <v>364</v>
      </c>
      <c r="D18" s="7" t="s">
        <v>11</v>
      </c>
      <c r="E18" s="26">
        <v>40028</v>
      </c>
      <c r="H18" s="37">
        <f ca="1">IF(AND(B18="",NOT(A18="")),VLOOKUP(A18,TaskPlan!A:M,13,FALSE),"")</f>
        <v>40028</v>
      </c>
      <c r="I18" s="38" t="str">
        <f ca="1">IF(AND(B18="",NOT(A18="")),VLOOKUP(A18,TaskPlan!A:M,12,FALSE),"")</f>
        <v>Closed</v>
      </c>
      <c r="J18" s="39" t="str">
        <f ca="1">IF(AND(B18="",NOT(A18="")),VLOOKUP(A18,TaskPlan!A:L,2,FALSE),"")</f>
        <v>Neil</v>
      </c>
      <c r="K18" s="39" t="str">
        <f ca="1">IF(AND(B18="",NOT(A18="")),IF(NOT(LEFT(VLOOKUP(A18,TaskPlan!A:L,3,FALSE),1) = "0"),VLOOKUP(A18,TaskPlan!A:L,3,FALSE),""),"")</f>
        <v/>
      </c>
      <c r="L18" s="55" t="str">
        <f ca="1">IF(AND(B18="",NOT(A18="")),IF(NOT(LEFT(VLOOKUP(A18,TaskPlan!A:L,3,FALSE),1) = "0"),VLOOKUP(A18,TaskPlan!A:M,4,FALSE),""),"")</f>
        <v/>
      </c>
      <c r="M18" s="58" t="str">
        <f ca="1">IF(B18=".",1,IF(AND(B18="",NOT(A18="")),IF(VLOOKUP(A18,TaskPlan!A:L,5,FALSE)&gt;0,VLOOKUP(A18,TaskPlan!A:L,5,FALSE),""),""))</f>
        <v/>
      </c>
      <c r="N18" s="1" t="str">
        <f ca="1">IF(ISNA(VLOOKUP(A18,Projects!B:B,1,FALSE)),"","Yes")</f>
        <v/>
      </c>
    </row>
    <row r="19" spans="1:14" hidden="1" outlineLevel="1">
      <c r="A19" s="43" t="s">
        <v>350</v>
      </c>
      <c r="C19" s="44" t="s">
        <v>351</v>
      </c>
      <c r="D19" s="7" t="s">
        <v>11</v>
      </c>
      <c r="E19" s="26">
        <v>40025</v>
      </c>
      <c r="F19" s="25">
        <v>0.5</v>
      </c>
      <c r="H19" s="37">
        <f ca="1">IF(AND(B19="",NOT(A19="")),VLOOKUP(A19,TaskPlan!A:M,13,FALSE),"")</f>
        <v>40144</v>
      </c>
      <c r="I19" s="38" t="str">
        <f ca="1">IF(AND(B19="",NOT(A19="")),VLOOKUP(A19,TaskPlan!A:M,12,FALSE),"")</f>
        <v>Closed</v>
      </c>
      <c r="J19" s="39" t="str">
        <f ca="1">IF(AND(B19="",NOT(A19="")),VLOOKUP(A19,TaskPlan!A:L,2,FALSE),"")</f>
        <v>Neil</v>
      </c>
      <c r="K19" s="39" t="str">
        <f ca="1">IF(AND(B19="",NOT(A19="")),IF(NOT(LEFT(VLOOKUP(A19,TaskPlan!A:L,3,FALSE),1) = "0"),VLOOKUP(A19,TaskPlan!A:L,3,FALSE),""),"")</f>
        <v/>
      </c>
      <c r="L19" s="55" t="str">
        <f ca="1">IF(AND(B19="",NOT(A19="")),IF(NOT(LEFT(VLOOKUP(A19,TaskPlan!A:L,3,FALSE),1) = "0"),VLOOKUP(A19,TaskPlan!A:M,4,FALSE),""),"")</f>
        <v/>
      </c>
      <c r="M19" s="58" t="str">
        <f ca="1">IF(B19=".",1,IF(AND(B19="",NOT(A19="")),IF(VLOOKUP(A19,TaskPlan!A:L,5,FALSE)&gt;0,VLOOKUP(A19,TaskPlan!A:L,5,FALSE),""),""))</f>
        <v/>
      </c>
      <c r="N19" s="1" t="str">
        <f ca="1">IF(ISNA(VLOOKUP(A19,Projects!B:B,1,FALSE)),"","Yes")</f>
        <v/>
      </c>
    </row>
    <row r="20" spans="1:14" hidden="1" outlineLevel="1">
      <c r="A20" s="43" t="s">
        <v>352</v>
      </c>
      <c r="C20" s="44" t="s">
        <v>353</v>
      </c>
      <c r="D20" s="7" t="s">
        <v>11</v>
      </c>
      <c r="E20" s="26">
        <v>40025</v>
      </c>
      <c r="F20" s="25">
        <v>0.5</v>
      </c>
      <c r="H20" s="37">
        <f ca="1">IF(AND(B20="",NOT(A20="")),VLOOKUP(A20,TaskPlan!A:M,13,FALSE),"")</f>
        <v>40218</v>
      </c>
      <c r="I20" s="38" t="str">
        <f ca="1">IF(AND(B20="",NOT(A20="")),VLOOKUP(A20,TaskPlan!A:M,12,FALSE),"")</f>
        <v>Closed</v>
      </c>
      <c r="J20" s="39" t="str">
        <f ca="1">IF(AND(B20="",NOT(A20="")),VLOOKUP(A20,TaskPlan!A:L,2,FALSE),"")</f>
        <v>Pramendra</v>
      </c>
      <c r="K20" s="39" t="str">
        <f ca="1">IF(AND(B20="",NOT(A20="")),IF(NOT(LEFT(VLOOKUP(A20,TaskPlan!A:L,3,FALSE),1) = "0"),VLOOKUP(A20,TaskPlan!A:L,3,FALSE),""),"")</f>
        <v/>
      </c>
      <c r="L20" s="55" t="str">
        <f ca="1">IF(AND(B20="",NOT(A20="")),IF(NOT(LEFT(VLOOKUP(A20,TaskPlan!A:L,3,FALSE),1) = "0"),VLOOKUP(A20,TaskPlan!A:M,4,FALSE),""),"")</f>
        <v/>
      </c>
      <c r="M20" s="58" t="str">
        <f ca="1">IF(B20=".",1,IF(AND(B20="",NOT(A20="")),IF(VLOOKUP(A20,TaskPlan!A:L,5,FALSE)&gt;0,VLOOKUP(A20,TaskPlan!A:L,5,FALSE),""),""))</f>
        <v/>
      </c>
      <c r="N20" s="1" t="str">
        <f ca="1">IF(ISNA(VLOOKUP(A20,Projects!B:B,1,FALSE)),"","Yes")</f>
        <v/>
      </c>
    </row>
    <row r="21" spans="1:14" hidden="1" outlineLevel="1">
      <c r="A21" s="43" t="s">
        <v>354</v>
      </c>
      <c r="C21" s="44" t="s">
        <v>507</v>
      </c>
      <c r="D21" s="7" t="s">
        <v>11</v>
      </c>
      <c r="E21" s="26">
        <v>40086</v>
      </c>
      <c r="H21" s="37">
        <f ca="1">IF(AND(B21="",NOT(A21="")),VLOOKUP(A21,TaskPlan!A:M,13,FALSE),"")</f>
        <v>40099</v>
      </c>
      <c r="I21" s="38" t="str">
        <f ca="1">IF(AND(B21="",NOT(A21="")),VLOOKUP(A21,TaskPlan!A:M,12,FALSE),"")</f>
        <v>Closed</v>
      </c>
      <c r="J21" s="39" t="str">
        <f ca="1">IF(AND(B21="",NOT(A21="")),VLOOKUP(A21,TaskPlan!A:L,2,FALSE),"")</f>
        <v>Pramendra</v>
      </c>
      <c r="K21" s="39" t="str">
        <f ca="1">IF(AND(B21="",NOT(A21="")),IF(NOT(LEFT(VLOOKUP(A21,TaskPlan!A:L,3,FALSE),1) = "0"),VLOOKUP(A21,TaskPlan!A:L,3,FALSE),""),"")</f>
        <v/>
      </c>
      <c r="L21" s="55" t="str">
        <f ca="1">IF(AND(B21="",NOT(A21="")),IF(NOT(LEFT(VLOOKUP(A21,TaskPlan!A:L,3,FALSE),1) = "0"),VLOOKUP(A21,TaskPlan!A:M,4,FALSE),""),"")</f>
        <v/>
      </c>
      <c r="M21" s="58" t="str">
        <f ca="1">IF(B21=".",1,IF(AND(B21="",NOT(A21="")),IF(VLOOKUP(A21,TaskPlan!A:L,5,FALSE)&gt;0,VLOOKUP(A21,TaskPlan!A:L,5,FALSE),""),""))</f>
        <v/>
      </c>
      <c r="N21" s="1" t="str">
        <f ca="1">IF(ISNA(VLOOKUP(A21,Projects!B:B,1,FALSE)),"","Yes")</f>
        <v/>
      </c>
    </row>
    <row r="22" spans="1:14" hidden="1" outlineLevel="1">
      <c r="A22" s="43" t="s">
        <v>362</v>
      </c>
      <c r="C22" s="44" t="s">
        <v>363</v>
      </c>
      <c r="D22" s="7" t="s">
        <v>315</v>
      </c>
      <c r="E22" s="26">
        <v>40028</v>
      </c>
      <c r="H22" s="37">
        <f ca="1">IF(AND(B22="",NOT(A22="")),VLOOKUP(A22,TaskPlan!A:M,13,FALSE),"")</f>
        <v>40028</v>
      </c>
      <c r="I22" s="38" t="str">
        <f ca="1">IF(AND(B22="",NOT(A22="")),VLOOKUP(A22,TaskPlan!A:M,12,FALSE),"")</f>
        <v>Closed</v>
      </c>
      <c r="J22" s="39" t="str">
        <f ca="1">IF(AND(B22="",NOT(A22="")),VLOOKUP(A22,TaskPlan!A:L,2,FALSE),"")</f>
        <v>Neil</v>
      </c>
      <c r="K22" s="39" t="str">
        <f ca="1">IF(AND(B22="",NOT(A22="")),IF(NOT(LEFT(VLOOKUP(A22,TaskPlan!A:L,3,FALSE),1) = "0"),VLOOKUP(A22,TaskPlan!A:L,3,FALSE),""),"")</f>
        <v/>
      </c>
      <c r="L22" s="55" t="str">
        <f ca="1">IF(AND(B22="",NOT(A22="")),IF(NOT(LEFT(VLOOKUP(A22,TaskPlan!A:L,3,FALSE),1) = "0"),VLOOKUP(A22,TaskPlan!A:M,4,FALSE),""),"")</f>
        <v/>
      </c>
      <c r="M22" s="58" t="str">
        <f ca="1">IF(B22=".",1,IF(AND(B22="",NOT(A22="")),IF(VLOOKUP(A22,TaskPlan!A:L,5,FALSE)&gt;0,VLOOKUP(A22,TaskPlan!A:L,5,FALSE),""),""))</f>
        <v/>
      </c>
      <c r="N22" s="1" t="str">
        <f ca="1">IF(ISNA(VLOOKUP(A22,Projects!B:B,1,FALSE)),"","Yes")</f>
        <v/>
      </c>
    </row>
    <row r="23" spans="1:14" hidden="1" outlineLevel="1">
      <c r="A23" s="43" t="s">
        <v>390</v>
      </c>
      <c r="C23" s="44" t="s">
        <v>391</v>
      </c>
      <c r="D23" s="7" t="s">
        <v>11</v>
      </c>
      <c r="E23" s="26">
        <v>40030</v>
      </c>
      <c r="H23" s="37">
        <f ca="1">IF(AND(B23="",NOT(A23="")),VLOOKUP(A23,TaskPlan!A:M,13,FALSE),"")</f>
        <v>40106</v>
      </c>
      <c r="I23" s="38" t="str">
        <f ca="1">IF(AND(B23="",NOT(A23="")),VLOOKUP(A23,TaskPlan!A:M,12,FALSE),"")</f>
        <v>Closed</v>
      </c>
      <c r="J23" s="39" t="str">
        <f ca="1">IF(AND(B23="",NOT(A23="")),VLOOKUP(A23,TaskPlan!A:L,2,FALSE),"")</f>
        <v>Pramendra</v>
      </c>
      <c r="K23" s="39" t="str">
        <f ca="1">IF(AND(B23="",NOT(A23="")),IF(NOT(LEFT(VLOOKUP(A23,TaskPlan!A:L,3,FALSE),1) = "0"),VLOOKUP(A23,TaskPlan!A:L,3,FALSE),""),"")</f>
        <v/>
      </c>
      <c r="L23" s="55" t="str">
        <f ca="1">IF(AND(B23="",NOT(A23="")),IF(NOT(LEFT(VLOOKUP(A23,TaskPlan!A:L,3,FALSE),1) = "0"),VLOOKUP(A23,TaskPlan!A:M,4,FALSE),""),"")</f>
        <v/>
      </c>
      <c r="M23" s="58" t="str">
        <f ca="1">IF(B23=".",1,IF(AND(B23="",NOT(A23="")),IF(VLOOKUP(A23,TaskPlan!A:L,5,FALSE)&gt;0,VLOOKUP(A23,TaskPlan!A:L,5,FALSE),""),""))</f>
        <v/>
      </c>
      <c r="N23" s="1" t="str">
        <f ca="1">IF(ISNA(VLOOKUP(A23,Projects!B:B,1,FALSE)),"","Yes")</f>
        <v/>
      </c>
    </row>
    <row r="24" spans="1:14" hidden="1" outlineLevel="1">
      <c r="A24" s="43" t="s">
        <v>423</v>
      </c>
      <c r="C24" s="44" t="s">
        <v>424</v>
      </c>
      <c r="D24" s="7" t="s">
        <v>11</v>
      </c>
      <c r="E24" s="26">
        <v>40049</v>
      </c>
      <c r="F24" s="25">
        <v>3</v>
      </c>
      <c r="H24" s="37">
        <f ca="1">IF(AND(B24="",NOT(A24="")),VLOOKUP(A24,TaskPlan!A:M,13,FALSE),"")</f>
        <v>40218</v>
      </c>
      <c r="I24" s="38" t="str">
        <f ca="1">IF(AND(B24="",NOT(A24="")),VLOOKUP(A24,TaskPlan!A:M,12,FALSE),"")</f>
        <v>Closed</v>
      </c>
      <c r="J24" s="39" t="str">
        <f ca="1">IF(AND(B24="",NOT(A24="")),VLOOKUP(A24,TaskPlan!A:L,2,FALSE),"")</f>
        <v>Pramendra</v>
      </c>
      <c r="K24" s="39" t="str">
        <f ca="1">IF(AND(B24="",NOT(A24="")),IF(NOT(LEFT(VLOOKUP(A24,TaskPlan!A:L,3,FALSE),1) = "0"),VLOOKUP(A24,TaskPlan!A:L,3,FALSE),""),"")</f>
        <v/>
      </c>
      <c r="L24" s="55" t="str">
        <f ca="1">IF(AND(B24="",NOT(A24="")),IF(NOT(LEFT(VLOOKUP(A24,TaskPlan!A:L,3,FALSE),1) = "0"),VLOOKUP(A24,TaskPlan!A:M,4,FALSE),""),"")</f>
        <v/>
      </c>
      <c r="M24" s="58" t="str">
        <f ca="1">IF(B24=".",1,IF(AND(B24="",NOT(A24="")),IF(VLOOKUP(A24,TaskPlan!A:L,5,FALSE)&gt;0,VLOOKUP(A24,TaskPlan!A:L,5,FALSE),""),""))</f>
        <v/>
      </c>
      <c r="N24" s="1" t="str">
        <f ca="1">IF(ISNA(VLOOKUP(A24,Projects!B:B,1,FALSE)),"","Yes")</f>
        <v/>
      </c>
    </row>
    <row r="25" spans="1:14" ht="25.5" hidden="1" outlineLevel="1">
      <c r="A25" s="43" t="s">
        <v>425</v>
      </c>
      <c r="C25" s="44" t="s">
        <v>426</v>
      </c>
      <c r="D25" s="7" t="s">
        <v>11</v>
      </c>
      <c r="E25" s="26">
        <v>40049</v>
      </c>
      <c r="F25" s="25">
        <v>3</v>
      </c>
      <c r="H25" s="37">
        <f ca="1">IF(AND(B25="",NOT(A25="")),VLOOKUP(A25,TaskPlan!A:M,13,FALSE),"")</f>
        <v>40218</v>
      </c>
      <c r="I25" s="38" t="str">
        <f ca="1">IF(AND(B25="",NOT(A25="")),VLOOKUP(A25,TaskPlan!A:M,12,FALSE),"")</f>
        <v>Closed</v>
      </c>
      <c r="J25" s="39" t="str">
        <f ca="1">IF(AND(B25="",NOT(A25="")),VLOOKUP(A25,TaskPlan!A:L,2,FALSE),"")</f>
        <v>Pramendra</v>
      </c>
      <c r="K25" s="39" t="str">
        <f ca="1">IF(AND(B25="",NOT(A25="")),IF(NOT(LEFT(VLOOKUP(A25,TaskPlan!A:L,3,FALSE),1) = "0"),VLOOKUP(A25,TaskPlan!A:L,3,FALSE),""),"")</f>
        <v/>
      </c>
      <c r="L25" s="55" t="str">
        <f ca="1">IF(AND(B25="",NOT(A25="")),IF(NOT(LEFT(VLOOKUP(A25,TaskPlan!A:L,3,FALSE),1) = "0"),VLOOKUP(A25,TaskPlan!A:M,4,FALSE),""),"")</f>
        <v/>
      </c>
      <c r="M25" s="58" t="str">
        <f ca="1">IF(B25=".",1,IF(AND(B25="",NOT(A25="")),IF(VLOOKUP(A25,TaskPlan!A:L,5,FALSE)&gt;0,VLOOKUP(A25,TaskPlan!A:L,5,FALSE),""),""))</f>
        <v/>
      </c>
      <c r="N25" s="1" t="str">
        <f ca="1">IF(ISNA(VLOOKUP(A25,Projects!B:B,1,FALSE)),"","Yes")</f>
        <v/>
      </c>
    </row>
    <row r="26" spans="1:14" hidden="1" outlineLevel="1">
      <c r="A26" s="43" t="s">
        <v>508</v>
      </c>
      <c r="C26" s="44" t="s">
        <v>752</v>
      </c>
      <c r="D26" s="7" t="s">
        <v>11</v>
      </c>
      <c r="E26" s="26">
        <v>40086</v>
      </c>
      <c r="H26" s="37">
        <f ca="1">IF(AND(B26="",NOT(A26="")),VLOOKUP(A26,TaskPlan!A:M,13,FALSE),"")</f>
        <v>40099</v>
      </c>
      <c r="I26" s="38" t="str">
        <f ca="1">IF(AND(B26="",NOT(A26="")),VLOOKUP(A26,TaskPlan!A:M,12,FALSE),"")</f>
        <v>Closed</v>
      </c>
      <c r="J26" s="39" t="str">
        <f ca="1">IF(AND(B26="",NOT(A26="")),VLOOKUP(A26,TaskPlan!A:L,2,FALSE),"")</f>
        <v>Pramendra</v>
      </c>
      <c r="K26" s="39" t="str">
        <f ca="1">IF(AND(B26="",NOT(A26="")),IF(NOT(LEFT(VLOOKUP(A26,TaskPlan!A:L,3,FALSE),1) = "0"),VLOOKUP(A26,TaskPlan!A:L,3,FALSE),""),"")</f>
        <v/>
      </c>
      <c r="L26" s="55" t="str">
        <f ca="1">IF(AND(B26="",NOT(A26="")),IF(NOT(LEFT(VLOOKUP(A26,TaskPlan!A:L,3,FALSE),1) = "0"),VLOOKUP(A26,TaskPlan!A:M,4,FALSE),""),"")</f>
        <v/>
      </c>
      <c r="M26" s="58" t="str">
        <f ca="1">IF(B26=".",1,IF(AND(B26="",NOT(A26="")),IF(VLOOKUP(A26,TaskPlan!A:L,5,FALSE)&gt;0,VLOOKUP(A26,TaskPlan!A:L,5,FALSE),""),""))</f>
        <v/>
      </c>
      <c r="N26" s="1" t="str">
        <f ca="1">IF(ISNA(VLOOKUP(A26,Projects!B:B,1,FALSE)),"","Yes")</f>
        <v/>
      </c>
    </row>
    <row r="27" spans="1:14" ht="25.5" hidden="1" outlineLevel="1">
      <c r="A27" s="43" t="s">
        <v>527</v>
      </c>
      <c r="C27" s="44" t="s">
        <v>528</v>
      </c>
      <c r="D27" s="7" t="s">
        <v>32</v>
      </c>
      <c r="E27" s="26">
        <v>40095</v>
      </c>
      <c r="F27" s="25">
        <v>0.5</v>
      </c>
      <c r="H27" s="37">
        <f ca="1">IF(AND(B27="",NOT(A27="")),VLOOKUP(A27,TaskPlan!A:M,13,FALSE),"")</f>
        <v>40154</v>
      </c>
      <c r="I27" s="38" t="str">
        <f ca="1">IF(AND(B27="",NOT(A27="")),VLOOKUP(A27,TaskPlan!A:M,12,FALSE),"")</f>
        <v>Closed</v>
      </c>
      <c r="J27" s="39" t="str">
        <f ca="1">IF(AND(B27="",NOT(A27="")),VLOOKUP(A27,TaskPlan!A:L,2,FALSE),"")</f>
        <v>Neil</v>
      </c>
      <c r="K27" s="39" t="str">
        <f ca="1">IF(AND(B27="",NOT(A27="")),IF(NOT(LEFT(VLOOKUP(A27,TaskPlan!A:L,3,FALSE),1) = "0"),VLOOKUP(A27,TaskPlan!A:L,3,FALSE),""),"")</f>
        <v/>
      </c>
      <c r="L27" s="55" t="str">
        <f ca="1">IF(AND(B27="",NOT(A27="")),IF(NOT(LEFT(VLOOKUP(A27,TaskPlan!A:L,3,FALSE),1) = "0"),VLOOKUP(A27,TaskPlan!A:M,4,FALSE),""),"")</f>
        <v/>
      </c>
      <c r="M27" s="58" t="str">
        <f ca="1">IF(B27=".",1,IF(AND(B27="",NOT(A27="")),IF(VLOOKUP(A27,TaskPlan!A:L,5,FALSE)&gt;0,VLOOKUP(A27,TaskPlan!A:L,5,FALSE),""),""))</f>
        <v/>
      </c>
      <c r="N27" s="1" t="str">
        <f ca="1">IF(ISNA(VLOOKUP(A27,Projects!B:B,1,FALSE)),"","Yes")</f>
        <v/>
      </c>
    </row>
    <row r="28" spans="1:14" hidden="1" outlineLevel="1">
      <c r="A28" s="43" t="s">
        <v>616</v>
      </c>
      <c r="C28" s="44" t="s">
        <v>617</v>
      </c>
      <c r="D28" s="7" t="s">
        <v>315</v>
      </c>
      <c r="E28" s="26">
        <v>40107</v>
      </c>
      <c r="F28" s="25">
        <v>3</v>
      </c>
      <c r="H28" s="37">
        <f ca="1">IF(AND(B28="",NOT(A28="")),VLOOKUP(A28,TaskPlan!A:M,13,FALSE),"")</f>
        <v>40144</v>
      </c>
      <c r="I28" s="38" t="str">
        <f ca="1">IF(AND(B28="",NOT(A28="")),VLOOKUP(A28,TaskPlan!A:M,12,FALSE),"")</f>
        <v>Closed</v>
      </c>
      <c r="J28" s="39" t="str">
        <f ca="1">IF(AND(B28="",NOT(A28="")),VLOOKUP(A28,TaskPlan!A:L,2,FALSE),"")</f>
        <v>Neil</v>
      </c>
      <c r="K28" s="39" t="str">
        <f ca="1">IF(AND(B28="",NOT(A28="")),IF(NOT(LEFT(VLOOKUP(A28,TaskPlan!A:L,3,FALSE),1) = "0"),VLOOKUP(A28,TaskPlan!A:L,3,FALSE),""),"")</f>
        <v/>
      </c>
      <c r="L28" s="55" t="str">
        <f ca="1">IF(AND(B28="",NOT(A28="")),IF(NOT(LEFT(VLOOKUP(A28,TaskPlan!A:L,3,FALSE),1) = "0"),VLOOKUP(A28,TaskPlan!A:M,4,FALSE),""),"")</f>
        <v/>
      </c>
      <c r="M28" s="58" t="str">
        <f ca="1">IF(B28=".",1,IF(AND(B28="",NOT(A28="")),IF(VLOOKUP(A28,TaskPlan!A:L,5,FALSE)&gt;0,VLOOKUP(A28,TaskPlan!A:L,5,FALSE),""),""))</f>
        <v/>
      </c>
      <c r="N28" s="1" t="str">
        <f ca="1">IF(ISNA(VLOOKUP(A28,Projects!B:B,1,FALSE)),"","Yes")</f>
        <v/>
      </c>
    </row>
    <row r="29" spans="1:14" hidden="1" outlineLevel="1">
      <c r="A29" s="43" t="s">
        <v>632</v>
      </c>
      <c r="C29" s="44" t="s">
        <v>633</v>
      </c>
      <c r="D29" s="7" t="s">
        <v>11</v>
      </c>
      <c r="E29" s="26">
        <v>40116</v>
      </c>
      <c r="F29" s="25">
        <v>5</v>
      </c>
      <c r="H29" s="37">
        <f ca="1">IF(AND(B29="",NOT(A29="")),VLOOKUP(A29,TaskPlan!A:M,13,FALSE),"")</f>
        <v>40144</v>
      </c>
      <c r="I29" s="38" t="str">
        <f ca="1">IF(AND(B29="",NOT(A29="")),VLOOKUP(A29,TaskPlan!A:M,12,FALSE),"")</f>
        <v>Closed</v>
      </c>
      <c r="J29" s="39" t="str">
        <f ca="1">IF(AND(B29="",NOT(A29="")),VLOOKUP(A29,TaskPlan!A:L,2,FALSE),"")</f>
        <v>Neil</v>
      </c>
      <c r="K29" s="39" t="str">
        <f ca="1">IF(AND(B29="",NOT(A29="")),IF(NOT(LEFT(VLOOKUP(A29,TaskPlan!A:L,3,FALSE),1) = "0"),VLOOKUP(A29,TaskPlan!A:L,3,FALSE),""),"")</f>
        <v/>
      </c>
      <c r="L29" s="55" t="str">
        <f ca="1">IF(AND(B29="",NOT(A29="")),IF(NOT(LEFT(VLOOKUP(A29,TaskPlan!A:L,3,FALSE),1) = "0"),VLOOKUP(A29,TaskPlan!A:M,4,FALSE),""),"")</f>
        <v/>
      </c>
      <c r="M29" s="58" t="str">
        <f ca="1">IF(B29=".",1,IF(AND(B29="",NOT(A29="")),IF(VLOOKUP(A29,TaskPlan!A:L,5,FALSE)&gt;0,VLOOKUP(A29,TaskPlan!A:L,5,FALSE),""),""))</f>
        <v/>
      </c>
      <c r="N29" s="1" t="str">
        <f ca="1">IF(ISNA(VLOOKUP(A29,Projects!B:B,1,FALSE)),"","Yes")</f>
        <v/>
      </c>
    </row>
    <row r="30" spans="1:14" hidden="1" outlineLevel="1">
      <c r="A30" s="43" t="s">
        <v>640</v>
      </c>
      <c r="C30" s="44" t="s">
        <v>641</v>
      </c>
      <c r="D30" s="7" t="s">
        <v>11</v>
      </c>
      <c r="E30" s="26">
        <v>40120</v>
      </c>
      <c r="F30" s="25">
        <v>0.5</v>
      </c>
      <c r="H30" s="37">
        <f ca="1">IF(AND(B30="",NOT(A30="")),VLOOKUP(A30,TaskPlan!A:M,13,FALSE),"")</f>
        <v>40164</v>
      </c>
      <c r="I30" s="38" t="str">
        <f ca="1">IF(AND(B30="",NOT(A30="")),VLOOKUP(A30,TaskPlan!A:M,12,FALSE),"")</f>
        <v>Closed</v>
      </c>
      <c r="J30" s="39" t="str">
        <f ca="1">IF(AND(B30="",NOT(A30="")),VLOOKUP(A30,TaskPlan!A:L,2,FALSE),"")</f>
        <v>Neil</v>
      </c>
      <c r="K30" s="39" t="str">
        <f ca="1">IF(AND(B30="",NOT(A30="")),IF(NOT(LEFT(VLOOKUP(A30,TaskPlan!A:L,3,FALSE),1) = "0"),VLOOKUP(A30,TaskPlan!A:L,3,FALSE),""),"")</f>
        <v/>
      </c>
      <c r="L30" s="55" t="str">
        <f ca="1">IF(AND(B30="",NOT(A30="")),IF(NOT(LEFT(VLOOKUP(A30,TaskPlan!A:L,3,FALSE),1) = "0"),VLOOKUP(A30,TaskPlan!A:M,4,FALSE),""),"")</f>
        <v/>
      </c>
      <c r="M30" s="58" t="str">
        <f ca="1">IF(B30=".",1,IF(AND(B30="",NOT(A30="")),IF(VLOOKUP(A30,TaskPlan!A:L,5,FALSE)&gt;0,VLOOKUP(A30,TaskPlan!A:L,5,FALSE),""),""))</f>
        <v/>
      </c>
      <c r="N30" s="1" t="str">
        <f ca="1">IF(ISNA(VLOOKUP(A30,Projects!B:B,1,FALSE)),"","Yes")</f>
        <v/>
      </c>
    </row>
    <row r="31" spans="1:14" hidden="1" outlineLevel="1">
      <c r="A31" s="43" t="s">
        <v>760</v>
      </c>
      <c r="C31" s="44" t="s">
        <v>761</v>
      </c>
      <c r="D31" s="7" t="s">
        <v>315</v>
      </c>
      <c r="E31" s="26">
        <v>40150</v>
      </c>
      <c r="F31" s="25">
        <v>0.5</v>
      </c>
      <c r="H31" s="37">
        <f ca="1">IF(AND(B31="",NOT(A31="")),VLOOKUP(A31,TaskPlan!A:M,13,FALSE),"")</f>
        <v>40168</v>
      </c>
      <c r="I31" s="38" t="str">
        <f ca="1">IF(AND(B31="",NOT(A31="")),VLOOKUP(A31,TaskPlan!A:M,12,FALSE),"")</f>
        <v>Closed</v>
      </c>
      <c r="J31" s="39" t="str">
        <f ca="1">IF(AND(B31="",NOT(A31="")),VLOOKUP(A31,TaskPlan!A:L,2,FALSE),"")</f>
        <v>Neil</v>
      </c>
      <c r="K31" s="39" t="str">
        <f ca="1">IF(AND(B31="",NOT(A31="")),IF(NOT(LEFT(VLOOKUP(A31,TaskPlan!A:L,3,FALSE),1) = "0"),VLOOKUP(A31,TaskPlan!A:L,3,FALSE),""),"")</f>
        <v/>
      </c>
      <c r="L31" s="55" t="str">
        <f ca="1">IF(AND(B31="",NOT(A31="")),IF(NOT(LEFT(VLOOKUP(A31,TaskPlan!A:L,3,FALSE),1) = "0"),VLOOKUP(A31,TaskPlan!A:M,4,FALSE),""),"")</f>
        <v/>
      </c>
      <c r="M31" s="58" t="str">
        <f ca="1">IF(B31=".",1,IF(AND(B31="",NOT(A31="")),IF(VLOOKUP(A31,TaskPlan!A:L,5,FALSE)&gt;0,VLOOKUP(A31,TaskPlan!A:L,5,FALSE),""),""))</f>
        <v/>
      </c>
      <c r="N31" s="1" t="str">
        <f ca="1">IF(ISNA(VLOOKUP(A31,Projects!B:B,1,FALSE)),"","Yes")</f>
        <v/>
      </c>
    </row>
    <row r="32" spans="1:14" hidden="1" outlineLevel="1">
      <c r="A32" s="43" t="s">
        <v>773</v>
      </c>
      <c r="C32" s="44" t="s">
        <v>774</v>
      </c>
      <c r="D32" s="7" t="s">
        <v>315</v>
      </c>
      <c r="E32" s="26">
        <v>40150</v>
      </c>
      <c r="F32" s="25">
        <v>1</v>
      </c>
      <c r="H32" s="37">
        <f ca="1">IF(AND(B32="",NOT(A32="")),VLOOKUP(A32,TaskPlan!A:M,13,FALSE),"")</f>
        <v>40168</v>
      </c>
      <c r="I32" s="38" t="str">
        <f ca="1">IF(AND(B32="",NOT(A32="")),VLOOKUP(A32,TaskPlan!A:M,12,FALSE),"")</f>
        <v>Closed</v>
      </c>
      <c r="J32" s="39" t="str">
        <f ca="1">IF(AND(B32="",NOT(A32="")),VLOOKUP(A32,TaskPlan!A:L,2,FALSE),"")</f>
        <v>Neil</v>
      </c>
      <c r="K32" s="39" t="str">
        <f ca="1">IF(AND(B32="",NOT(A32="")),IF(NOT(LEFT(VLOOKUP(A32,TaskPlan!A:L,3,FALSE),1) = "0"),VLOOKUP(A32,TaskPlan!A:L,3,FALSE),""),"")</f>
        <v/>
      </c>
      <c r="L32" s="55" t="str">
        <f ca="1">IF(AND(B32="",NOT(A32="")),IF(NOT(LEFT(VLOOKUP(A32,TaskPlan!A:L,3,FALSE),1) = "0"),VLOOKUP(A32,TaskPlan!A:M,4,FALSE),""),"")</f>
        <v/>
      </c>
      <c r="M32" s="58" t="str">
        <f ca="1">IF(B32=".",1,IF(AND(B32="",NOT(A32="")),IF(VLOOKUP(A32,TaskPlan!A:L,5,FALSE)&gt;0,VLOOKUP(A32,TaskPlan!A:L,5,FALSE),""),""))</f>
        <v/>
      </c>
      <c r="N32" s="1" t="str">
        <f ca="1">IF(ISNA(VLOOKUP(A32,Projects!B:B,1,FALSE)),"","Yes")</f>
        <v/>
      </c>
    </row>
    <row r="33" spans="1:14" hidden="1" outlineLevel="1">
      <c r="A33" s="43" t="s">
        <v>783</v>
      </c>
      <c r="C33" s="44" t="s">
        <v>784</v>
      </c>
      <c r="D33" s="7" t="s">
        <v>11</v>
      </c>
      <c r="E33" s="26">
        <v>40163</v>
      </c>
      <c r="F33" s="25">
        <v>1</v>
      </c>
      <c r="H33" s="37">
        <f ca="1">IF(AND(B33="",NOT(A33="")),VLOOKUP(A33,TaskPlan!A:M,13,FALSE),"")</f>
        <v>40283</v>
      </c>
      <c r="I33" s="38" t="str">
        <f ca="1">IF(AND(B33="",NOT(A33="")),VLOOKUP(A33,TaskPlan!A:M,12,FALSE),"")</f>
        <v>Closed</v>
      </c>
      <c r="J33" s="39" t="str">
        <f ca="1">IF(AND(B33="",NOT(A33="")),VLOOKUP(A33,TaskPlan!A:L,2,FALSE),"")</f>
        <v>Neil</v>
      </c>
      <c r="K33" s="39" t="str">
        <f ca="1">IF(AND(B33="",NOT(A33="")),IF(NOT(LEFT(VLOOKUP(A33,TaskPlan!A:L,3,FALSE),1) = "0"),VLOOKUP(A33,TaskPlan!A:L,3,FALSE),""),"")</f>
        <v/>
      </c>
      <c r="L33" s="55" t="str">
        <f ca="1">IF(AND(B33="",NOT(A33="")),IF(NOT(LEFT(VLOOKUP(A33,TaskPlan!A:L,3,FALSE),1) = "0"),VLOOKUP(A33,TaskPlan!A:M,4,FALSE),""),"")</f>
        <v/>
      </c>
      <c r="M33" s="58" t="str">
        <f ca="1">IF(B33=".",1,IF(AND(B33="",NOT(A33="")),IF(VLOOKUP(A33,TaskPlan!A:L,5,FALSE)&gt;0,VLOOKUP(A33,TaskPlan!A:L,5,FALSE),""),""))</f>
        <v/>
      </c>
      <c r="N33" s="1" t="str">
        <f ca="1">IF(ISNA(VLOOKUP(A33,Projects!B:B,1,FALSE)),"","Yes")</f>
        <v/>
      </c>
    </row>
    <row r="34" spans="1:14" hidden="1" outlineLevel="1">
      <c r="A34" s="43" t="s">
        <v>795</v>
      </c>
      <c r="C34" s="44" t="s">
        <v>796</v>
      </c>
      <c r="D34" s="7" t="s">
        <v>11</v>
      </c>
      <c r="E34" s="26">
        <v>40162</v>
      </c>
      <c r="F34" s="25">
        <v>2</v>
      </c>
      <c r="G34" s="25" t="s">
        <v>1098</v>
      </c>
      <c r="H34" s="37">
        <f ca="1">IF(AND(B34="",NOT(A34="")),VLOOKUP(A34,TaskPlan!A:M,13,FALSE),"")</f>
        <v>40283</v>
      </c>
      <c r="I34" s="38" t="str">
        <f ca="1">IF(AND(B34="",NOT(A34="")),VLOOKUP(A34,TaskPlan!A:M,12,FALSE),"")</f>
        <v>Not Started</v>
      </c>
      <c r="J34" s="39" t="str">
        <f ca="1">IF(AND(B34="",NOT(A34="")),VLOOKUP(A34,TaskPlan!A:L,2,FALSE),"")</f>
        <v>Unassigned</v>
      </c>
      <c r="K34" s="39" t="str">
        <f ca="1">IF(AND(B34="",NOT(A34="")),IF(NOT(LEFT(VLOOKUP(A34,TaskPlan!A:L,3,FALSE),1) = "0"),VLOOKUP(A34,TaskPlan!A:L,3,FALSE),""),"")</f>
        <v>1-LOW</v>
      </c>
      <c r="L34" s="55">
        <f ca="1">IF(AND(B34="",NOT(A34="")),IF(NOT(LEFT(VLOOKUP(A34,TaskPlan!A:L,3,FALSE),1) = "0"),VLOOKUP(A34,TaskPlan!A:M,4,FALSE),""),"")</f>
        <v>0</v>
      </c>
      <c r="M34" s="58" t="str">
        <f ca="1">IF(B34=".",1,IF(AND(B34="",NOT(A34="")),IF(VLOOKUP(A34,TaskPlan!A:L,5,FALSE)&gt;0,VLOOKUP(A34,TaskPlan!A:L,5,FALSE),""),""))</f>
        <v/>
      </c>
      <c r="N34" s="1" t="str">
        <f ca="1">IF(ISNA(VLOOKUP(A34,Projects!B:B,1,FALSE)),"","Yes")</f>
        <v/>
      </c>
    </row>
    <row r="35" spans="1:14" hidden="1" outlineLevel="1">
      <c r="A35" s="43" t="s">
        <v>799</v>
      </c>
      <c r="C35" s="44" t="s">
        <v>800</v>
      </c>
      <c r="D35" s="7" t="s">
        <v>11</v>
      </c>
      <c r="E35" s="26">
        <v>40163</v>
      </c>
      <c r="F35" s="25">
        <v>2</v>
      </c>
      <c r="G35" s="28" t="s">
        <v>1099</v>
      </c>
      <c r="H35" s="37">
        <f ca="1">IF(AND(B35="",NOT(A35="")),VLOOKUP(A35,TaskPlan!A:M,13,FALSE),"")</f>
        <v>40283</v>
      </c>
      <c r="I35" s="38" t="str">
        <f ca="1">IF(AND(B35="",NOT(A35="")),VLOOKUP(A35,TaskPlan!A:M,12,FALSE),"")</f>
        <v>Not Started</v>
      </c>
      <c r="J35" s="39" t="str">
        <f ca="1">IF(AND(B35="",NOT(A35="")),VLOOKUP(A35,TaskPlan!A:L,2,FALSE),"")</f>
        <v>Unassigned</v>
      </c>
      <c r="K35" s="39" t="str">
        <f ca="1">IF(AND(B35="",NOT(A35="")),IF(NOT(LEFT(VLOOKUP(A35,TaskPlan!A:L,3,FALSE),1) = "0"),VLOOKUP(A35,TaskPlan!A:L,3,FALSE),""),"")</f>
        <v>2-LOW</v>
      </c>
      <c r="L35" s="55">
        <f ca="1">IF(AND(B35="",NOT(A35="")),IF(NOT(LEFT(VLOOKUP(A35,TaskPlan!A:L,3,FALSE),1) = "0"),VLOOKUP(A35,TaskPlan!A:M,4,FALSE),""),"")</f>
        <v>0</v>
      </c>
      <c r="M35" s="58" t="str">
        <f ca="1">IF(B35=".",1,IF(AND(B35="",NOT(A35="")),IF(VLOOKUP(A35,TaskPlan!A:L,5,FALSE)&gt;0,VLOOKUP(A35,TaskPlan!A:L,5,FALSE),""),""))</f>
        <v/>
      </c>
      <c r="N35" s="1" t="str">
        <f ca="1">IF(ISNA(VLOOKUP(A35,Projects!B:B,1,FALSE)),"","Yes")</f>
        <v/>
      </c>
    </row>
    <row r="36" spans="1:14" hidden="1" outlineLevel="1">
      <c r="A36" s="43" t="s">
        <v>803</v>
      </c>
      <c r="C36" s="44" t="s">
        <v>804</v>
      </c>
      <c r="D36" s="7" t="s">
        <v>32</v>
      </c>
      <c r="E36" s="26">
        <v>40168</v>
      </c>
      <c r="F36" s="25">
        <v>2</v>
      </c>
      <c r="G36" s="28" t="s">
        <v>1099</v>
      </c>
      <c r="H36" s="37">
        <f ca="1">IF(AND(B36="",NOT(A36="")),VLOOKUP(A36,TaskPlan!A:M,13,FALSE),"")</f>
        <v>40283</v>
      </c>
      <c r="I36" s="38" t="str">
        <f ca="1">IF(AND(B36="",NOT(A36="")),VLOOKUP(A36,TaskPlan!A:M,12,FALSE),"")</f>
        <v>Not Started</v>
      </c>
      <c r="J36" s="39" t="str">
        <f ca="1">IF(AND(B36="",NOT(A36="")),VLOOKUP(A36,TaskPlan!A:L,2,FALSE),"")</f>
        <v>Unassigned</v>
      </c>
      <c r="K36" s="39" t="str">
        <f ca="1">IF(AND(B36="",NOT(A36="")),IF(NOT(LEFT(VLOOKUP(A36,TaskPlan!A:L,3,FALSE),1) = "0"),VLOOKUP(A36,TaskPlan!A:L,3,FALSE),""),"")</f>
        <v>1-LOW</v>
      </c>
      <c r="L36" s="55">
        <f ca="1">IF(AND(B36="",NOT(A36="")),IF(NOT(LEFT(VLOOKUP(A36,TaskPlan!A:L,3,FALSE),1) = "0"),VLOOKUP(A36,TaskPlan!A:M,4,FALSE),""),"")</f>
        <v>0</v>
      </c>
      <c r="M36" s="58" t="str">
        <f ca="1">IF(B36=".",1,IF(AND(B36="",NOT(A36="")),IF(VLOOKUP(A36,TaskPlan!A:L,5,FALSE)&gt;0,VLOOKUP(A36,TaskPlan!A:L,5,FALSE),""),""))</f>
        <v/>
      </c>
      <c r="N36" s="1" t="str">
        <f ca="1">IF(ISNA(VLOOKUP(A36,Projects!B:B,1,FALSE)),"","Yes")</f>
        <v/>
      </c>
    </row>
    <row r="37" spans="1:14" hidden="1" outlineLevel="1">
      <c r="A37" s="43" t="s">
        <v>814</v>
      </c>
      <c r="C37" s="44" t="s">
        <v>815</v>
      </c>
      <c r="D37" s="7" t="s">
        <v>11</v>
      </c>
      <c r="E37" s="26">
        <v>40182</v>
      </c>
      <c r="F37" s="25">
        <v>1</v>
      </c>
      <c r="H37" s="37">
        <f ca="1">IF(AND(B37="",NOT(A37="")),VLOOKUP(A37,TaskPlan!A:M,13,FALSE),"")</f>
        <v>40192</v>
      </c>
      <c r="I37" s="38" t="str">
        <f ca="1">IF(AND(B37="",NOT(A37="")),VLOOKUP(A37,TaskPlan!A:M,12,FALSE),"")</f>
        <v>Closed</v>
      </c>
      <c r="J37" s="39" t="str">
        <f ca="1">IF(AND(B37="",NOT(A37="")),VLOOKUP(A37,TaskPlan!A:L,2,FALSE),"")</f>
        <v>Neil</v>
      </c>
      <c r="K37" s="39" t="str">
        <f ca="1">IF(AND(B37="",NOT(A37="")),IF(NOT(LEFT(VLOOKUP(A37,TaskPlan!A:L,3,FALSE),1) = "0"),VLOOKUP(A37,TaskPlan!A:L,3,FALSE),""),"")</f>
        <v/>
      </c>
      <c r="L37" s="55" t="str">
        <f ca="1">IF(AND(B37="",NOT(A37="")),IF(NOT(LEFT(VLOOKUP(A37,TaskPlan!A:L,3,FALSE),1) = "0"),VLOOKUP(A37,TaskPlan!A:M,4,FALSE),""),"")</f>
        <v/>
      </c>
      <c r="M37" s="58" t="str">
        <f ca="1">IF(B37=".",1,IF(AND(B37="",NOT(A37="")),IF(VLOOKUP(A37,TaskPlan!A:L,5,FALSE)&gt;0,VLOOKUP(A37,TaskPlan!A:L,5,FALSE),""),""))</f>
        <v/>
      </c>
      <c r="N37" s="1" t="str">
        <f ca="1">IF(ISNA(VLOOKUP(A37,Projects!B:B,1,FALSE)),"","Yes")</f>
        <v/>
      </c>
    </row>
    <row r="38" spans="1:14" hidden="1" outlineLevel="1">
      <c r="A38" s="43" t="s">
        <v>841</v>
      </c>
      <c r="C38" s="44" t="s">
        <v>842</v>
      </c>
      <c r="D38" s="7" t="s">
        <v>759</v>
      </c>
      <c r="E38" s="26">
        <v>40197</v>
      </c>
      <c r="F38" s="25">
        <v>2</v>
      </c>
      <c r="H38" s="37">
        <f ca="1">IF(AND(B38="",NOT(A38="")),VLOOKUP(A38,TaskPlan!A:M,13,FALSE),"")</f>
        <v>40205</v>
      </c>
      <c r="I38" s="38" t="str">
        <f ca="1">IF(AND(B38="",NOT(A38="")),VLOOKUP(A38,TaskPlan!A:M,12,FALSE),"")</f>
        <v>Closed</v>
      </c>
      <c r="J38" s="39" t="str">
        <f ca="1">IF(AND(B38="",NOT(A38="")),VLOOKUP(A38,TaskPlan!A:L,2,FALSE),"")</f>
        <v>Neil</v>
      </c>
      <c r="K38" s="39" t="str">
        <f ca="1">IF(AND(B38="",NOT(A38="")),IF(NOT(LEFT(VLOOKUP(A38,TaskPlan!A:L,3,FALSE),1) = "0"),VLOOKUP(A38,TaskPlan!A:L,3,FALSE),""),"")</f>
        <v/>
      </c>
      <c r="L38" s="55" t="str">
        <f ca="1">IF(AND(B38="",NOT(A38="")),IF(NOT(LEFT(VLOOKUP(A38,TaskPlan!A:L,3,FALSE),1) = "0"),VLOOKUP(A38,TaskPlan!A:M,4,FALSE),""),"")</f>
        <v/>
      </c>
      <c r="M38" s="58" t="str">
        <f ca="1">IF(B38=".",1,IF(AND(B38="",NOT(A38="")),IF(VLOOKUP(A38,TaskPlan!A:L,5,FALSE)&gt;0,VLOOKUP(A38,TaskPlan!A:L,5,FALSE),""),""))</f>
        <v/>
      </c>
      <c r="N38" s="1" t="str">
        <f ca="1">IF(ISNA(VLOOKUP(A38,Projects!B:B,1,FALSE)),"","Yes")</f>
        <v/>
      </c>
    </row>
    <row r="39" spans="1:14" hidden="1" outlineLevel="1">
      <c r="A39" s="43" t="s">
        <v>849</v>
      </c>
      <c r="C39" s="44" t="s">
        <v>850</v>
      </c>
      <c r="D39" s="7" t="s">
        <v>759</v>
      </c>
      <c r="E39" s="26">
        <v>40198</v>
      </c>
      <c r="F39" s="25">
        <v>1</v>
      </c>
      <c r="H39" s="37">
        <f ca="1">IF(AND(B39="",NOT(A39="")),VLOOKUP(A39,TaskPlan!A:M,13,FALSE),"")</f>
        <v>40205</v>
      </c>
      <c r="I39" s="38" t="str">
        <f ca="1">IF(AND(B39="",NOT(A39="")),VLOOKUP(A39,TaskPlan!A:M,12,FALSE),"")</f>
        <v>Closed</v>
      </c>
      <c r="J39" s="39" t="str">
        <f ca="1">IF(AND(B39="",NOT(A39="")),VLOOKUP(A39,TaskPlan!A:L,2,FALSE),"")</f>
        <v>Neil</v>
      </c>
      <c r="K39" s="39" t="str">
        <f ca="1">IF(AND(B39="",NOT(A39="")),IF(NOT(LEFT(VLOOKUP(A39,TaskPlan!A:L,3,FALSE),1) = "0"),VLOOKUP(A39,TaskPlan!A:L,3,FALSE),""),"")</f>
        <v/>
      </c>
      <c r="L39" s="55" t="str">
        <f ca="1">IF(AND(B39="",NOT(A39="")),IF(NOT(LEFT(VLOOKUP(A39,TaskPlan!A:L,3,FALSE),1) = "0"),VLOOKUP(A39,TaskPlan!A:M,4,FALSE),""),"")</f>
        <v/>
      </c>
      <c r="M39" s="58" t="str">
        <f ca="1">IF(B39=".",1,IF(AND(B39="",NOT(A39="")),IF(VLOOKUP(A39,TaskPlan!A:L,5,FALSE)&gt;0,VLOOKUP(A39,TaskPlan!A:L,5,FALSE),""),""))</f>
        <v/>
      </c>
      <c r="N39" s="1" t="str">
        <f ca="1">IF(ISNA(VLOOKUP(A39,Projects!B:B,1,FALSE)),"","Yes")</f>
        <v/>
      </c>
    </row>
    <row r="40" spans="1:14" ht="25.5" hidden="1" outlineLevel="1">
      <c r="A40" s="43" t="s">
        <v>871</v>
      </c>
      <c r="C40" s="44" t="s">
        <v>872</v>
      </c>
      <c r="D40" s="7" t="s">
        <v>315</v>
      </c>
      <c r="E40" s="26">
        <v>40206</v>
      </c>
      <c r="F40" s="25">
        <v>0.5</v>
      </c>
      <c r="H40" s="37">
        <f ca="1">IF(AND(B40="",NOT(A40="")),VLOOKUP(A40,TaskPlan!A:M,13,FALSE),"")</f>
        <v>40218</v>
      </c>
      <c r="I40" s="38" t="str">
        <f ca="1">IF(AND(B40="",NOT(A40="")),VLOOKUP(A40,TaskPlan!A:M,12,FALSE),"")</f>
        <v>Closed</v>
      </c>
      <c r="J40" s="39" t="str">
        <f ca="1">IF(AND(B40="",NOT(A40="")),VLOOKUP(A40,TaskPlan!A:L,2,FALSE),"")</f>
        <v>Pramendra</v>
      </c>
      <c r="K40" s="39" t="str">
        <f ca="1">IF(AND(B40="",NOT(A40="")),IF(NOT(LEFT(VLOOKUP(A40,TaskPlan!A:L,3,FALSE),1) = "0"),VLOOKUP(A40,TaskPlan!A:L,3,FALSE),""),"")</f>
        <v/>
      </c>
      <c r="L40" s="55" t="str">
        <f ca="1">IF(AND(B40="",NOT(A40="")),IF(NOT(LEFT(VLOOKUP(A40,TaskPlan!A:L,3,FALSE),1) = "0"),VLOOKUP(A40,TaskPlan!A:M,4,FALSE),""),"")</f>
        <v/>
      </c>
      <c r="M40" s="58" t="str">
        <f ca="1">IF(B40=".",1,IF(AND(B40="",NOT(A40="")),IF(VLOOKUP(A40,TaskPlan!A:L,5,FALSE)&gt;0,VLOOKUP(A40,TaskPlan!A:L,5,FALSE),""),""))</f>
        <v/>
      </c>
      <c r="N40" s="1" t="str">
        <f ca="1">IF(ISNA(VLOOKUP(A40,Projects!B:B,1,FALSE)),"","Yes")</f>
        <v/>
      </c>
    </row>
    <row r="41" spans="1:14" hidden="1" outlineLevel="1">
      <c r="A41" s="43" t="s">
        <v>885</v>
      </c>
      <c r="C41" s="44" t="s">
        <v>886</v>
      </c>
      <c r="D41" s="7" t="s">
        <v>29</v>
      </c>
      <c r="E41" s="26">
        <v>40218</v>
      </c>
      <c r="F41" s="25">
        <v>1</v>
      </c>
      <c r="H41" s="37">
        <f ca="1">IF(AND(B41="",NOT(A41="")),VLOOKUP(A41,TaskPlan!A:M,13,FALSE),"")</f>
        <v>40283</v>
      </c>
      <c r="I41" s="38" t="str">
        <f ca="1">IF(AND(B41="",NOT(A41="")),VLOOKUP(A41,TaskPlan!A:M,12,FALSE),"")</f>
        <v>Closed</v>
      </c>
      <c r="J41" s="39" t="str">
        <f ca="1">IF(AND(B41="",NOT(A41="")),VLOOKUP(A41,TaskPlan!A:L,2,FALSE),"")</f>
        <v>Neil</v>
      </c>
      <c r="K41" s="39" t="str">
        <f ca="1">IF(AND(B41="",NOT(A41="")),IF(NOT(LEFT(VLOOKUP(A41,TaskPlan!A:L,3,FALSE),1) = "0"),VLOOKUP(A41,TaskPlan!A:L,3,FALSE),""),"")</f>
        <v/>
      </c>
      <c r="L41" s="55" t="str">
        <f ca="1">IF(AND(B41="",NOT(A41="")),IF(NOT(LEFT(VLOOKUP(A41,TaskPlan!A:L,3,FALSE),1) = "0"),VLOOKUP(A41,TaskPlan!A:M,4,FALSE),""),"")</f>
        <v/>
      </c>
      <c r="M41" s="58" t="str">
        <f ca="1">IF(B41=".",1,IF(AND(B41="",NOT(A41="")),IF(VLOOKUP(A41,TaskPlan!A:L,5,FALSE)&gt;0,VLOOKUP(A41,TaskPlan!A:L,5,FALSE),""),""))</f>
        <v/>
      </c>
      <c r="N41" s="1" t="str">
        <f ca="1">IF(ISNA(VLOOKUP(A41,Projects!B:B,1,FALSE)),"","Yes")</f>
        <v/>
      </c>
    </row>
    <row r="42" spans="1:14" hidden="1" outlineLevel="1">
      <c r="A42" s="43" t="s">
        <v>909</v>
      </c>
      <c r="C42" s="44" t="s">
        <v>908</v>
      </c>
      <c r="D42" s="7" t="s">
        <v>11</v>
      </c>
      <c r="E42" s="26">
        <v>40219</v>
      </c>
      <c r="F42" s="25">
        <v>1</v>
      </c>
      <c r="H42" s="37">
        <f ca="1">IF(AND(B42="",NOT(A42="")),VLOOKUP(A42,TaskPlan!A:M,13,FALSE),"")</f>
        <v>40235</v>
      </c>
      <c r="I42" s="38" t="str">
        <f ca="1">IF(AND(B42="",NOT(A42="")),VLOOKUP(A42,TaskPlan!A:M,12,FALSE),"")</f>
        <v>Closed</v>
      </c>
      <c r="J42" s="39" t="str">
        <f ca="1">IF(AND(B42="",NOT(A42="")),VLOOKUP(A42,TaskPlan!A:L,2,FALSE),"")</f>
        <v>Pramendra</v>
      </c>
      <c r="K42" s="39" t="str">
        <f ca="1">IF(AND(B42="",NOT(A42="")),IF(NOT(LEFT(VLOOKUP(A42,TaskPlan!A:L,3,FALSE),1) = "0"),VLOOKUP(A42,TaskPlan!A:L,3,FALSE),""),"")</f>
        <v/>
      </c>
      <c r="L42" s="55" t="str">
        <f ca="1">IF(AND(B42="",NOT(A42="")),IF(NOT(LEFT(VLOOKUP(A42,TaskPlan!A:L,3,FALSE),1) = "0"),VLOOKUP(A42,TaskPlan!A:M,4,FALSE),""),"")</f>
        <v/>
      </c>
      <c r="M42" s="58" t="str">
        <f ca="1">IF(B42=".",1,IF(AND(B42="",NOT(A42="")),IF(VLOOKUP(A42,TaskPlan!A:L,5,FALSE)&gt;0,VLOOKUP(A42,TaskPlan!A:L,5,FALSE),""),""))</f>
        <v/>
      </c>
      <c r="N42" s="1" t="str">
        <f ca="1">IF(ISNA(VLOOKUP(A42,Projects!B:B,1,FALSE)),"","Yes")</f>
        <v/>
      </c>
    </row>
    <row r="43" spans="1:14" ht="25.5" hidden="1" outlineLevel="1">
      <c r="A43" s="43" t="s">
        <v>920</v>
      </c>
      <c r="C43" s="44" t="s">
        <v>921</v>
      </c>
      <c r="D43" s="7" t="s">
        <v>29</v>
      </c>
      <c r="E43" s="26">
        <v>40228</v>
      </c>
      <c r="F43" s="25">
        <v>1</v>
      </c>
      <c r="H43" s="37">
        <f ca="1">IF(AND(B43="",NOT(A43="")),VLOOKUP(A43,TaskPlan!A:M,13,FALSE),"")</f>
        <v>40283</v>
      </c>
      <c r="I43" s="38" t="str">
        <f ca="1">IF(AND(B43="",NOT(A43="")),VLOOKUP(A43,TaskPlan!A:M,12,FALSE),"")</f>
        <v>Closed</v>
      </c>
      <c r="J43" s="39" t="str">
        <f ca="1">IF(AND(B43="",NOT(A43="")),VLOOKUP(A43,TaskPlan!A:L,2,FALSE),"")</f>
        <v>Neil</v>
      </c>
      <c r="K43" s="39" t="str">
        <f ca="1">IF(AND(B43="",NOT(A43="")),IF(NOT(LEFT(VLOOKUP(A43,TaskPlan!A:L,3,FALSE),1) = "0"),VLOOKUP(A43,TaskPlan!A:L,3,FALSE),""),"")</f>
        <v/>
      </c>
      <c r="L43" s="55" t="str">
        <f ca="1">IF(AND(B43="",NOT(A43="")),IF(NOT(LEFT(VLOOKUP(A43,TaskPlan!A:L,3,FALSE),1) = "0"),VLOOKUP(A43,TaskPlan!A:M,4,FALSE),""),"")</f>
        <v/>
      </c>
      <c r="M43" s="58" t="str">
        <f ca="1">IF(B43=".",1,IF(AND(B43="",NOT(A43="")),IF(VLOOKUP(A43,TaskPlan!A:L,5,FALSE)&gt;0,VLOOKUP(A43,TaskPlan!A:L,5,FALSE),""),""))</f>
        <v/>
      </c>
      <c r="N43" s="1" t="str">
        <f ca="1">IF(ISNA(VLOOKUP(A43,Projects!B:B,1,FALSE)),"","Yes")</f>
        <v/>
      </c>
    </row>
    <row r="44" spans="1:14" ht="25.5" hidden="1" outlineLevel="1">
      <c r="A44" s="43" t="s">
        <v>926</v>
      </c>
      <c r="C44" s="44" t="s">
        <v>925</v>
      </c>
      <c r="D44" s="7" t="s">
        <v>11</v>
      </c>
      <c r="E44" s="26">
        <v>40233</v>
      </c>
      <c r="F44" s="25">
        <v>0.5</v>
      </c>
      <c r="G44" s="28" t="s">
        <v>1213</v>
      </c>
      <c r="H44" s="37">
        <f ca="1">IF(AND(B44="",NOT(A44="")),VLOOKUP(A44,TaskPlan!A:M,13,FALSE),"")</f>
        <v>40291</v>
      </c>
      <c r="I44" s="38" t="str">
        <f ca="1">IF(AND(B44="",NOT(A44="")),VLOOKUP(A44,TaskPlan!A:M,12,FALSE),"")</f>
        <v>Closed</v>
      </c>
      <c r="J44" s="39" t="str">
        <f ca="1">IF(AND(B44="",NOT(A44="")),VLOOKUP(A44,TaskPlan!A:L,2,FALSE),"")</f>
        <v>Neil</v>
      </c>
      <c r="K44" s="39" t="str">
        <f ca="1">IF(AND(B44="",NOT(A44="")),IF(NOT(LEFT(VLOOKUP(A44,TaskPlan!A:L,3,FALSE),1) = "0"),VLOOKUP(A44,TaskPlan!A:L,3,FALSE),""),"")</f>
        <v/>
      </c>
      <c r="L44" s="55" t="str">
        <f ca="1">IF(AND(B44="",NOT(A44="")),IF(NOT(LEFT(VLOOKUP(A44,TaskPlan!A:L,3,FALSE),1) = "0"),VLOOKUP(A44,TaskPlan!A:M,4,FALSE),""),"")</f>
        <v/>
      </c>
      <c r="M44" s="58" t="str">
        <f ca="1">IF(B44=".",1,IF(AND(B44="",NOT(A44="")),IF(VLOOKUP(A44,TaskPlan!A:L,5,FALSE)&gt;0,VLOOKUP(A44,TaskPlan!A:L,5,FALSE),""),""))</f>
        <v/>
      </c>
      <c r="N44" s="1" t="str">
        <f ca="1">IF(ISNA(VLOOKUP(A44,Projects!B:B,1,FALSE)),"","Yes")</f>
        <v/>
      </c>
    </row>
    <row r="45" spans="1:14" ht="25.5" hidden="1" outlineLevel="1">
      <c r="A45" s="43" t="s">
        <v>936</v>
      </c>
      <c r="C45" s="44" t="s">
        <v>937</v>
      </c>
      <c r="D45" s="7" t="s">
        <v>759</v>
      </c>
      <c r="E45" s="26">
        <v>40233</v>
      </c>
      <c r="F45" s="25">
        <v>1</v>
      </c>
      <c r="G45" s="28" t="s">
        <v>1213</v>
      </c>
      <c r="H45" s="37">
        <f ca="1">IF(AND(B45="",NOT(A45="")),VLOOKUP(A45,TaskPlan!A:M,13,FALSE),"")</f>
        <v>40294</v>
      </c>
      <c r="I45" s="38" t="str">
        <f ca="1">IF(AND(B45="",NOT(A45="")),VLOOKUP(A45,TaskPlan!A:M,12,FALSE),"")</f>
        <v>Closed</v>
      </c>
      <c r="J45" s="39" t="str">
        <f ca="1">IF(AND(B45="",NOT(A45="")),VLOOKUP(A45,TaskPlan!A:L,2,FALSE),"")</f>
        <v>Neil</v>
      </c>
      <c r="K45" s="39" t="str">
        <f ca="1">IF(AND(B45="",NOT(A45="")),IF(NOT(LEFT(VLOOKUP(A45,TaskPlan!A:L,3,FALSE),1) = "0"),VLOOKUP(A45,TaskPlan!A:L,3,FALSE),""),"")</f>
        <v/>
      </c>
      <c r="L45" s="55" t="str">
        <f ca="1">IF(AND(B45="",NOT(A45="")),IF(NOT(LEFT(VLOOKUP(A45,TaskPlan!A:L,3,FALSE),1) = "0"),VLOOKUP(A45,TaskPlan!A:M,4,FALSE),""),"")</f>
        <v/>
      </c>
      <c r="M45" s="58" t="str">
        <f ca="1">IF(B45=".",1,IF(AND(B45="",NOT(A45="")),IF(VLOOKUP(A45,TaskPlan!A:L,5,FALSE)&gt;0,VLOOKUP(A45,TaskPlan!A:L,5,FALSE),""),""))</f>
        <v/>
      </c>
      <c r="N45" s="1" t="str">
        <f ca="1">IF(ISNA(VLOOKUP(A45,Projects!B:B,1,FALSE)),"","Yes")</f>
        <v/>
      </c>
    </row>
    <row r="46" spans="1:14" ht="25.5" hidden="1" outlineLevel="1">
      <c r="A46" s="43" t="s">
        <v>946</v>
      </c>
      <c r="C46" s="44" t="s">
        <v>947</v>
      </c>
      <c r="D46" s="7" t="s">
        <v>759</v>
      </c>
      <c r="E46" s="26">
        <v>40239</v>
      </c>
      <c r="F46" s="25">
        <v>3</v>
      </c>
      <c r="H46" s="37">
        <f ca="1">IF(AND(B46="",NOT(A46="")),VLOOKUP(A46,TaskPlan!A:M,13,FALSE),"")</f>
        <v>40283</v>
      </c>
      <c r="I46" s="38" t="str">
        <f ca="1">IF(AND(B46="",NOT(A46="")),VLOOKUP(A46,TaskPlan!A:M,12,FALSE),"")</f>
        <v>Closed</v>
      </c>
      <c r="J46" s="39" t="str">
        <f ca="1">IF(AND(B46="",NOT(A46="")),VLOOKUP(A46,TaskPlan!A:L,2,FALSE),"")</f>
        <v>Neil</v>
      </c>
      <c r="K46" s="39" t="str">
        <f ca="1">IF(AND(B46="",NOT(A46="")),IF(NOT(LEFT(VLOOKUP(A46,TaskPlan!A:L,3,FALSE),1) = "0"),VLOOKUP(A46,TaskPlan!A:L,3,FALSE),""),"")</f>
        <v/>
      </c>
      <c r="L46" s="55" t="str">
        <f ca="1">IF(AND(B46="",NOT(A46="")),IF(NOT(LEFT(VLOOKUP(A46,TaskPlan!A:L,3,FALSE),1) = "0"),VLOOKUP(A46,TaskPlan!A:M,4,FALSE),""),"")</f>
        <v/>
      </c>
      <c r="M46" s="58" t="str">
        <f ca="1">IF(B46=".",1,IF(AND(B46="",NOT(A46="")),IF(VLOOKUP(A46,TaskPlan!A:L,5,FALSE)&gt;0,VLOOKUP(A46,TaskPlan!A:L,5,FALSE),""),""))</f>
        <v/>
      </c>
      <c r="N46" s="1" t="str">
        <f ca="1">IF(ISNA(VLOOKUP(A46,Projects!B:B,1,FALSE)),"","Yes")</f>
        <v/>
      </c>
    </row>
    <row r="47" spans="1:14" ht="25.5" hidden="1" outlineLevel="1">
      <c r="A47" s="43" t="s">
        <v>1101</v>
      </c>
      <c r="C47" s="44" t="s">
        <v>1102</v>
      </c>
      <c r="D47" s="7" t="s">
        <v>11</v>
      </c>
      <c r="E47" s="26">
        <v>40291</v>
      </c>
      <c r="F47" s="25">
        <v>0.5</v>
      </c>
      <c r="G47" s="28" t="s">
        <v>1213</v>
      </c>
      <c r="H47" s="37">
        <f ca="1">IF(AND(B47="",NOT(A47="")),VLOOKUP(A47,TaskPlan!A:M,13,FALSE),"")</f>
        <v>40294</v>
      </c>
      <c r="I47" s="38" t="str">
        <f ca="1">IF(AND(B47="",NOT(A47="")),VLOOKUP(A47,TaskPlan!A:M,12,FALSE),"")</f>
        <v>Closed</v>
      </c>
      <c r="J47" s="39" t="str">
        <f ca="1">IF(AND(B47="",NOT(A47="")),VLOOKUP(A47,TaskPlan!A:L,2,FALSE),"")</f>
        <v>Neil</v>
      </c>
      <c r="K47" s="39" t="str">
        <f ca="1">IF(AND(B47="",NOT(A47="")),IF(NOT(LEFT(VLOOKUP(A47,TaskPlan!A:L,3,FALSE),1) = "0"),VLOOKUP(A47,TaskPlan!A:L,3,FALSE),""),"")</f>
        <v/>
      </c>
      <c r="L47" s="55" t="str">
        <f ca="1">IF(AND(B47="",NOT(A47="")),IF(NOT(LEFT(VLOOKUP(A47,TaskPlan!A:L,3,FALSE),1) = "0"),VLOOKUP(A47,TaskPlan!A:M,4,FALSE),""),"")</f>
        <v/>
      </c>
      <c r="M47" s="58" t="str">
        <f ca="1">IF(B47=".",1,IF(AND(B47="",NOT(A47="")),IF(VLOOKUP(A47,TaskPlan!A:L,5,FALSE)&gt;0,VLOOKUP(A47,TaskPlan!A:L,5,FALSE),""),""))</f>
        <v/>
      </c>
      <c r="N47" s="1" t="str">
        <f ca="1">IF(ISNA(VLOOKUP(A47,Projects!B:B,1,FALSE)),"","Yes")</f>
        <v/>
      </c>
    </row>
    <row r="48" spans="1:14" hidden="1" outlineLevel="1">
      <c r="A48" s="43" t="s">
        <v>1141</v>
      </c>
      <c r="C48" s="44" t="s">
        <v>1142</v>
      </c>
      <c r="D48" s="7" t="s">
        <v>11</v>
      </c>
      <c r="E48" s="26">
        <v>40304</v>
      </c>
      <c r="F48" s="25">
        <v>3</v>
      </c>
      <c r="G48" s="25" t="s">
        <v>1098</v>
      </c>
      <c r="H48" s="37">
        <f ca="1">IF(AND(B48="",NOT(A48="")),VLOOKUP(A48,TaskPlan!A:M,13,FALSE),"")</f>
        <v>40304</v>
      </c>
      <c r="I48" s="38" t="str">
        <f ca="1">IF(AND(B48="",NOT(A48="")),VLOOKUP(A48,TaskPlan!A:M,12,FALSE),"")</f>
        <v>Not Started</v>
      </c>
      <c r="J48" s="39" t="str">
        <f ca="1">IF(AND(B48="",NOT(A48="")),VLOOKUP(A48,TaskPlan!A:L,2,FALSE),"")</f>
        <v>Unassigned</v>
      </c>
      <c r="K48" s="39" t="str">
        <f ca="1">IF(AND(B48="",NOT(A48="")),IF(NOT(LEFT(VLOOKUP(A48,TaskPlan!A:L,3,FALSE),1) = "0"),VLOOKUP(A48,TaskPlan!A:L,3,FALSE),""),"")</f>
        <v>3-MED</v>
      </c>
      <c r="L48" s="55">
        <f ca="1">IF(AND(B48="",NOT(A48="")),IF(NOT(LEFT(VLOOKUP(A48,TaskPlan!A:L,3,FALSE),1) = "0"),VLOOKUP(A48,TaskPlan!A:M,4,FALSE),""),"")</f>
        <v>0</v>
      </c>
      <c r="N48" s="1" t="str">
        <f ca="1">IF(ISNA(VLOOKUP(A48,Projects!B:B,1,FALSE)),"","Yes")</f>
        <v/>
      </c>
    </row>
    <row r="49" spans="1:14" ht="38.25" hidden="1" outlineLevel="1">
      <c r="A49" s="43" t="s">
        <v>1173</v>
      </c>
      <c r="C49" s="44" t="s">
        <v>1174</v>
      </c>
      <c r="D49" s="7" t="s">
        <v>11</v>
      </c>
      <c r="E49" s="26">
        <v>40325</v>
      </c>
      <c r="F49" s="25">
        <v>2</v>
      </c>
      <c r="G49" s="25" t="s">
        <v>1098</v>
      </c>
      <c r="H49" s="37">
        <f ca="1">IF(AND(B49="",NOT(A49="")),VLOOKUP(A49,TaskPlan!A:M,13,FALSE),"")</f>
        <v>40403</v>
      </c>
      <c r="I49" s="38" t="str">
        <f ca="1">IF(AND(B49="",NOT(A49="")),VLOOKUP(A49,TaskPlan!A:M,12,FALSE),"")</f>
        <v>Closed</v>
      </c>
      <c r="J49" s="39" t="str">
        <f ca="1">IF(AND(B49="",NOT(A49="")),VLOOKUP(A49,TaskPlan!A:L,2,FALSE),"")</f>
        <v>Sreevani</v>
      </c>
      <c r="K49" s="39" t="str">
        <f ca="1">IF(AND(B49="",NOT(A49="")),IF(NOT(LEFT(VLOOKUP(A49,TaskPlan!A:L,3,FALSE),1) = "0"),VLOOKUP(A49,TaskPlan!A:L,3,FALSE),""),"")</f>
        <v/>
      </c>
      <c r="L49" s="55" t="str">
        <f ca="1">IF(AND(B49="",NOT(A49="")),IF(NOT(LEFT(VLOOKUP(A49,TaskPlan!A:L,3,FALSE),1) = "0"),VLOOKUP(A49,TaskPlan!A:M,4,FALSE),""),"")</f>
        <v/>
      </c>
      <c r="N49" s="1" t="str">
        <f ca="1">IF(ISNA(VLOOKUP(A49,Projects!B:B,1,FALSE)),"","Yes")</f>
        <v>Yes</v>
      </c>
    </row>
    <row r="50" spans="1:14" ht="25.5" hidden="1" outlineLevel="1">
      <c r="A50" s="43" t="s">
        <v>1195</v>
      </c>
      <c r="C50" s="44" t="s">
        <v>1196</v>
      </c>
      <c r="D50" s="7" t="s">
        <v>11</v>
      </c>
      <c r="E50" s="26">
        <v>40336</v>
      </c>
      <c r="F50" s="25">
        <v>1</v>
      </c>
      <c r="G50" s="25" t="s">
        <v>1098</v>
      </c>
      <c r="H50" s="37">
        <f ca="1">IF(AND(B50="",NOT(A50="")),VLOOKUP(A50,TaskPlan!A:M,13,FALSE),"")</f>
        <v>40553</v>
      </c>
      <c r="I50" s="38" t="str">
        <f ca="1">IF(AND(B50="",NOT(A50="")),VLOOKUP(A50,TaskPlan!A:M,12,FALSE),"")</f>
        <v>Not Started</v>
      </c>
      <c r="J50" s="39" t="str">
        <f ca="1">IF(AND(B50="",NOT(A50="")),VLOOKUP(A50,TaskPlan!A:L,2,FALSE),"")</f>
        <v>Sreevani</v>
      </c>
      <c r="K50" s="39" t="str">
        <f ca="1">IF(AND(B50="",NOT(A50="")),IF(NOT(LEFT(VLOOKUP(A50,TaskPlan!A:L,3,FALSE),1) = "0"),VLOOKUP(A50,TaskPlan!A:L,3,FALSE),""),"")</f>
        <v>2-LOW</v>
      </c>
      <c r="L50" s="55">
        <f ca="1">IF(AND(B50="",NOT(A50="")),IF(NOT(LEFT(VLOOKUP(A50,TaskPlan!A:L,3,FALSE),1) = "0"),VLOOKUP(A50,TaskPlan!A:M,4,FALSE),""),"")</f>
        <v>0</v>
      </c>
      <c r="N50" s="1" t="str">
        <f ca="1">IF(ISNA(VLOOKUP(A50,Projects!B:B,1,FALSE)),"","Yes")</f>
        <v/>
      </c>
    </row>
    <row r="51" spans="1:14" hidden="1" outlineLevel="1">
      <c r="A51" s="43" t="s">
        <v>1203</v>
      </c>
      <c r="C51" s="44" t="s">
        <v>1204</v>
      </c>
      <c r="D51" s="7" t="s">
        <v>11</v>
      </c>
      <c r="E51" s="26">
        <v>40337</v>
      </c>
      <c r="F51" s="25">
        <v>1</v>
      </c>
      <c r="G51" s="28" t="s">
        <v>1213</v>
      </c>
      <c r="H51" s="37">
        <f ca="1">IF(AND(B51="",NOT(A51="")),VLOOKUP(A51,TaskPlan!A:M,13,FALSE),"")</f>
        <v>40403</v>
      </c>
      <c r="I51" s="38" t="str">
        <f ca="1">IF(AND(B51="",NOT(A51="")),VLOOKUP(A51,TaskPlan!A:M,12,FALSE),"")</f>
        <v>Closed</v>
      </c>
      <c r="J51" s="39" t="str">
        <f ca="1">IF(AND(B51="",NOT(A51="")),VLOOKUP(A51,TaskPlan!A:L,2,FALSE),"")</f>
        <v>Sreevani</v>
      </c>
      <c r="K51" s="39" t="str">
        <f ca="1">IF(AND(B51="",NOT(A51="")),IF(NOT(LEFT(VLOOKUP(A51,TaskPlan!A:L,3,FALSE),1) = "0"),VLOOKUP(A51,TaskPlan!A:L,3,FALSE),""),"")</f>
        <v/>
      </c>
      <c r="L51" s="55" t="str">
        <f ca="1">IF(AND(B51="",NOT(A51="")),IF(NOT(LEFT(VLOOKUP(A51,TaskPlan!A:L,3,FALSE),1) = "0"),VLOOKUP(A51,TaskPlan!A:M,4,FALSE),""),"")</f>
        <v/>
      </c>
      <c r="N51" s="1" t="str">
        <f ca="1">IF(ISNA(VLOOKUP(A51,Projects!B:B,1,FALSE)),"","Yes")</f>
        <v>Yes</v>
      </c>
    </row>
    <row r="52" spans="1:14" hidden="1" outlineLevel="1">
      <c r="A52" s="43" t="s">
        <v>1205</v>
      </c>
      <c r="C52" s="44" t="s">
        <v>1206</v>
      </c>
      <c r="D52" s="7" t="s">
        <v>11</v>
      </c>
      <c r="E52" s="26">
        <v>40338</v>
      </c>
      <c r="F52" s="25">
        <v>0.5</v>
      </c>
      <c r="G52" s="28" t="s">
        <v>1213</v>
      </c>
      <c r="H52" s="37">
        <f ca="1">IF(AND(B52="",NOT(A52="")),VLOOKUP(A52,TaskPlan!A:M,13,FALSE),"")</f>
        <v>40568</v>
      </c>
      <c r="I52" s="38" t="str">
        <f ca="1">IF(AND(B52="",NOT(A52="")),VLOOKUP(A52,TaskPlan!A:M,12,FALSE),"")</f>
        <v>Not Started</v>
      </c>
      <c r="J52" s="39" t="str">
        <f ca="1">IF(AND(B52="",NOT(A52="")),VLOOKUP(A52,TaskPlan!A:L,2,FALSE),"")</f>
        <v>Pramendra</v>
      </c>
      <c r="K52" s="39" t="str">
        <f ca="1">IF(AND(B52="",NOT(A52="")),IF(NOT(LEFT(VLOOKUP(A52,TaskPlan!A:L,3,FALSE),1) = "0"),VLOOKUP(A52,TaskPlan!A:L,3,FALSE),""),"")</f>
        <v>2-LOW</v>
      </c>
      <c r="L52" s="55">
        <f ca="1">IF(AND(B52="",NOT(A52="")),IF(NOT(LEFT(VLOOKUP(A52,TaskPlan!A:L,3,FALSE),1) = "0"),VLOOKUP(A52,TaskPlan!A:M,4,FALSE),""),"")</f>
        <v>0</v>
      </c>
      <c r="N52" s="1" t="str">
        <f ca="1">IF(ISNA(VLOOKUP(A52,Projects!B:B,1,FALSE)),"","Yes")</f>
        <v/>
      </c>
    </row>
    <row r="53" spans="1:14" hidden="1" outlineLevel="1">
      <c r="A53" s="43" t="s">
        <v>1207</v>
      </c>
      <c r="C53" s="44" t="s">
        <v>1208</v>
      </c>
      <c r="D53" s="7" t="s">
        <v>11</v>
      </c>
      <c r="E53" s="26">
        <v>40520</v>
      </c>
      <c r="F53" s="25">
        <v>3</v>
      </c>
      <c r="G53" s="25" t="s">
        <v>1098</v>
      </c>
      <c r="H53" s="37">
        <f ca="1">IF(AND(B53="",NOT(A53="")),VLOOKUP(A53,TaskPlan!A:M,13,FALSE),"")</f>
        <v>40340</v>
      </c>
      <c r="I53" s="38" t="str">
        <f ca="1">IF(AND(B53="",NOT(A53="")),VLOOKUP(A53,TaskPlan!A:M,12,FALSE),"")</f>
        <v>Not Started</v>
      </c>
      <c r="J53" s="39" t="str">
        <f ca="1">IF(AND(B53="",NOT(A53="")),VLOOKUP(A53,TaskPlan!A:L,2,FALSE),"")</f>
        <v>Unassigned</v>
      </c>
      <c r="K53" s="39" t="str">
        <f ca="1">IF(AND(B53="",NOT(A53="")),IF(NOT(LEFT(VLOOKUP(A53,TaskPlan!A:L,3,FALSE),1) = "0"),VLOOKUP(A53,TaskPlan!A:L,3,FALSE),""),"")</f>
        <v>2-LOW</v>
      </c>
      <c r="L53" s="55">
        <f ca="1">IF(AND(B53="",NOT(A53="")),IF(NOT(LEFT(VLOOKUP(A53,TaskPlan!A:L,3,FALSE),1) = "0"),VLOOKUP(A53,TaskPlan!A:M,4,FALSE),""),"")</f>
        <v>0</v>
      </c>
      <c r="N53" s="1" t="str">
        <f ca="1">IF(ISNA(VLOOKUP(A53,Projects!B:B,1,FALSE)),"","Yes")</f>
        <v/>
      </c>
    </row>
    <row r="54" spans="1:14" hidden="1" outlineLevel="1">
      <c r="A54" s="43" t="s">
        <v>1219</v>
      </c>
      <c r="C54" s="44" t="s">
        <v>1220</v>
      </c>
      <c r="D54" s="7" t="s">
        <v>11</v>
      </c>
      <c r="E54" s="26">
        <v>40339</v>
      </c>
      <c r="F54" s="25">
        <v>1</v>
      </c>
      <c r="G54" s="28" t="s">
        <v>1213</v>
      </c>
      <c r="H54" s="37">
        <f ca="1">IF(AND(B54="",NOT(A54="")),VLOOKUP(A54,TaskPlan!A:M,13,FALSE),"")</f>
        <v>40514</v>
      </c>
      <c r="I54" s="38" t="str">
        <f ca="1">IF(AND(B54="",NOT(A54="")),VLOOKUP(A54,TaskPlan!A:M,12,FALSE),"")</f>
        <v>Closed</v>
      </c>
      <c r="J54" s="39" t="str">
        <f ca="1">IF(AND(B54="",NOT(A54="")),VLOOKUP(A54,TaskPlan!A:L,2,FALSE),"")</f>
        <v>Neil</v>
      </c>
      <c r="K54" s="39" t="str">
        <f ca="1">IF(AND(B54="",NOT(A54="")),IF(NOT(LEFT(VLOOKUP(A54,TaskPlan!A:L,3,FALSE),1) = "0"),VLOOKUP(A54,TaskPlan!A:L,3,FALSE),""),"")</f>
        <v/>
      </c>
      <c r="L54" s="55" t="str">
        <f ca="1">IF(AND(B54="",NOT(A54="")),IF(NOT(LEFT(VLOOKUP(A54,TaskPlan!A:L,3,FALSE),1) = "0"),VLOOKUP(A54,TaskPlan!A:M,4,FALSE),""),"")</f>
        <v/>
      </c>
      <c r="N54" s="1" t="str">
        <f ca="1">IF(ISNA(VLOOKUP(A54,Projects!B:B,1,FALSE)),"","Yes")</f>
        <v/>
      </c>
    </row>
    <row r="55" spans="1:14" hidden="1" outlineLevel="1">
      <c r="A55" s="43" t="s">
        <v>1555</v>
      </c>
      <c r="C55" s="44" t="s">
        <v>1556</v>
      </c>
      <c r="D55" s="7" t="s">
        <v>11</v>
      </c>
      <c r="E55" s="26">
        <v>40452</v>
      </c>
      <c r="F55" s="25">
        <v>2</v>
      </c>
      <c r="G55" s="25" t="s">
        <v>1098</v>
      </c>
      <c r="H55" s="37">
        <f ca="1">IF(AND(B55="",NOT(A55="")),VLOOKUP(A55,TaskPlan!A:M,13,FALSE),"")</f>
        <v>40452</v>
      </c>
      <c r="I55" s="38" t="str">
        <f ca="1">IF(AND(B55="",NOT(A55="")),VLOOKUP(A55,TaskPlan!A:M,12,FALSE),"")</f>
        <v>Not Started</v>
      </c>
      <c r="J55" s="39" t="str">
        <f ca="1">IF(AND(B55="",NOT(A55="")),VLOOKUP(A55,TaskPlan!A:L,2,FALSE),"")</f>
        <v>Unassigned</v>
      </c>
      <c r="K55" s="39" t="str">
        <f ca="1">IF(AND(B55="",NOT(A55="")),IF(NOT(LEFT(VLOOKUP(A55,TaskPlan!A:L,3,FALSE),1) = "0"),VLOOKUP(A55,TaskPlan!A:L,3,FALSE),""),"")</f>
        <v>2-LOW</v>
      </c>
      <c r="L55" s="55">
        <f ca="1">IF(AND(B55="",NOT(A55="")),IF(NOT(LEFT(VLOOKUP(A55,TaskPlan!A:L,3,FALSE),1) = "0"),VLOOKUP(A55,TaskPlan!A:M,4,FALSE),""),"")</f>
        <v>0</v>
      </c>
      <c r="N55" s="1" t="str">
        <f ca="1">IF(ISNA(VLOOKUP(A55,Projects!B:B,1,FALSE)),"","Yes")</f>
        <v/>
      </c>
    </row>
    <row r="56" spans="1:14" hidden="1" outlineLevel="1">
      <c r="A56" s="43" t="s">
        <v>1561</v>
      </c>
      <c r="C56" s="44" t="s">
        <v>1562</v>
      </c>
      <c r="D56" s="7" t="s">
        <v>759</v>
      </c>
      <c r="E56" s="26">
        <v>40452</v>
      </c>
      <c r="F56" s="25">
        <v>3</v>
      </c>
      <c r="G56" s="25" t="s">
        <v>1098</v>
      </c>
      <c r="H56" s="37">
        <f ca="1">IF(AND(B56="",NOT(A56="")),VLOOKUP(A56,TaskPlan!A:M,13,FALSE),"")</f>
        <v>40514</v>
      </c>
      <c r="I56" s="38" t="str">
        <f ca="1">IF(AND(B56="",NOT(A56="")),VLOOKUP(A56,TaskPlan!A:M,12,FALSE),"")</f>
        <v>Closed</v>
      </c>
      <c r="J56" s="39" t="str">
        <f ca="1">IF(AND(B56="",NOT(A56="")),VLOOKUP(A56,TaskPlan!A:L,2,FALSE),"")</f>
        <v>Neil</v>
      </c>
      <c r="K56" s="39" t="str">
        <f ca="1">IF(AND(B56="",NOT(A56="")),IF(NOT(LEFT(VLOOKUP(A56,TaskPlan!A:L,3,FALSE),1) = "0"),VLOOKUP(A56,TaskPlan!A:L,3,FALSE),""),"")</f>
        <v/>
      </c>
      <c r="L56" s="55" t="str">
        <f ca="1">IF(AND(B56="",NOT(A56="")),IF(NOT(LEFT(VLOOKUP(A56,TaskPlan!A:L,3,FALSE),1) = "0"),VLOOKUP(A56,TaskPlan!A:M,4,FALSE),""),"")</f>
        <v/>
      </c>
      <c r="N56" s="1" t="str">
        <f ca="1">IF(ISNA(VLOOKUP(A56,Projects!B:B,1,FALSE)),"","Yes")</f>
        <v/>
      </c>
    </row>
    <row r="57" spans="1:14" hidden="1" outlineLevel="1">
      <c r="A57" s="43" t="s">
        <v>1599</v>
      </c>
      <c r="C57" s="44" t="s">
        <v>1600</v>
      </c>
      <c r="D57" s="7" t="s">
        <v>756</v>
      </c>
      <c r="E57" s="26">
        <v>40459</v>
      </c>
      <c r="F57" s="25">
        <v>1</v>
      </c>
      <c r="G57" s="28" t="s">
        <v>1213</v>
      </c>
      <c r="H57" s="37">
        <f ca="1">IF(AND(B57="",NOT(A57="")),VLOOKUP(A57,TaskPlan!A:M,13,FALSE),"")</f>
        <v>40514</v>
      </c>
      <c r="I57" s="38" t="str">
        <f ca="1">IF(AND(B57="",NOT(A57="")),VLOOKUP(A57,TaskPlan!A:M,12,FALSE),"")</f>
        <v>Closed</v>
      </c>
      <c r="J57" s="39" t="str">
        <f ca="1">IF(AND(B57="",NOT(A57="")),VLOOKUP(A57,TaskPlan!A:L,2,FALSE),"")</f>
        <v>Neil</v>
      </c>
      <c r="K57" s="39" t="str">
        <f ca="1">IF(AND(B57="",NOT(A57="")),IF(NOT(LEFT(VLOOKUP(A57,TaskPlan!A:L,3,FALSE),1) = "0"),VLOOKUP(A57,TaskPlan!A:L,3,FALSE),""),"")</f>
        <v/>
      </c>
      <c r="L57" s="55" t="str">
        <f ca="1">IF(AND(B57="",NOT(A57="")),IF(NOT(LEFT(VLOOKUP(A57,TaskPlan!A:L,3,FALSE),1) = "0"),VLOOKUP(A57,TaskPlan!A:M,4,FALSE),""),"")</f>
        <v/>
      </c>
      <c r="N57" s="1" t="str">
        <f ca="1">IF(ISNA(VLOOKUP(A57,Projects!B:B,1,FALSE)),"","Yes")</f>
        <v/>
      </c>
    </row>
    <row r="58" spans="1:14" ht="25.5" hidden="1" outlineLevel="1">
      <c r="A58" s="43" t="s">
        <v>1615</v>
      </c>
      <c r="C58" s="44" t="s">
        <v>1616</v>
      </c>
      <c r="D58" s="7" t="s">
        <v>11</v>
      </c>
      <c r="E58" s="26">
        <v>40469</v>
      </c>
      <c r="F58" s="25">
        <v>1</v>
      </c>
      <c r="G58" s="25" t="s">
        <v>1098</v>
      </c>
      <c r="H58" s="37">
        <f ca="1">IF(AND(B58="",NOT(A58="")),VLOOKUP(A58,TaskPlan!A:M,13,FALSE),"")</f>
        <v>40514</v>
      </c>
      <c r="I58" s="38" t="str">
        <f ca="1">IF(AND(B58="",NOT(A58="")),VLOOKUP(A58,TaskPlan!A:M,12,FALSE),"")</f>
        <v>Closed</v>
      </c>
      <c r="J58" s="39" t="str">
        <f ca="1">IF(AND(B58="",NOT(A58="")),VLOOKUP(A58,TaskPlan!A:L,2,FALSE),"")</f>
        <v>Neil</v>
      </c>
      <c r="K58" s="39" t="str">
        <f ca="1">IF(AND(B58="",NOT(A58="")),IF(NOT(LEFT(VLOOKUP(A58,TaskPlan!A:L,3,FALSE),1) = "0"),VLOOKUP(A58,TaskPlan!A:L,3,FALSE),""),"")</f>
        <v/>
      </c>
      <c r="L58" s="55" t="str">
        <f ca="1">IF(AND(B58="",NOT(A58="")),IF(NOT(LEFT(VLOOKUP(A58,TaskPlan!A:L,3,FALSE),1) = "0"),VLOOKUP(A58,TaskPlan!A:M,4,FALSE),""),"")</f>
        <v/>
      </c>
      <c r="N58" s="1" t="str">
        <f ca="1">IF(ISNA(VLOOKUP(A58,Projects!B:B,1,FALSE)),"","Yes")</f>
        <v/>
      </c>
    </row>
    <row r="59" spans="1:14" ht="25.5" hidden="1" outlineLevel="1">
      <c r="A59" s="43" t="s">
        <v>1617</v>
      </c>
      <c r="C59" s="44" t="s">
        <v>1618</v>
      </c>
      <c r="D59" s="7" t="s">
        <v>11</v>
      </c>
      <c r="E59" s="26">
        <v>40469</v>
      </c>
      <c r="F59" s="25">
        <v>1</v>
      </c>
      <c r="G59" s="25" t="s">
        <v>1098</v>
      </c>
      <c r="H59" s="37">
        <f ca="1">IF(AND(B59="",NOT(A59="")),VLOOKUP(A59,TaskPlan!A:M,13,FALSE),"")</f>
        <v>40514</v>
      </c>
      <c r="I59" s="38" t="str">
        <f ca="1">IF(AND(B59="",NOT(A59="")),VLOOKUP(A59,TaskPlan!A:M,12,FALSE),"")</f>
        <v>Closed</v>
      </c>
      <c r="J59" s="39" t="str">
        <f ca="1">IF(AND(B59="",NOT(A59="")),VLOOKUP(A59,TaskPlan!A:L,2,FALSE),"")</f>
        <v>Neil</v>
      </c>
      <c r="K59" s="39" t="str">
        <f ca="1">IF(AND(B59="",NOT(A59="")),IF(NOT(LEFT(VLOOKUP(A59,TaskPlan!A:L,3,FALSE),1) = "0"),VLOOKUP(A59,TaskPlan!A:L,3,FALSE),""),"")</f>
        <v/>
      </c>
      <c r="L59" s="55" t="str">
        <f ca="1">IF(AND(B59="",NOT(A59="")),IF(NOT(LEFT(VLOOKUP(A59,TaskPlan!A:L,3,FALSE),1) = "0"),VLOOKUP(A59,TaskPlan!A:M,4,FALSE),""),"")</f>
        <v/>
      </c>
      <c r="N59" s="1" t="str">
        <f ca="1">IF(ISNA(VLOOKUP(A59,Projects!B:B,1,FALSE)),"","Yes")</f>
        <v/>
      </c>
    </row>
    <row r="60" spans="1:14" ht="25.5" hidden="1" outlineLevel="1">
      <c r="A60" s="43" t="s">
        <v>1620</v>
      </c>
      <c r="C60" s="44" t="s">
        <v>1619</v>
      </c>
      <c r="D60" s="7" t="s">
        <v>11</v>
      </c>
      <c r="E60" s="26">
        <v>40470</v>
      </c>
      <c r="F60" s="25">
        <v>2</v>
      </c>
      <c r="G60" s="25" t="s">
        <v>1098</v>
      </c>
      <c r="H60" s="37">
        <f ca="1">IF(AND(B60="",NOT(A60="")),VLOOKUP(A60,TaskPlan!A:M,13,FALSE),"")</f>
        <v>40568</v>
      </c>
      <c r="I60" s="38" t="str">
        <f ca="1">IF(AND(B60="",NOT(A60="")),VLOOKUP(A60,TaskPlan!A:M,12,FALSE),"")</f>
        <v>Not Started</v>
      </c>
      <c r="J60" s="39" t="str">
        <f ca="1">IF(AND(B60="",NOT(A60="")),VLOOKUP(A60,TaskPlan!A:L,2,FALSE),"")</f>
        <v>Pramendra</v>
      </c>
      <c r="K60" s="39" t="str">
        <f ca="1">IF(AND(B60="",NOT(A60="")),IF(NOT(LEFT(VLOOKUP(A60,TaskPlan!A:L,3,FALSE),1) = "0"),VLOOKUP(A60,TaskPlan!A:L,3,FALSE),""),"")</f>
        <v>3-MED</v>
      </c>
      <c r="L60" s="55">
        <f ca="1">IF(AND(B60="",NOT(A60="")),IF(NOT(LEFT(VLOOKUP(A60,TaskPlan!A:L,3,FALSE),1) = "0"),VLOOKUP(A60,TaskPlan!A:M,4,FALSE),""),"")</f>
        <v>0</v>
      </c>
      <c r="N60" s="1" t="str">
        <f ca="1">IF(ISNA(VLOOKUP(A60,Projects!B:B,1,FALSE)),"","Yes")</f>
        <v/>
      </c>
    </row>
    <row r="61" spans="1:14" hidden="1" outlineLevel="1">
      <c r="A61" s="43" t="s">
        <v>1679</v>
      </c>
      <c r="C61" s="44" t="s">
        <v>1724</v>
      </c>
      <c r="D61" s="7" t="s">
        <v>11</v>
      </c>
      <c r="E61" s="26">
        <v>40508</v>
      </c>
      <c r="F61" s="25">
        <v>1</v>
      </c>
      <c r="G61" s="25" t="s">
        <v>1099</v>
      </c>
      <c r="H61" s="37">
        <f ca="1">IF(AND(B61="",NOT(A61="")),VLOOKUP(A61,TaskPlan!A:M,13,FALSE),"")</f>
        <v>40514</v>
      </c>
      <c r="I61" s="38" t="str">
        <f ca="1">IF(AND(B61="",NOT(A61="")),VLOOKUP(A61,TaskPlan!A:M,12,FALSE),"")</f>
        <v>Closed</v>
      </c>
      <c r="J61" s="39" t="str">
        <f ca="1">IF(AND(B61="",NOT(A61="")),VLOOKUP(A61,TaskPlan!A:L,2,FALSE),"")</f>
        <v>Neil</v>
      </c>
      <c r="K61" s="39" t="str">
        <f ca="1">IF(AND(B61="",NOT(A61="")),IF(NOT(LEFT(VLOOKUP(A61,TaskPlan!A:L,3,FALSE),1) = "0"),VLOOKUP(A61,TaskPlan!A:L,3,FALSE),""),"")</f>
        <v/>
      </c>
      <c r="L61" s="55" t="str">
        <f ca="1">IF(AND(B61="",NOT(A61="")),IF(NOT(LEFT(VLOOKUP(A61,TaskPlan!A:L,3,FALSE),1) = "0"),VLOOKUP(A61,TaskPlan!A:M,4,FALSE),""),"")</f>
        <v/>
      </c>
      <c r="N61" s="1" t="str">
        <f ca="1">IF(ISNA(VLOOKUP(A61,Projects!B:B,1,FALSE)),"","Yes")</f>
        <v>Yes</v>
      </c>
    </row>
    <row r="62" spans="1:14" hidden="1" outlineLevel="1">
      <c r="A62" s="43" t="s">
        <v>1680</v>
      </c>
      <c r="C62" s="44" t="s">
        <v>1681</v>
      </c>
      <c r="D62" s="7" t="s">
        <v>11</v>
      </c>
      <c r="E62" s="26">
        <v>40508</v>
      </c>
      <c r="F62" s="25">
        <v>1</v>
      </c>
      <c r="G62" s="25" t="s">
        <v>1099</v>
      </c>
      <c r="H62" s="37">
        <f ca="1">IF(AND(B62="",NOT(A62="")),VLOOKUP(A62,TaskPlan!A:M,13,FALSE),"")</f>
        <v>40514</v>
      </c>
      <c r="I62" s="38" t="str">
        <f ca="1">IF(AND(B62="",NOT(A62="")),VLOOKUP(A62,TaskPlan!A:M,12,FALSE),"")</f>
        <v>Closed</v>
      </c>
      <c r="J62" s="39" t="str">
        <f ca="1">IF(AND(B62="",NOT(A62="")),VLOOKUP(A62,TaskPlan!A:L,2,FALSE),"")</f>
        <v>Neil</v>
      </c>
      <c r="K62" s="39" t="str">
        <f ca="1">IF(AND(B62="",NOT(A62="")),IF(NOT(LEFT(VLOOKUP(A62,TaskPlan!A:L,3,FALSE),1) = "0"),VLOOKUP(A62,TaskPlan!A:L,3,FALSE),""),"")</f>
        <v/>
      </c>
      <c r="L62" s="55" t="str">
        <f ca="1">IF(AND(B62="",NOT(A62="")),IF(NOT(LEFT(VLOOKUP(A62,TaskPlan!A:L,3,FALSE),1) = "0"),VLOOKUP(A62,TaskPlan!A:M,4,FALSE),""),"")</f>
        <v/>
      </c>
      <c r="N62" s="1" t="str">
        <f ca="1">IF(ISNA(VLOOKUP(A62,Projects!B:B,1,FALSE)),"","Yes")</f>
        <v>Yes</v>
      </c>
    </row>
    <row r="63" spans="1:14" hidden="1" outlineLevel="1">
      <c r="A63" s="43" t="s">
        <v>1722</v>
      </c>
      <c r="C63" s="44" t="s">
        <v>1723</v>
      </c>
      <c r="D63" s="7" t="s">
        <v>756</v>
      </c>
      <c r="E63" s="26">
        <v>40507</v>
      </c>
      <c r="F63" s="25">
        <v>0.5</v>
      </c>
      <c r="G63" s="25" t="s">
        <v>1099</v>
      </c>
      <c r="H63" s="37">
        <f ca="1">IF(AND(B63="",NOT(A63="")),VLOOKUP(A63,TaskPlan!A:M,13,FALSE),"")</f>
        <v>40514</v>
      </c>
      <c r="I63" s="38" t="str">
        <f ca="1">IF(AND(B63="",NOT(A63="")),VLOOKUP(A63,TaskPlan!A:M,12,FALSE),"")</f>
        <v>Closed</v>
      </c>
      <c r="J63" s="39" t="str">
        <f ca="1">IF(AND(B63="",NOT(A63="")),VLOOKUP(A63,TaskPlan!A:L,2,FALSE),"")</f>
        <v>Neil</v>
      </c>
      <c r="K63" s="39" t="str">
        <f ca="1">IF(AND(B63="",NOT(A63="")),IF(NOT(LEFT(VLOOKUP(A63,TaskPlan!A:L,3,FALSE),1) = "0"),VLOOKUP(A63,TaskPlan!A:L,3,FALSE),""),"")</f>
        <v/>
      </c>
      <c r="L63" s="55" t="str">
        <f ca="1">IF(AND(B63="",NOT(A63="")),IF(NOT(LEFT(VLOOKUP(A63,TaskPlan!A:L,3,FALSE),1) = "0"),VLOOKUP(A63,TaskPlan!A:M,4,FALSE),""),"")</f>
        <v/>
      </c>
      <c r="N63" s="1" t="str">
        <f ca="1">IF(ISNA(VLOOKUP(A63,Projects!B:B,1,FALSE)),"","Yes")</f>
        <v/>
      </c>
    </row>
    <row r="64" spans="1:14" hidden="1" outlineLevel="1">
      <c r="A64" s="43" t="s">
        <v>1827</v>
      </c>
      <c r="C64" s="44" t="s">
        <v>1828</v>
      </c>
      <c r="D64" s="7" t="s">
        <v>759</v>
      </c>
      <c r="E64" s="26">
        <v>40568</v>
      </c>
      <c r="F64" s="25">
        <v>4</v>
      </c>
      <c r="G64" s="25" t="s">
        <v>1099</v>
      </c>
      <c r="H64" s="37">
        <f ca="1">IF(AND(B64="",NOT(A64="")),VLOOKUP(A64,TaskPlan!A:M,13,FALSE),"")</f>
        <v>40568</v>
      </c>
      <c r="I64" s="38" t="str">
        <f ca="1">IF(AND(B64="",NOT(A64="")),VLOOKUP(A64,TaskPlan!A:M,12,FALSE),"")</f>
        <v>Not Started</v>
      </c>
      <c r="J64" s="39" t="str">
        <f ca="1">IF(AND(B64="",NOT(A64="")),VLOOKUP(A64,TaskPlan!A:L,2,FALSE),"")</f>
        <v>Pramendra</v>
      </c>
      <c r="K64" s="39" t="str">
        <f ca="1">IF(AND(B64="",NOT(A64="")),IF(NOT(LEFT(VLOOKUP(A64,TaskPlan!A:L,3,FALSE),1) = "0"),VLOOKUP(A64,TaskPlan!A:L,3,FALSE),""),"")</f>
        <v>3-MED</v>
      </c>
      <c r="L64" s="55">
        <f ca="1">IF(AND(B64="",NOT(A64="")),IF(NOT(LEFT(VLOOKUP(A64,TaskPlan!A:L,3,FALSE),1) = "0"),VLOOKUP(A64,TaskPlan!A:M,4,FALSE),""),"")</f>
        <v>0</v>
      </c>
      <c r="N64" s="1" t="str">
        <f ca="1">IF(ISNA(VLOOKUP(A64,Projects!B:B,1,FALSE)),"","Yes")</f>
        <v>Yes</v>
      </c>
    </row>
    <row r="65" spans="1:14" hidden="1" outlineLevel="1">
      <c r="A65" s="43" t="s">
        <v>1829</v>
      </c>
      <c r="C65" s="1" t="s">
        <v>1831</v>
      </c>
      <c r="D65" s="7" t="s">
        <v>759</v>
      </c>
      <c r="E65" s="26">
        <v>40568</v>
      </c>
      <c r="F65" s="25">
        <v>1</v>
      </c>
      <c r="G65" s="25" t="s">
        <v>1099</v>
      </c>
      <c r="H65" s="37">
        <f ca="1">IF(AND(B65="",NOT(A65="")),VLOOKUP(A65,TaskPlan!A:M,13,FALSE),"")</f>
        <v>40555</v>
      </c>
      <c r="I65" s="38" t="str">
        <f ca="1">IF(AND(B65="",NOT(A65="")),VLOOKUP(A65,TaskPlan!A:M,12,FALSE),"")</f>
        <v>Not Started</v>
      </c>
      <c r="J65" s="39" t="str">
        <f ca="1">IF(AND(B65="",NOT(A65="")),VLOOKUP(A65,TaskPlan!A:L,2,FALSE),"")</f>
        <v>Pramendra</v>
      </c>
      <c r="K65" s="39" t="str">
        <f ca="1">IF(AND(B65="",NOT(A65="")),IF(NOT(LEFT(VLOOKUP(A65,TaskPlan!A:L,3,FALSE),1) = "0"),VLOOKUP(A65,TaskPlan!A:L,3,FALSE),""),"")</f>
        <v>3-MED</v>
      </c>
      <c r="L65" s="55">
        <f ca="1">IF(AND(B65="",NOT(A65="")),IF(NOT(LEFT(VLOOKUP(A65,TaskPlan!A:L,3,FALSE),1) = "0"),VLOOKUP(A65,TaskPlan!A:M,4,FALSE),""),"")</f>
        <v>0</v>
      </c>
      <c r="N65" s="1" t="str">
        <f ca="1">IF(ISNA(VLOOKUP(A65,Projects!B:B,1,FALSE)),"","Yes")</f>
        <v>Yes</v>
      </c>
    </row>
    <row r="66" spans="1:14" hidden="1" outlineLevel="1">
      <c r="A66" s="43" t="s">
        <v>1830</v>
      </c>
      <c r="C66" s="44" t="s">
        <v>1832</v>
      </c>
      <c r="D66" s="7" t="s">
        <v>759</v>
      </c>
      <c r="E66" s="26">
        <v>40568</v>
      </c>
      <c r="F66" s="25">
        <v>1</v>
      </c>
      <c r="G66" s="25" t="s">
        <v>1099</v>
      </c>
      <c r="H66" s="37">
        <f ca="1">IF(AND(B66="",NOT(A66="")),VLOOKUP(A66,TaskPlan!A:M,13,FALSE),"")</f>
        <v>40568</v>
      </c>
      <c r="I66" s="38" t="str">
        <f ca="1">IF(AND(B66="",NOT(A66="")),VLOOKUP(A66,TaskPlan!A:M,12,FALSE),"")</f>
        <v>Not Started</v>
      </c>
      <c r="J66" s="39" t="str">
        <f ca="1">IF(AND(B66="",NOT(A66="")),VLOOKUP(A66,TaskPlan!A:L,2,FALSE),"")</f>
        <v>Pramendra</v>
      </c>
      <c r="K66" s="39" t="str">
        <f ca="1">IF(AND(B66="",NOT(A66="")),IF(NOT(LEFT(VLOOKUP(A66,TaskPlan!A:L,3,FALSE),1) = "0"),VLOOKUP(A66,TaskPlan!A:L,3,FALSE),""),"")</f>
        <v>3-MED</v>
      </c>
      <c r="L66" s="55">
        <f ca="1">IF(AND(B66="",NOT(A66="")),IF(NOT(LEFT(VLOOKUP(A66,TaskPlan!A:L,3,FALSE),1) = "0"),VLOOKUP(A66,TaskPlan!A:M,4,FALSE),""),"")</f>
        <v>0</v>
      </c>
      <c r="N66" s="1" t="str">
        <f ca="1">IF(ISNA(VLOOKUP(A66,Projects!B:B,1,FALSE)),"","Yes")</f>
        <v>Yes</v>
      </c>
    </row>
    <row r="67" spans="1:14" hidden="1" outlineLevel="1">
      <c r="A67" s="43" t="s">
        <v>1876</v>
      </c>
      <c r="C67" s="44" t="s">
        <v>1877</v>
      </c>
      <c r="D67" s="7" t="s">
        <v>759</v>
      </c>
      <c r="E67" s="26">
        <v>40563</v>
      </c>
      <c r="F67" s="25">
        <v>5</v>
      </c>
      <c r="G67" s="25" t="s">
        <v>1099</v>
      </c>
      <c r="H67" s="37">
        <f ca="1">IF(AND(B67="",NOT(A67="")),VLOOKUP(A67,TaskPlan!A:M,13,FALSE),"")</f>
        <v>40563</v>
      </c>
      <c r="I67" s="38" t="str">
        <f ca="1">IF(AND(B67="",NOT(A67="")),VLOOKUP(A67,TaskPlan!A:M,12,FALSE),"")</f>
        <v>Not Started</v>
      </c>
      <c r="J67" s="39" t="str">
        <f ca="1">IF(AND(B67="",NOT(A67="")),VLOOKUP(A67,TaskPlan!A:L,2,FALSE),"")</f>
        <v>Pramendra</v>
      </c>
      <c r="K67" s="39" t="str">
        <f ca="1">IF(AND(B67="",NOT(A67="")),IF(NOT(LEFT(VLOOKUP(A67,TaskPlan!A:L,3,FALSE),1) = "0"),VLOOKUP(A67,TaskPlan!A:L,3,FALSE),""),"")</f>
        <v>3-MED</v>
      </c>
      <c r="L67" s="55">
        <f ca="1">IF(AND(B67="",NOT(A67="")),IF(NOT(LEFT(VLOOKUP(A67,TaskPlan!A:L,3,FALSE),1) = "0"),VLOOKUP(A67,TaskPlan!A:M,4,FALSE),""),"")</f>
        <v>0</v>
      </c>
      <c r="N67" s="1" t="str">
        <f ca="1">IF(ISNA(VLOOKUP(A67,Projects!B:B,1,FALSE)),"","Yes")</f>
        <v/>
      </c>
    </row>
    <row r="68" spans="1:14" ht="25.5" hidden="1" outlineLevel="1">
      <c r="A68" s="43" t="s">
        <v>1894</v>
      </c>
      <c r="C68" s="44" t="s">
        <v>1895</v>
      </c>
      <c r="D68" s="7" t="s">
        <v>759</v>
      </c>
      <c r="E68" s="26">
        <v>40568</v>
      </c>
      <c r="F68" s="25">
        <v>5</v>
      </c>
      <c r="G68" s="25" t="s">
        <v>1099</v>
      </c>
      <c r="H68" s="37">
        <f ca="1">IF(AND(B68="",NOT(A68="")),VLOOKUP(A68,TaskPlan!A:M,13,FALSE),"")</f>
        <v>40568</v>
      </c>
      <c r="I68" s="38" t="str">
        <f ca="1">IF(AND(B68="",NOT(A68="")),VLOOKUP(A68,TaskPlan!A:M,12,FALSE),"")</f>
        <v>Not Started</v>
      </c>
      <c r="J68" s="39" t="str">
        <f ca="1">IF(AND(B68="",NOT(A68="")),VLOOKUP(A68,TaskPlan!A:L,2,FALSE),"")</f>
        <v>Pramendra</v>
      </c>
      <c r="K68" s="39" t="str">
        <f ca="1">IF(AND(B68="",NOT(A68="")),IF(NOT(LEFT(VLOOKUP(A68,TaskPlan!A:L,3,FALSE),1) = "0"),VLOOKUP(A68,TaskPlan!A:L,3,FALSE),""),"")</f>
        <v>4-HIGH</v>
      </c>
      <c r="L68" s="55">
        <f ca="1">IF(AND(B68="",NOT(A68="")),IF(NOT(LEFT(VLOOKUP(A68,TaskPlan!A:L,3,FALSE),1) = "0"),VLOOKUP(A68,TaskPlan!A:M,4,FALSE),""),"")</f>
        <v>0</v>
      </c>
      <c r="N68" s="1" t="str">
        <f ca="1">IF(ISNA(VLOOKUP(A68,Projects!B:B,1,FALSE)),"","Yes")</f>
        <v/>
      </c>
    </row>
    <row r="69" spans="1:14" ht="25.5" hidden="1" outlineLevel="1">
      <c r="A69" s="43" t="s">
        <v>1896</v>
      </c>
      <c r="C69" s="44" t="s">
        <v>1897</v>
      </c>
      <c r="D69" s="7" t="s">
        <v>759</v>
      </c>
      <c r="E69" s="26">
        <v>40574</v>
      </c>
      <c r="F69" s="25">
        <v>5</v>
      </c>
      <c r="G69" s="25" t="s">
        <v>1099</v>
      </c>
      <c r="H69" s="37">
        <f ca="1">IF(AND(B69="",NOT(A69="")),VLOOKUP(A69,TaskPlan!A:M,13,FALSE),"")</f>
        <v>40568</v>
      </c>
      <c r="I69" s="38" t="str">
        <f ca="1">IF(AND(B69="",NOT(A69="")),VLOOKUP(A69,TaskPlan!A:M,12,FALSE),"")</f>
        <v>Not Started</v>
      </c>
      <c r="J69" s="39" t="str">
        <f ca="1">IF(AND(B69="",NOT(A69="")),VLOOKUP(A69,TaskPlan!A:L,2,FALSE),"")</f>
        <v>Pramendra</v>
      </c>
      <c r="K69" s="39" t="str">
        <f ca="1">IF(AND(B69="",NOT(A69="")),IF(NOT(LEFT(VLOOKUP(A69,TaskPlan!A:L,3,FALSE),1) = "0"),VLOOKUP(A69,TaskPlan!A:L,3,FALSE),""),"")</f>
        <v>4-HIGH</v>
      </c>
      <c r="L69" s="55">
        <f ca="1">IF(AND(B69="",NOT(A69="")),IF(NOT(LEFT(VLOOKUP(A69,TaskPlan!A:L,3,FALSE),1) = "0"),VLOOKUP(A69,TaskPlan!A:M,4,FALSE),""),"")</f>
        <v>0</v>
      </c>
    </row>
    <row r="70" spans="1:14" hidden="1" outlineLevel="1">
      <c r="A70" s="43" t="s">
        <v>180</v>
      </c>
      <c r="B70" s="7" t="s">
        <v>15</v>
      </c>
      <c r="C70" s="45" t="s">
        <v>181</v>
      </c>
      <c r="D70" s="7"/>
      <c r="E70" s="26"/>
      <c r="H70" s="37" t="str">
        <f ca="1">IF(AND(B70="",NOT(A70="")),VLOOKUP(A70,TaskPlan!A:M,13,FALSE),"")</f>
        <v/>
      </c>
      <c r="I70" s="38" t="str">
        <f ca="1">IF(AND(B70="",NOT(A70="")),VLOOKUP(A70,TaskPlan!A:M,12,FALSE),"")</f>
        <v/>
      </c>
      <c r="J70" s="39" t="str">
        <f ca="1">IF(AND(B70="",NOT(A70="")),VLOOKUP(A70,TaskPlan!A:L,2,FALSE),"")</f>
        <v/>
      </c>
      <c r="K70" s="39" t="str">
        <f ca="1">IF(AND(B70="",NOT(A70="")),IF(NOT(LEFT(VLOOKUP(A70,TaskPlan!A:L,3,FALSE),1) = "0"),VLOOKUP(A70,TaskPlan!A:L,3,FALSE),""),"")</f>
        <v/>
      </c>
      <c r="L70" s="55" t="str">
        <f ca="1">IF(AND(B70="",NOT(A70="")),IF(NOT(LEFT(VLOOKUP(A70,TaskPlan!A:L,3,FALSE),1) = "0"),VLOOKUP(A70,TaskPlan!A:M,4,FALSE),""),"")</f>
        <v/>
      </c>
      <c r="N70" s="1" t="str">
        <f ca="1">IF(ISNA(VLOOKUP(A70,Projects!B:B,1,FALSE)),"","Yes")</f>
        <v/>
      </c>
    </row>
    <row r="71" spans="1:14" hidden="1" outlineLevel="1">
      <c r="A71" s="43" t="s">
        <v>183</v>
      </c>
      <c r="C71" s="44" t="s">
        <v>182</v>
      </c>
      <c r="D71" s="7" t="s">
        <v>11</v>
      </c>
      <c r="E71" s="26">
        <v>39945</v>
      </c>
      <c r="H71" s="37">
        <f ca="1">IF(AND(B71="",NOT(A71="")),VLOOKUP(A71,TaskPlan!A:M,13,FALSE),"")</f>
        <v>39945</v>
      </c>
      <c r="I71" s="38" t="str">
        <f ca="1">IF(AND(B71="",NOT(A71="")),VLOOKUP(A71,TaskPlan!A:M,12,FALSE),"")</f>
        <v>Closed</v>
      </c>
      <c r="J71" s="39" t="str">
        <f ca="1">IF(AND(B71="",NOT(A71="")),VLOOKUP(A71,TaskPlan!A:L,2,FALSE),"")</f>
        <v>Neil</v>
      </c>
      <c r="K71" s="39" t="str">
        <f ca="1">IF(AND(B71="",NOT(A71="")),IF(NOT(LEFT(VLOOKUP(A71,TaskPlan!A:L,3,FALSE),1) = "0"),VLOOKUP(A71,TaskPlan!A:L,3,FALSE),""),"")</f>
        <v/>
      </c>
      <c r="L71" s="55" t="str">
        <f ca="1">IF(AND(B71="",NOT(A71="")),IF(NOT(LEFT(VLOOKUP(A71,TaskPlan!A:L,3,FALSE),1) = "0"),VLOOKUP(A71,TaskPlan!A:M,4,FALSE),""),"")</f>
        <v/>
      </c>
      <c r="M71" s="58" t="str">
        <f ca="1">IF(B71=".",1,IF(AND(B71="",NOT(A71="")),IF(VLOOKUP(A71,TaskPlan!A:L,5,FALSE)&gt;0,VLOOKUP(A71,TaskPlan!A:L,5,FALSE),""),""))</f>
        <v/>
      </c>
      <c r="N71" s="1" t="str">
        <f ca="1">IF(ISNA(VLOOKUP(A71,Projects!B:B,1,FALSE)),"","Yes")</f>
        <v/>
      </c>
    </row>
    <row r="72" spans="1:14" hidden="1" outlineLevel="1">
      <c r="A72" s="43" t="s">
        <v>184</v>
      </c>
      <c r="C72" s="44" t="s">
        <v>185</v>
      </c>
      <c r="D72" s="7" t="s">
        <v>9</v>
      </c>
      <c r="E72" s="26">
        <v>39945</v>
      </c>
      <c r="H72" s="37">
        <f ca="1">IF(AND(B72="",NOT(A72="")),VLOOKUP(A72,TaskPlan!A:M,13,FALSE),"")</f>
        <v>39948</v>
      </c>
      <c r="I72" s="38" t="str">
        <f ca="1">IF(AND(B72="",NOT(A72="")),VLOOKUP(A72,TaskPlan!A:M,12,FALSE),"")</f>
        <v>Closed</v>
      </c>
      <c r="J72" s="39" t="str">
        <f ca="1">IF(AND(B72="",NOT(A72="")),VLOOKUP(A72,TaskPlan!A:L,2,FALSE),"")</f>
        <v>Neil</v>
      </c>
      <c r="K72" s="39" t="str">
        <f ca="1">IF(AND(B72="",NOT(A72="")),IF(NOT(LEFT(VLOOKUP(A72,TaskPlan!A:L,3,FALSE),1) = "0"),VLOOKUP(A72,TaskPlan!A:L,3,FALSE),""),"")</f>
        <v/>
      </c>
      <c r="L72" s="55" t="str">
        <f ca="1">IF(AND(B72="",NOT(A72="")),IF(NOT(LEFT(VLOOKUP(A72,TaskPlan!A:L,3,FALSE),1) = "0"),VLOOKUP(A72,TaskPlan!A:M,4,FALSE),""),"")</f>
        <v/>
      </c>
      <c r="M72" s="58" t="str">
        <f ca="1">IF(B72=".",1,IF(AND(B72="",NOT(A72="")),IF(VLOOKUP(A72,TaskPlan!A:L,5,FALSE)&gt;0,VLOOKUP(A72,TaskPlan!A:L,5,FALSE),""),""))</f>
        <v/>
      </c>
      <c r="N72" s="1" t="str">
        <f ca="1">IF(ISNA(VLOOKUP(A72,Projects!B:B,1,FALSE)),"","Yes")</f>
        <v/>
      </c>
    </row>
    <row r="73" spans="1:14" hidden="1" outlineLevel="1">
      <c r="A73" s="43" t="s">
        <v>186</v>
      </c>
      <c r="C73" s="44" t="s">
        <v>187</v>
      </c>
      <c r="D73" s="7" t="s">
        <v>9</v>
      </c>
      <c r="E73" s="26">
        <v>39945</v>
      </c>
      <c r="F73" s="25">
        <v>4</v>
      </c>
      <c r="H73" s="37">
        <f ca="1">IF(AND(B73="",NOT(A73="")),VLOOKUP(A73,TaskPlan!A:M,13,FALSE),"")</f>
        <v>40303</v>
      </c>
      <c r="I73" s="38" t="str">
        <f ca="1">IF(AND(B73="",NOT(A73="")),VLOOKUP(A73,TaskPlan!A:M,12,FALSE),"")</f>
        <v>Closed</v>
      </c>
      <c r="J73" s="39" t="str">
        <f ca="1">IF(AND(B73="",NOT(A73="")),VLOOKUP(A73,TaskPlan!A:L,2,FALSE),"")</f>
        <v>Shubh</v>
      </c>
      <c r="K73" s="39" t="str">
        <f ca="1">IF(AND(B73="",NOT(A73="")),IF(NOT(LEFT(VLOOKUP(A73,TaskPlan!A:L,3,FALSE),1) = "0"),VLOOKUP(A73,TaskPlan!A:L,3,FALSE),""),"")</f>
        <v/>
      </c>
      <c r="L73" s="55" t="str">
        <f ca="1">IF(AND(B73="",NOT(A73="")),IF(NOT(LEFT(VLOOKUP(A73,TaskPlan!A:L,3,FALSE),1) = "0"),VLOOKUP(A73,TaskPlan!A:M,4,FALSE),""),"")</f>
        <v/>
      </c>
      <c r="M73" s="58" t="str">
        <f ca="1">IF(B73=".",1,IF(AND(B73="",NOT(A73="")),IF(VLOOKUP(A73,TaskPlan!A:L,5,FALSE)&gt;0,VLOOKUP(A73,TaskPlan!A:L,5,FALSE),""),""))</f>
        <v/>
      </c>
      <c r="N73" s="1" t="str">
        <f ca="1">IF(ISNA(VLOOKUP(A73,Projects!B:B,1,FALSE)),"","Yes")</f>
        <v/>
      </c>
    </row>
    <row r="74" spans="1:14" hidden="1" outlineLevel="1">
      <c r="A74" s="43" t="s">
        <v>188</v>
      </c>
      <c r="C74" s="44" t="s">
        <v>189</v>
      </c>
      <c r="D74" s="7" t="s">
        <v>9</v>
      </c>
      <c r="E74" s="26">
        <v>39945</v>
      </c>
      <c r="H74" s="37">
        <f ca="1">IF(AND(B74="",NOT(A74="")),VLOOKUP(A74,TaskPlan!A:M,13,FALSE),"")</f>
        <v>40303</v>
      </c>
      <c r="I74" s="38" t="str">
        <f ca="1">IF(AND(B74="",NOT(A74="")),VLOOKUP(A74,TaskPlan!A:M,12,FALSE),"")</f>
        <v>Closed</v>
      </c>
      <c r="J74" s="39" t="str">
        <f ca="1">IF(AND(B74="",NOT(A74="")),VLOOKUP(A74,TaskPlan!A:L,2,FALSE),"")</f>
        <v>Shubh</v>
      </c>
      <c r="K74" s="39" t="str">
        <f ca="1">IF(AND(B74="",NOT(A74="")),IF(NOT(LEFT(VLOOKUP(A74,TaskPlan!A:L,3,FALSE),1) = "0"),VLOOKUP(A74,TaskPlan!A:L,3,FALSE),""),"")</f>
        <v/>
      </c>
      <c r="L74" s="55" t="str">
        <f ca="1">IF(AND(B74="",NOT(A74="")),IF(NOT(LEFT(VLOOKUP(A74,TaskPlan!A:L,3,FALSE),1) = "0"),VLOOKUP(A74,TaskPlan!A:M,4,FALSE),""),"")</f>
        <v/>
      </c>
      <c r="M74" s="58" t="str">
        <f ca="1">IF(B74=".",1,IF(AND(B74="",NOT(A74="")),IF(VLOOKUP(A74,TaskPlan!A:L,5,FALSE)&gt;0,VLOOKUP(A74,TaskPlan!A:L,5,FALSE),""),""))</f>
        <v/>
      </c>
      <c r="N74" s="1" t="str">
        <f ca="1">IF(ISNA(VLOOKUP(A74,Projects!B:B,1,FALSE)),"","Yes")</f>
        <v/>
      </c>
    </row>
    <row r="75" spans="1:14" hidden="1" outlineLevel="1">
      <c r="A75" s="43" t="s">
        <v>190</v>
      </c>
      <c r="C75" s="44" t="s">
        <v>192</v>
      </c>
      <c r="D75" s="7" t="s">
        <v>9</v>
      </c>
      <c r="E75" s="26">
        <v>39945</v>
      </c>
      <c r="F75" s="25">
        <v>2</v>
      </c>
      <c r="G75" s="28" t="s">
        <v>1100</v>
      </c>
      <c r="H75" s="37">
        <f ca="1">IF(AND(B75="",NOT(A75="")),VLOOKUP(A75,TaskPlan!A:M,13,FALSE),"")</f>
        <v>40429</v>
      </c>
      <c r="I75" s="38" t="str">
        <f ca="1">IF(AND(B75="",NOT(A75="")),VLOOKUP(A75,TaskPlan!A:M,12,FALSE),"")</f>
        <v>Closed</v>
      </c>
      <c r="J75" s="39" t="str">
        <f ca="1">IF(AND(B75="",NOT(A75="")),VLOOKUP(A75,TaskPlan!A:L,2,FALSE),"")</f>
        <v>Shubh</v>
      </c>
      <c r="K75" s="39" t="str">
        <f ca="1">IF(AND(B75="",NOT(A75="")),IF(NOT(LEFT(VLOOKUP(A75,TaskPlan!A:L,3,FALSE),1) = "0"),VLOOKUP(A75,TaskPlan!A:L,3,FALSE),""),"")</f>
        <v/>
      </c>
      <c r="L75" s="55" t="str">
        <f ca="1">IF(AND(B75="",NOT(A75="")),IF(NOT(LEFT(VLOOKUP(A75,TaskPlan!A:L,3,FALSE),1) = "0"),VLOOKUP(A75,TaskPlan!A:M,4,FALSE),""),"")</f>
        <v/>
      </c>
      <c r="M75" s="58" t="str">
        <f ca="1">IF(B75=".",1,IF(AND(B75="",NOT(A75="")),IF(VLOOKUP(A75,TaskPlan!A:L,5,FALSE)&gt;0,VLOOKUP(A75,TaskPlan!A:L,5,FALSE),""),""))</f>
        <v/>
      </c>
      <c r="N75" s="1" t="str">
        <f ca="1">IF(ISNA(VLOOKUP(A75,Projects!B:B,1,FALSE)),"","Yes")</f>
        <v/>
      </c>
    </row>
    <row r="76" spans="1:14" hidden="1" outlineLevel="1">
      <c r="A76" s="43" t="s">
        <v>191</v>
      </c>
      <c r="C76" s="44" t="s">
        <v>193</v>
      </c>
      <c r="D76" s="7" t="s">
        <v>9</v>
      </c>
      <c r="E76" s="26">
        <v>39945</v>
      </c>
      <c r="H76" s="37">
        <f ca="1">IF(AND(B76="",NOT(A76="")),VLOOKUP(A76,TaskPlan!A:M,13,FALSE),"")</f>
        <v>39948</v>
      </c>
      <c r="I76" s="38" t="str">
        <f ca="1">IF(AND(B76="",NOT(A76="")),VLOOKUP(A76,TaskPlan!A:M,12,FALSE),"")</f>
        <v>Closed</v>
      </c>
      <c r="J76" s="39" t="str">
        <f ca="1">IF(AND(B76="",NOT(A76="")),VLOOKUP(A76,TaskPlan!A:L,2,FALSE),"")</f>
        <v>Neil</v>
      </c>
      <c r="K76" s="39" t="str">
        <f ca="1">IF(AND(B76="",NOT(A76="")),IF(NOT(LEFT(VLOOKUP(A76,TaskPlan!A:L,3,FALSE),1) = "0"),VLOOKUP(A76,TaskPlan!A:L,3,FALSE),""),"")</f>
        <v/>
      </c>
      <c r="L76" s="55" t="str">
        <f ca="1">IF(AND(B76="",NOT(A76="")),IF(NOT(LEFT(VLOOKUP(A76,TaskPlan!A:L,3,FALSE),1) = "0"),VLOOKUP(A76,TaskPlan!A:M,4,FALSE),""),"")</f>
        <v/>
      </c>
      <c r="M76" s="58" t="str">
        <f ca="1">IF(B76=".",1,IF(AND(B76="",NOT(A76="")),IF(VLOOKUP(A76,TaskPlan!A:L,5,FALSE)&gt;0,VLOOKUP(A76,TaskPlan!A:L,5,FALSE),""),""))</f>
        <v/>
      </c>
      <c r="N76" s="1" t="str">
        <f ca="1">IF(ISNA(VLOOKUP(A76,Projects!B:B,1,FALSE)),"","Yes")</f>
        <v/>
      </c>
    </row>
    <row r="77" spans="1:14" hidden="1" outlineLevel="1">
      <c r="A77" s="43" t="s">
        <v>309</v>
      </c>
      <c r="C77" s="44" t="s">
        <v>778</v>
      </c>
      <c r="D77" s="7" t="s">
        <v>11</v>
      </c>
      <c r="E77" s="26">
        <v>40154</v>
      </c>
      <c r="F77" s="25">
        <v>5</v>
      </c>
      <c r="H77" s="37">
        <f ca="1">IF(AND(B77="",NOT(A77="")),VLOOKUP(A77,TaskPlan!A:M,13,FALSE),"")</f>
        <v>40154</v>
      </c>
      <c r="I77" s="38" t="str">
        <f ca="1">IF(AND(B77="",NOT(A77="")),VLOOKUP(A77,TaskPlan!A:M,12,FALSE),"")</f>
        <v>Closed</v>
      </c>
      <c r="J77" s="39" t="str">
        <f ca="1">IF(AND(B77="",NOT(A77="")),VLOOKUP(A77,TaskPlan!A:L,2,FALSE),"")</f>
        <v>Neil</v>
      </c>
      <c r="K77" s="39" t="str">
        <f ca="1">IF(AND(B77="",NOT(A77="")),IF(NOT(LEFT(VLOOKUP(A77,TaskPlan!A:L,3,FALSE),1) = "0"),VLOOKUP(A77,TaskPlan!A:L,3,FALSE),""),"")</f>
        <v/>
      </c>
      <c r="L77" s="55" t="str">
        <f ca="1">IF(AND(B77="",NOT(A77="")),IF(NOT(LEFT(VLOOKUP(A77,TaskPlan!A:L,3,FALSE),1) = "0"),VLOOKUP(A77,TaskPlan!A:M,4,FALSE),""),"")</f>
        <v/>
      </c>
      <c r="M77" s="58" t="str">
        <f ca="1">IF(B77=".",1,IF(AND(B77="",NOT(A77="")),IF(VLOOKUP(A77,TaskPlan!A:L,5,FALSE)&gt;0,VLOOKUP(A77,TaskPlan!A:L,5,FALSE),""),""))</f>
        <v/>
      </c>
      <c r="N77" s="1" t="str">
        <f ca="1">IF(ISNA(VLOOKUP(A77,Projects!B:B,1,FALSE)),"","Yes")</f>
        <v/>
      </c>
    </row>
    <row r="78" spans="1:14" hidden="1" outlineLevel="1">
      <c r="A78" s="43" t="s">
        <v>775</v>
      </c>
      <c r="C78" s="44" t="s">
        <v>776</v>
      </c>
      <c r="D78" s="7" t="s">
        <v>11</v>
      </c>
      <c r="E78" s="26">
        <v>40154</v>
      </c>
      <c r="F78" s="25">
        <v>2</v>
      </c>
      <c r="H78" s="37">
        <f ca="1">IF(AND(B78="",NOT(A78="")),VLOOKUP(A78,TaskPlan!A:M,13,FALSE),"")</f>
        <v>40157</v>
      </c>
      <c r="I78" s="38" t="str">
        <f ca="1">IF(AND(B78="",NOT(A78="")),VLOOKUP(A78,TaskPlan!A:M,12,FALSE),"")</f>
        <v>Closed</v>
      </c>
      <c r="J78" s="39" t="str">
        <f ca="1">IF(AND(B78="",NOT(A78="")),VLOOKUP(A78,TaskPlan!A:L,2,FALSE),"")</f>
        <v>Neil</v>
      </c>
      <c r="K78" s="39" t="str">
        <f ca="1">IF(AND(B78="",NOT(A78="")),IF(NOT(LEFT(VLOOKUP(A78,TaskPlan!A:L,3,FALSE),1) = "0"),VLOOKUP(A78,TaskPlan!A:L,3,FALSE),""),"")</f>
        <v/>
      </c>
      <c r="L78" s="55" t="str">
        <f ca="1">IF(AND(B78="",NOT(A78="")),IF(NOT(LEFT(VLOOKUP(A78,TaskPlan!A:L,3,FALSE),1) = "0"),VLOOKUP(A78,TaskPlan!A:M,4,FALSE),""),"")</f>
        <v/>
      </c>
      <c r="M78" s="58" t="str">
        <f ca="1">IF(B78=".",1,IF(AND(B78="",NOT(A78="")),IF(VLOOKUP(A78,TaskPlan!A:L,5,FALSE)&gt;0,VLOOKUP(A78,TaskPlan!A:L,5,FALSE),""),""))</f>
        <v/>
      </c>
      <c r="N78" s="1" t="str">
        <f ca="1">IF(ISNA(VLOOKUP(A78,Projects!B:B,1,FALSE)),"","Yes")</f>
        <v/>
      </c>
    </row>
    <row r="79" spans="1:14" hidden="1" outlineLevel="1">
      <c r="A79" s="43" t="s">
        <v>777</v>
      </c>
      <c r="C79" s="44" t="s">
        <v>779</v>
      </c>
      <c r="D79" s="7" t="s">
        <v>11</v>
      </c>
      <c r="E79" s="26">
        <v>40154</v>
      </c>
      <c r="F79" s="25">
        <v>2</v>
      </c>
      <c r="G79" s="28" t="s">
        <v>1213</v>
      </c>
      <c r="H79" s="37">
        <f ca="1">IF(AND(B79="",NOT(A79="")),VLOOKUP(A79,TaskPlan!A:M,13,FALSE),"")</f>
        <v>40283</v>
      </c>
      <c r="I79" s="38" t="str">
        <f ca="1">IF(AND(B79="",NOT(A79="")),VLOOKUP(A79,TaskPlan!A:M,12,FALSE),"")</f>
        <v>Not Started</v>
      </c>
      <c r="J79" s="39" t="str">
        <f ca="1">IF(AND(B79="",NOT(A79="")),VLOOKUP(A79,TaskPlan!A:L,2,FALSE),"")</f>
        <v>Unassigned</v>
      </c>
      <c r="K79" s="39" t="str">
        <f ca="1">IF(AND(B79="",NOT(A79="")),IF(NOT(LEFT(VLOOKUP(A79,TaskPlan!A:L,3,FALSE),1) = "0"),VLOOKUP(A79,TaskPlan!A:L,3,FALSE),""),"")</f>
        <v>2-LOW</v>
      </c>
      <c r="L79" s="55">
        <f ca="1">IF(AND(B79="",NOT(A79="")),IF(NOT(LEFT(VLOOKUP(A79,TaskPlan!A:L,3,FALSE),1) = "0"),VLOOKUP(A79,TaskPlan!A:M,4,FALSE),""),"")</f>
        <v>0</v>
      </c>
      <c r="M79" s="58" t="str">
        <f ca="1">IF(B79=".",1,IF(AND(B79="",NOT(A79="")),IF(VLOOKUP(A79,TaskPlan!A:L,5,FALSE)&gt;0,VLOOKUP(A79,TaskPlan!A:L,5,FALSE),""),""))</f>
        <v/>
      </c>
      <c r="N79" s="1" t="str">
        <f ca="1">IF(ISNA(VLOOKUP(A79,Projects!B:B,1,FALSE)),"","Yes")</f>
        <v/>
      </c>
    </row>
    <row r="80" spans="1:14" hidden="1" outlineLevel="1">
      <c r="A80" s="43" t="s">
        <v>808</v>
      </c>
      <c r="C80" s="44" t="s">
        <v>809</v>
      </c>
      <c r="D80" s="7" t="s">
        <v>315</v>
      </c>
      <c r="E80" s="26">
        <v>40168</v>
      </c>
      <c r="F80" s="25">
        <v>10</v>
      </c>
      <c r="G80" s="28" t="s">
        <v>1100</v>
      </c>
      <c r="H80" s="37">
        <f ca="1">IF(AND(B80="",NOT(A80="")),VLOOKUP(A80,TaskPlan!A:M,13,FALSE),"")</f>
        <v>40283</v>
      </c>
      <c r="I80" s="38" t="str">
        <f ca="1">IF(AND(B80="",NOT(A80="")),VLOOKUP(A80,TaskPlan!A:M,12,FALSE),"")</f>
        <v>In Progress</v>
      </c>
      <c r="J80" s="39" t="str">
        <f ca="1">IF(AND(B80="",NOT(A80="")),VLOOKUP(A80,TaskPlan!A:L,2,FALSE),"")</f>
        <v>Neil</v>
      </c>
      <c r="K80" s="39" t="str">
        <f ca="1">IF(AND(B80="",NOT(A80="")),IF(NOT(LEFT(VLOOKUP(A80,TaskPlan!A:L,3,FALSE),1) = "0"),VLOOKUP(A80,TaskPlan!A:L,3,FALSE),""),"")</f>
        <v>2-LOW</v>
      </c>
      <c r="L80" s="55">
        <f ca="1">IF(AND(B80="",NOT(A80="")),IF(NOT(LEFT(VLOOKUP(A80,TaskPlan!A:L,3,FALSE),1) = "0"),VLOOKUP(A80,TaskPlan!A:M,4,FALSE),""),"")</f>
        <v>0</v>
      </c>
      <c r="M80" s="58" t="str">
        <f ca="1">IF(B80=".",1,IF(AND(B80="",NOT(A80="")),IF(VLOOKUP(A80,TaskPlan!A:L,5,FALSE)&gt;0,VLOOKUP(A80,TaskPlan!A:L,5,FALSE),""),""))</f>
        <v/>
      </c>
      <c r="N80" s="1" t="str">
        <f ca="1">IF(ISNA(VLOOKUP(A80,Projects!B:B,1,FALSE)),"","Yes")</f>
        <v/>
      </c>
    </row>
    <row r="81" spans="1:14" ht="25.5" hidden="1" outlineLevel="1">
      <c r="A81" s="43" t="s">
        <v>811</v>
      </c>
      <c r="C81" s="44" t="s">
        <v>1063</v>
      </c>
      <c r="D81" s="7" t="s">
        <v>315</v>
      </c>
      <c r="E81" s="26">
        <v>40283</v>
      </c>
      <c r="F81" s="25">
        <v>1</v>
      </c>
      <c r="G81" s="28" t="s">
        <v>1213</v>
      </c>
      <c r="H81" s="37">
        <f ca="1">IF(AND(B81="",NOT(A81="")),VLOOKUP(A81,TaskPlan!A:M,13,FALSE),"")</f>
        <v>40246</v>
      </c>
      <c r="I81" s="38" t="str">
        <f ca="1">IF(AND(B81="",NOT(A81="")),VLOOKUP(A81,TaskPlan!A:M,12,FALSE),"")</f>
        <v>In Progress</v>
      </c>
      <c r="J81" s="39" t="str">
        <f ca="1">IF(AND(B81="",NOT(A81="")),VLOOKUP(A81,TaskPlan!A:L,2,FALSE),"")</f>
        <v>Ajay</v>
      </c>
      <c r="K81" s="39" t="str">
        <f ca="1">IF(AND(B81="",NOT(A81="")),IF(NOT(LEFT(VLOOKUP(A81,TaskPlan!A:L,3,FALSE),1) = "0"),VLOOKUP(A81,TaskPlan!A:L,3,FALSE),""),"")</f>
        <v>2-LOW</v>
      </c>
      <c r="L81" s="55">
        <f ca="1">IF(AND(B81="",NOT(A81="")),IF(NOT(LEFT(VLOOKUP(A81,TaskPlan!A:L,3,FALSE),1) = "0"),VLOOKUP(A81,TaskPlan!A:M,4,FALSE),""),"")</f>
        <v>0</v>
      </c>
      <c r="M81" s="58" t="str">
        <f ca="1">IF(B81=".",1,IF(AND(B81="",NOT(A81="")),IF(VLOOKUP(A81,TaskPlan!A:L,5,FALSE)&gt;0,VLOOKUP(A81,TaskPlan!A:L,5,FALSE),""),""))</f>
        <v/>
      </c>
      <c r="N81" s="1" t="str">
        <f ca="1">IF(ISNA(VLOOKUP(A81,Projects!B:B,1,FALSE)),"","Yes")</f>
        <v/>
      </c>
    </row>
    <row r="82" spans="1:14" hidden="1" outlineLevel="1">
      <c r="A82" s="43" t="s">
        <v>1105</v>
      </c>
      <c r="C82" s="44" t="s">
        <v>1106</v>
      </c>
      <c r="D82" s="7" t="s">
        <v>759</v>
      </c>
      <c r="E82" s="26">
        <v>40296</v>
      </c>
      <c r="F82" s="25">
        <v>0.5</v>
      </c>
      <c r="G82" s="28" t="s">
        <v>1213</v>
      </c>
      <c r="H82" s="37">
        <f ca="1">IF(AND(B82="",NOT(A82="")),VLOOKUP(A82,TaskPlan!A:M,13,FALSE),"")</f>
        <v>40322</v>
      </c>
      <c r="I82" s="38" t="str">
        <f ca="1">IF(AND(B82="",NOT(A82="")),VLOOKUP(A82,TaskPlan!A:M,12,FALSE),"")</f>
        <v>Closed</v>
      </c>
      <c r="J82" s="39" t="str">
        <f ca="1">IF(AND(B82="",NOT(A82="")),VLOOKUP(A82,TaskPlan!A:L,2,FALSE),"")</f>
        <v>Pramendra</v>
      </c>
      <c r="K82" s="39" t="str">
        <f ca="1">IF(AND(B82="",NOT(A82="")),IF(NOT(LEFT(VLOOKUP(A82,TaskPlan!A:L,3,FALSE),1) = "0"),VLOOKUP(A82,TaskPlan!A:L,3,FALSE),""),"")</f>
        <v/>
      </c>
      <c r="L82" s="55" t="str">
        <f ca="1">IF(AND(B82="",NOT(A82="")),IF(NOT(LEFT(VLOOKUP(A82,TaskPlan!A:L,3,FALSE),1) = "0"),VLOOKUP(A82,TaskPlan!A:M,4,FALSE),""),"")</f>
        <v/>
      </c>
      <c r="N82" s="1" t="str">
        <f ca="1">IF(ISNA(VLOOKUP(A82,Projects!B:B,1,FALSE)),"","Yes")</f>
        <v/>
      </c>
    </row>
    <row r="83" spans="1:14" hidden="1" outlineLevel="1">
      <c r="A83" s="43" t="s">
        <v>1407</v>
      </c>
      <c r="C83" s="44" t="s">
        <v>1408</v>
      </c>
      <c r="D83" s="7" t="s">
        <v>11</v>
      </c>
      <c r="E83" s="26">
        <v>40403</v>
      </c>
      <c r="F83" s="25">
        <v>1</v>
      </c>
      <c r="G83" s="28" t="s">
        <v>1213</v>
      </c>
      <c r="H83" s="37">
        <f ca="1">IF(AND(B83="",NOT(A83="")),VLOOKUP(A83,TaskPlan!A:M,13,FALSE),"")</f>
        <v>40403</v>
      </c>
      <c r="I83" s="38" t="str">
        <f ca="1">IF(AND(B83="",NOT(A83="")),VLOOKUP(A83,TaskPlan!A:M,12,FALSE),"")</f>
        <v>In Progress</v>
      </c>
      <c r="J83" s="39" t="str">
        <f ca="1">IF(AND(B83="",NOT(A83="")),VLOOKUP(A83,TaskPlan!A:L,2,FALSE),"")</f>
        <v>Kundan</v>
      </c>
      <c r="K83" s="39" t="str">
        <f ca="1">IF(AND(B83="",NOT(A83="")),IF(NOT(LEFT(VLOOKUP(A83,TaskPlan!A:L,3,FALSE),1) = "0"),VLOOKUP(A83,TaskPlan!A:L,3,FALSE),""),"")</f>
        <v>4-HIGH</v>
      </c>
      <c r="L83" s="55">
        <f ca="1">IF(AND(B83="",NOT(A83="")),IF(NOT(LEFT(VLOOKUP(A83,TaskPlan!A:L,3,FALSE),1) = "0"),VLOOKUP(A83,TaskPlan!A:M,4,FALSE),""),"")</f>
        <v>40410</v>
      </c>
      <c r="N83" s="1" t="str">
        <f ca="1">IF(ISNA(VLOOKUP(A83,Projects!B:B,1,FALSE)),"","Yes")</f>
        <v/>
      </c>
    </row>
    <row r="84" spans="1:14" hidden="1" outlineLevel="1">
      <c r="A84" s="43" t="s">
        <v>1748</v>
      </c>
      <c r="C84" s="44" t="s">
        <v>1749</v>
      </c>
      <c r="D84" s="7" t="s">
        <v>756</v>
      </c>
      <c r="E84" s="26">
        <v>40520</v>
      </c>
      <c r="F84" s="25">
        <v>5</v>
      </c>
      <c r="G84" s="28" t="s">
        <v>289</v>
      </c>
      <c r="H84" s="37">
        <f ca="1">IF(AND(B84="",NOT(A84="")),VLOOKUP(A84,TaskPlan!A:M,13,FALSE),"")</f>
        <v>40520</v>
      </c>
      <c r="I84" s="38" t="str">
        <f ca="1">IF(AND(B84="",NOT(A84="")),VLOOKUP(A84,TaskPlan!A:M,12,FALSE),"")</f>
        <v>In Progress</v>
      </c>
      <c r="J84" s="39" t="str">
        <f ca="1">IF(AND(B84="",NOT(A84="")),VLOOKUP(A84,TaskPlan!A:L,2,FALSE),"")</f>
        <v>All</v>
      </c>
      <c r="K84" s="39" t="str">
        <f ca="1">IF(AND(B84="",NOT(A84="")),IF(NOT(LEFT(VLOOKUP(A84,TaskPlan!A:L,3,FALSE),1) = "0"),VLOOKUP(A84,TaskPlan!A:L,3,FALSE),""),"")</f>
        <v>5-HIGH</v>
      </c>
      <c r="L84" s="55">
        <f ca="1">IF(AND(B84="",NOT(A84="")),IF(NOT(LEFT(VLOOKUP(A84,TaskPlan!A:L,3,FALSE),1) = "0"),VLOOKUP(A84,TaskPlan!A:M,4,FALSE),""),"")</f>
        <v>0</v>
      </c>
      <c r="N84" s="1" t="str">
        <f ca="1">IF(ISNA(VLOOKUP(A84,Projects!B:B,1,FALSE)),"","Yes")</f>
        <v/>
      </c>
    </row>
    <row r="85" spans="1:14" ht="25.5" hidden="1" outlineLevel="1">
      <c r="A85" s="43" t="s">
        <v>1797</v>
      </c>
      <c r="C85" s="44" t="s">
        <v>1798</v>
      </c>
      <c r="D85" s="7" t="s">
        <v>759</v>
      </c>
      <c r="E85" s="26">
        <v>40547</v>
      </c>
      <c r="F85" s="25">
        <v>3</v>
      </c>
      <c r="G85" s="25" t="s">
        <v>1098</v>
      </c>
      <c r="H85" s="37">
        <f ca="1">IF(AND(B85="",NOT(A85="")),VLOOKUP(A85,TaskPlan!A:M,13,FALSE),"")</f>
        <v>40553</v>
      </c>
      <c r="I85" s="38" t="str">
        <f ca="1">IF(AND(B85="",NOT(A85="")),VLOOKUP(A85,TaskPlan!A:M,12,FALSE),"")</f>
        <v>Not Started</v>
      </c>
      <c r="J85" s="39" t="str">
        <f ca="1">IF(AND(B85="",NOT(A85="")),VLOOKUP(A85,TaskPlan!A:L,2,FALSE),"")</f>
        <v>Sreevani</v>
      </c>
      <c r="K85" s="39" t="str">
        <f ca="1">IF(AND(B85="",NOT(A85="")),IF(NOT(LEFT(VLOOKUP(A85,TaskPlan!A:L,3,FALSE),1) = "0"),VLOOKUP(A85,TaskPlan!A:L,3,FALSE),""),"")</f>
        <v>3-MED</v>
      </c>
      <c r="L85" s="55">
        <f ca="1">IF(AND(B85="",NOT(A85="")),IF(NOT(LEFT(VLOOKUP(A85,TaskPlan!A:L,3,FALSE),1) = "0"),VLOOKUP(A85,TaskPlan!A:M,4,FALSE),""),"")</f>
        <v>0</v>
      </c>
      <c r="N85" s="1" t="str">
        <f ca="1">IF(ISNA(VLOOKUP(A85,Projects!B:B,1,FALSE)),"","Yes")</f>
        <v/>
      </c>
    </row>
    <row r="86" spans="1:14" hidden="1" outlineLevel="1">
      <c r="A86" s="43" t="s">
        <v>266</v>
      </c>
      <c r="C86" s="44" t="s">
        <v>267</v>
      </c>
      <c r="D86" s="7" t="s">
        <v>268</v>
      </c>
      <c r="E86" s="26">
        <v>39975</v>
      </c>
      <c r="H86" s="37">
        <f ca="1">IF(AND(B86="",NOT(A86="")),VLOOKUP(A86,TaskPlan!A:M,13,FALSE),"")</f>
        <v>40011</v>
      </c>
      <c r="I86" s="38" t="str">
        <f ca="1">IF(AND(B86="",NOT(A86="")),VLOOKUP(A86,TaskPlan!A:M,12,FALSE),"")</f>
        <v>Closed</v>
      </c>
      <c r="J86" s="39" t="str">
        <f ca="1">IF(AND(B86="",NOT(A86="")),VLOOKUP(A86,TaskPlan!A:L,2,FALSE),"")</f>
        <v>Neil</v>
      </c>
      <c r="K86" s="39" t="str">
        <f ca="1">IF(AND(B86="",NOT(A86="")),IF(NOT(LEFT(VLOOKUP(A86,TaskPlan!A:L,3,FALSE),1) = "0"),VLOOKUP(A86,TaskPlan!A:L,3,FALSE),""),"")</f>
        <v/>
      </c>
      <c r="L86" s="55" t="str">
        <f ca="1">IF(AND(B86="",NOT(A86="")),IF(NOT(LEFT(VLOOKUP(A86,TaskPlan!A:L,3,FALSE),1) = "0"),VLOOKUP(A86,TaskPlan!A:M,4,FALSE),""),"")</f>
        <v/>
      </c>
      <c r="M86" s="58" t="str">
        <f ca="1">IF(B86=".",1,IF(AND(B86="",NOT(A86="")),IF(VLOOKUP(A86,TaskPlan!A:L,5,FALSE)&gt;0,VLOOKUP(A86,TaskPlan!A:L,5,FALSE),""),""))</f>
        <v/>
      </c>
      <c r="N86" s="1" t="str">
        <f ca="1">IF(ISNA(VLOOKUP(A86,Projects!B:B,1,FALSE)),"","Yes")</f>
        <v/>
      </c>
    </row>
    <row r="87" spans="1:14" hidden="1" outlineLevel="1">
      <c r="A87" s="43" t="s">
        <v>1919</v>
      </c>
      <c r="B87" s="7" t="s">
        <v>15</v>
      </c>
      <c r="C87" s="45" t="s">
        <v>1920</v>
      </c>
      <c r="D87" s="7"/>
      <c r="E87" s="26"/>
      <c r="L87" s="55"/>
    </row>
    <row r="88" spans="1:14" hidden="1" outlineLevel="1">
      <c r="A88" s="43" t="s">
        <v>1921</v>
      </c>
      <c r="C88" s="44" t="s">
        <v>1922</v>
      </c>
      <c r="D88" s="7" t="s">
        <v>11</v>
      </c>
      <c r="E88" s="26">
        <v>40589</v>
      </c>
      <c r="F88" s="25">
        <v>3</v>
      </c>
      <c r="G88" s="25" t="s">
        <v>1098</v>
      </c>
      <c r="H88" s="37">
        <f ca="1">IF(AND(B88="",NOT(A88="")),VLOOKUP(A88,TaskPlan!A:M,13,FALSE),"")</f>
        <v>40589</v>
      </c>
      <c r="I88" s="38" t="str">
        <f ca="1">IF(AND(B88="",NOT(A88="")),VLOOKUP(A88,TaskPlan!A:M,12,FALSE),"")</f>
        <v>Not Started</v>
      </c>
      <c r="J88" s="39" t="str">
        <f ca="1">IF(AND(B88="",NOT(A88="")),VLOOKUP(A88,TaskPlan!A:L,2,FALSE),"")</f>
        <v>Neil</v>
      </c>
      <c r="K88" s="39" t="str">
        <f ca="1">IF(AND(B88="",NOT(A88="")),IF(NOT(LEFT(VLOOKUP(A88,TaskPlan!A:L,3,FALSE),1) = "0"),VLOOKUP(A88,TaskPlan!A:L,3,FALSE),""),"")</f>
        <v>3-MED</v>
      </c>
      <c r="L88" s="55">
        <f ca="1">IF(AND(B88="",NOT(A88="")),IF(NOT(LEFT(VLOOKUP(A88,TaskPlan!A:L,3,FALSE),1) = "0"),VLOOKUP(A88,TaskPlan!A:M,4,FALSE),""),"")</f>
        <v>0</v>
      </c>
      <c r="N88" s="1" t="str">
        <f ca="1">IF(ISNA(VLOOKUP(A88,Projects!B:B,1,FALSE)),"","Yes")</f>
        <v/>
      </c>
    </row>
    <row r="89" spans="1:14" hidden="1" outlineLevel="1">
      <c r="A89" s="43" t="s">
        <v>1934</v>
      </c>
      <c r="B89" s="7" t="s">
        <v>15</v>
      </c>
      <c r="C89" s="45" t="s">
        <v>1935</v>
      </c>
      <c r="D89" s="7"/>
      <c r="E89" s="26"/>
      <c r="L89" s="55"/>
    </row>
    <row r="90" spans="1:14" hidden="1" outlineLevel="1">
      <c r="A90" s="43" t="s">
        <v>1936</v>
      </c>
      <c r="C90" s="44" t="s">
        <v>1937</v>
      </c>
      <c r="D90" s="7" t="s">
        <v>759</v>
      </c>
      <c r="E90" s="26">
        <v>40590</v>
      </c>
      <c r="F90" s="25">
        <v>3</v>
      </c>
      <c r="G90" s="25" t="s">
        <v>1098</v>
      </c>
      <c r="H90" s="37">
        <f ca="1">IF(AND(B90="",NOT(A90="")),VLOOKUP(A90,TaskPlan!A:M,13,FALSE),"")</f>
        <v>40597</v>
      </c>
      <c r="I90" s="38" t="str">
        <f ca="1">IF(AND(B90="",NOT(A90="")),VLOOKUP(A90,TaskPlan!A:M,12,FALSE),"")</f>
        <v>Not Started</v>
      </c>
      <c r="J90" s="39" t="str">
        <f ca="1">IF(AND(B90="",NOT(A90="")),VLOOKUP(A90,TaskPlan!A:L,2,FALSE),"")</f>
        <v>Ruth</v>
      </c>
      <c r="K90" s="39" t="str">
        <f ca="1">IF(AND(B90="",NOT(A90="")),IF(NOT(LEFT(VLOOKUP(A90,TaskPlan!A:L,3,FALSE),1) = "0"),VLOOKUP(A90,TaskPlan!A:L,3,FALSE),""),"")</f>
        <v>4-HIGH</v>
      </c>
      <c r="L90" s="55">
        <f ca="1">IF(AND(B90="",NOT(A90="")),IF(NOT(LEFT(VLOOKUP(A90,TaskPlan!A:L,3,FALSE),1) = "0"),VLOOKUP(A90,TaskPlan!A:M,4,FALSE),""),"")</f>
        <v>40613</v>
      </c>
      <c r="N90" s="1" t="str">
        <f ca="1">IF(ISNA(VLOOKUP(A90,Projects!B:B,1,FALSE)),"","Yes")</f>
        <v/>
      </c>
    </row>
    <row r="91" spans="1:14" hidden="1" outlineLevel="1">
      <c r="A91" s="43" t="s">
        <v>1945</v>
      </c>
      <c r="C91" s="44" t="s">
        <v>1946</v>
      </c>
      <c r="D91" s="7" t="s">
        <v>756</v>
      </c>
      <c r="E91" s="26">
        <v>40590</v>
      </c>
      <c r="F91" s="25">
        <v>3</v>
      </c>
      <c r="G91" s="25" t="s">
        <v>1098</v>
      </c>
      <c r="H91" s="37">
        <f ca="1">IF(AND(B91="",NOT(A91="")),VLOOKUP(A91,TaskPlan!A:M,13,FALSE),"")</f>
        <v>40590</v>
      </c>
      <c r="I91" s="38" t="str">
        <f ca="1">IF(AND(B91="",NOT(A91="")),VLOOKUP(A91,TaskPlan!A:M,12,FALSE),"")</f>
        <v>Not Started</v>
      </c>
      <c r="J91" s="39" t="str">
        <f ca="1">IF(AND(B91="",NOT(A91="")),VLOOKUP(A91,TaskPlan!A:L,2,FALSE),"")</f>
        <v>Unassigned</v>
      </c>
      <c r="K91" s="39" t="str">
        <f ca="1">IF(AND(B91="",NOT(A91="")),IF(NOT(LEFT(VLOOKUP(A91,TaskPlan!A:L,3,FALSE),1) = "0"),VLOOKUP(A91,TaskPlan!A:L,3,FALSE),""),"")</f>
        <v>3-MED</v>
      </c>
      <c r="L91" s="55">
        <f ca="1">IF(AND(B91="",NOT(A91="")),IF(NOT(LEFT(VLOOKUP(A91,TaskPlan!A:L,3,FALSE),1) = "0"),VLOOKUP(A91,TaskPlan!A:M,4,FALSE),""),"")</f>
        <v>0</v>
      </c>
      <c r="N91" s="1" t="str">
        <f ca="1">IF(ISNA(VLOOKUP(A91,Projects!B:B,1,FALSE)),"","Yes")</f>
        <v/>
      </c>
    </row>
    <row r="92" spans="1:14" collapsed="1">
      <c r="E92" s="26"/>
      <c r="H92" s="37" t="str">
        <f ca="1">IF(AND(B92="",NOT(A92="")),VLOOKUP(A92,TaskPlan!A:M,13,FALSE),"")</f>
        <v/>
      </c>
      <c r="I92" s="38" t="str">
        <f ca="1">IF(AND(B92="",NOT(A92="")),VLOOKUP(A92,TaskPlan!A:M,12,FALSE),"")</f>
        <v/>
      </c>
      <c r="J92" s="39" t="str">
        <f ca="1">IF(AND(B92="",NOT(A92="")),VLOOKUP(A92,TaskPlan!A:L,2,FALSE),"")</f>
        <v/>
      </c>
      <c r="K92" s="39" t="str">
        <f ca="1">IF(AND(B92="",NOT(A92="")),IF(NOT(LEFT(VLOOKUP(A92,TaskPlan!A:L,3,FALSE),1) = "0"),VLOOKUP(A92,TaskPlan!A:L,3,FALSE),""),"")</f>
        <v/>
      </c>
      <c r="L92" s="55" t="str">
        <f ca="1">IF(AND(B92="",NOT(A92="")),IF(NOT(LEFT(VLOOKUP(A92,TaskPlan!A:L,3,FALSE),1) = "0"),VLOOKUP(A92,TaskPlan!A:M,4,FALSE),""),"")</f>
        <v/>
      </c>
      <c r="M92" s="58" t="str">
        <f ca="1">IF(B92=".",1,IF(AND(B92="",NOT(A92="")),IF(VLOOKUP(A92,TaskPlan!A:L,5,FALSE)&gt;0,VLOOKUP(A92,TaskPlan!A:L,5,FALSE),""),""))</f>
        <v/>
      </c>
      <c r="N92" s="1" t="str">
        <f ca="1">IF(ISNA(VLOOKUP(A92,Projects!B:B,1,FALSE)),"","Yes")</f>
        <v/>
      </c>
    </row>
    <row r="93" spans="1:14" ht="15.75">
      <c r="A93" s="35" t="s">
        <v>116</v>
      </c>
      <c r="B93" s="1" t="s">
        <v>15</v>
      </c>
      <c r="C93" s="36" t="s">
        <v>22</v>
      </c>
      <c r="E93" s="26"/>
      <c r="H93" s="37" t="str">
        <f ca="1">IF(AND(B93="",NOT(A93="")),VLOOKUP(A93,TaskPlan!A:M,13,FALSE),"")</f>
        <v/>
      </c>
      <c r="I93" s="38" t="str">
        <f ca="1">IF(AND(B93="",NOT(A93="")),VLOOKUP(A93,TaskPlan!A:M,12,FALSE),"")</f>
        <v/>
      </c>
      <c r="J93" s="39" t="str">
        <f ca="1">IF(AND(B93="",NOT(A93="")),VLOOKUP(A93,TaskPlan!A:L,2,FALSE),"")</f>
        <v/>
      </c>
      <c r="K93" s="39" t="str">
        <f ca="1">IF(AND(B93="",NOT(A93="")),IF(NOT(LEFT(VLOOKUP(A93,TaskPlan!A:L,3,FALSE),1) = "0"),VLOOKUP(A93,TaskPlan!A:L,3,FALSE),""),"")</f>
        <v/>
      </c>
      <c r="L93" s="55" t="str">
        <f ca="1">IF(AND(B93="",NOT(A93="")),IF(NOT(LEFT(VLOOKUP(A93,TaskPlan!A:L,3,FALSE),1) = "0"),VLOOKUP(A93,TaskPlan!A:M,4,FALSE),""),"")</f>
        <v/>
      </c>
      <c r="M93" s="58">
        <f ca="1">IF(B93=".",1,IF(AND(B93="",NOT(A93="")),IF(VLOOKUP(A93,TaskPlan!A:L,5,FALSE)&gt;0,VLOOKUP(A93,TaskPlan!A:L,5,FALSE),""),""))</f>
        <v>1</v>
      </c>
      <c r="N93" s="1" t="str">
        <f ca="1">IF(ISNA(VLOOKUP(A93,Projects!B:B,1,FALSE)),"","Yes")</f>
        <v/>
      </c>
    </row>
    <row r="94" spans="1:14" hidden="1" outlineLevel="1">
      <c r="A94" s="35" t="s">
        <v>117</v>
      </c>
      <c r="B94" s="7" t="s">
        <v>15</v>
      </c>
      <c r="C94" s="45" t="s">
        <v>23</v>
      </c>
      <c r="H94" s="37" t="str">
        <f ca="1">IF(AND(B94="",NOT(A94="")),VLOOKUP(A94,TaskPlan!A:M,13,FALSE),"")</f>
        <v/>
      </c>
      <c r="I94" s="38" t="str">
        <f ca="1">IF(AND(B94="",NOT(A94="")),VLOOKUP(A94,TaskPlan!A:M,12,FALSE),"")</f>
        <v/>
      </c>
      <c r="J94" s="39" t="str">
        <f ca="1">IF(AND(B94="",NOT(A94="")),VLOOKUP(A94,TaskPlan!A:L,2,FALSE),"")</f>
        <v/>
      </c>
      <c r="K94" s="39" t="str">
        <f ca="1">IF(AND(B94="",NOT(A94="")),IF(NOT(LEFT(VLOOKUP(A94,TaskPlan!A:L,3,FALSE),1) = "0"),VLOOKUP(A94,TaskPlan!A:L,3,FALSE),""),"")</f>
        <v/>
      </c>
      <c r="L94" s="55" t="str">
        <f ca="1">IF(AND(B94="",NOT(A94="")),IF(NOT(LEFT(VLOOKUP(A94,TaskPlan!A:L,3,FALSE),1) = "0"),VLOOKUP(A94,TaskPlan!A:M,4,FALSE),""),"")</f>
        <v/>
      </c>
      <c r="N94" s="1" t="str">
        <f ca="1">IF(ISNA(VLOOKUP(A94,Projects!B:B,1,FALSE)),"","Yes")</f>
        <v/>
      </c>
    </row>
    <row r="95" spans="1:14" hidden="1" outlineLevel="1">
      <c r="A95" s="41" t="s">
        <v>120</v>
      </c>
      <c r="C95" s="44" t="s">
        <v>122</v>
      </c>
      <c r="D95" s="1" t="s">
        <v>20</v>
      </c>
      <c r="E95" s="26">
        <v>39926</v>
      </c>
      <c r="F95" s="25">
        <v>4</v>
      </c>
      <c r="H95" s="37">
        <f ca="1">IF(AND(B95="",NOT(A95="")),VLOOKUP(A95,TaskPlan!A:M,13,FALSE),"")</f>
        <v>40184</v>
      </c>
      <c r="I95" s="38" t="str">
        <f ca="1">IF(AND(B95="",NOT(A95="")),VLOOKUP(A95,TaskPlan!A:M,12,FALSE),"")</f>
        <v>Closed</v>
      </c>
      <c r="J95" s="39" t="str">
        <f ca="1">IF(AND(B95="",NOT(A95="")),VLOOKUP(A95,TaskPlan!A:L,2,FALSE),"")</f>
        <v>Neil</v>
      </c>
      <c r="K95" s="39" t="str">
        <f ca="1">IF(AND(B95="",NOT(A95="")),IF(NOT(LEFT(VLOOKUP(A95,TaskPlan!A:L,3,FALSE),1) = "0"),VLOOKUP(A95,TaskPlan!A:L,3,FALSE),""),"")</f>
        <v/>
      </c>
      <c r="L95" s="55" t="str">
        <f ca="1">IF(AND(B95="",NOT(A95="")),IF(NOT(LEFT(VLOOKUP(A95,TaskPlan!A:L,3,FALSE),1) = "0"),VLOOKUP(A95,TaskPlan!A:M,4,FALSE),""),"")</f>
        <v/>
      </c>
      <c r="M95" s="58" t="str">
        <f ca="1">IF(B95=".",1,IF(AND(B95="",NOT(A95="")),IF(VLOOKUP(A95,TaskPlan!A:L,5,FALSE)&gt;0,VLOOKUP(A95,TaskPlan!A:L,5,FALSE),""),""))</f>
        <v/>
      </c>
      <c r="N95" s="1" t="str">
        <f ca="1">IF(ISNA(VLOOKUP(A95,Projects!B:B,1,FALSE)),"","Yes")</f>
        <v/>
      </c>
    </row>
    <row r="96" spans="1:14" hidden="1" outlineLevel="1">
      <c r="A96" s="41" t="s">
        <v>121</v>
      </c>
      <c r="C96" s="44" t="s">
        <v>123</v>
      </c>
      <c r="D96" s="1" t="s">
        <v>20</v>
      </c>
      <c r="E96" s="26">
        <v>39926</v>
      </c>
      <c r="F96" s="25">
        <v>4</v>
      </c>
      <c r="G96" s="28" t="s">
        <v>1099</v>
      </c>
      <c r="H96" s="37">
        <f ca="1">IF(AND(B96="",NOT(A96="")),VLOOKUP(A96,TaskPlan!A:M,13,FALSE),"")</f>
        <v>40310</v>
      </c>
      <c r="I96" s="38" t="str">
        <f ca="1">IF(AND(B96="",NOT(A96="")),VLOOKUP(A96,TaskPlan!A:M,12,FALSE),"")</f>
        <v>Closed</v>
      </c>
      <c r="J96" s="39" t="str">
        <f ca="1">IF(AND(B96="",NOT(A96="")),VLOOKUP(A96,TaskPlan!A:L,2,FALSE),"")</f>
        <v>Neil</v>
      </c>
      <c r="K96" s="39" t="str">
        <f ca="1">IF(AND(B96="",NOT(A96="")),IF(NOT(LEFT(VLOOKUP(A96,TaskPlan!A:L,3,FALSE),1) = "0"),VLOOKUP(A96,TaskPlan!A:L,3,FALSE),""),"")</f>
        <v/>
      </c>
      <c r="L96" s="55" t="str">
        <f ca="1">IF(AND(B96="",NOT(A96="")),IF(NOT(LEFT(VLOOKUP(A96,TaskPlan!A:L,3,FALSE),1) = "0"),VLOOKUP(A96,TaskPlan!A:M,4,FALSE),""),"")</f>
        <v/>
      </c>
      <c r="M96" s="58" t="str">
        <f ca="1">IF(B96=".",1,IF(AND(B96="",NOT(A96="")),IF(VLOOKUP(A96,TaskPlan!A:L,5,FALSE)&gt;0,VLOOKUP(A96,TaskPlan!A:L,5,FALSE),""),""))</f>
        <v/>
      </c>
      <c r="N96" s="1" t="str">
        <f ca="1">IF(ISNA(VLOOKUP(A96,Projects!B:B,1,FALSE)),"","Yes")</f>
        <v/>
      </c>
    </row>
    <row r="97" spans="1:14" hidden="1" outlineLevel="1">
      <c r="A97" s="43" t="s">
        <v>858</v>
      </c>
      <c r="C97" s="44" t="s">
        <v>859</v>
      </c>
      <c r="D97" s="1" t="s">
        <v>11</v>
      </c>
      <c r="E97" s="26">
        <v>40200</v>
      </c>
      <c r="F97" s="25">
        <v>1</v>
      </c>
      <c r="H97" s="37">
        <f ca="1">IF(AND(B97="",NOT(A97="")),VLOOKUP(A97,TaskPlan!A:M,13,FALSE),"")</f>
        <v>40206</v>
      </c>
      <c r="I97" s="38" t="str">
        <f ca="1">IF(AND(B97="",NOT(A97="")),VLOOKUP(A97,TaskPlan!A:M,12,FALSE),"")</f>
        <v>Closed</v>
      </c>
      <c r="J97" s="39" t="str">
        <f ca="1">IF(AND(B97="",NOT(A97="")),VLOOKUP(A97,TaskPlan!A:L,2,FALSE),"")</f>
        <v>Neil</v>
      </c>
      <c r="K97" s="39" t="str">
        <f ca="1">IF(AND(B97="",NOT(A97="")),IF(NOT(LEFT(VLOOKUP(A97,TaskPlan!A:L,3,FALSE),1) = "0"),VLOOKUP(A97,TaskPlan!A:L,3,FALSE),""),"")</f>
        <v/>
      </c>
      <c r="L97" s="55" t="str">
        <f ca="1">IF(AND(B97="",NOT(A97="")),IF(NOT(LEFT(VLOOKUP(A97,TaskPlan!A:L,3,FALSE),1) = "0"),VLOOKUP(A97,TaskPlan!A:M,4,FALSE),""),"")</f>
        <v/>
      </c>
      <c r="M97" s="58" t="str">
        <f ca="1">IF(B97=".",1,IF(AND(B97="",NOT(A97="")),IF(VLOOKUP(A97,TaskPlan!A:L,5,FALSE)&gt;0,VLOOKUP(A97,TaskPlan!A:L,5,FALSE),""),""))</f>
        <v/>
      </c>
      <c r="N97" s="1" t="str">
        <f ca="1">IF(ISNA(VLOOKUP(A97,Projects!B:B,1,FALSE)),"","Yes")</f>
        <v/>
      </c>
    </row>
    <row r="98" spans="1:14" ht="25.5" hidden="1" outlineLevel="1">
      <c r="A98" s="43" t="s">
        <v>196</v>
      </c>
      <c r="C98" s="44" t="s">
        <v>687</v>
      </c>
      <c r="D98" s="1" t="s">
        <v>20</v>
      </c>
      <c r="E98" s="26">
        <v>40135</v>
      </c>
      <c r="F98" s="25">
        <v>45</v>
      </c>
      <c r="G98" s="28" t="s">
        <v>1099</v>
      </c>
      <c r="H98" s="37">
        <f ca="1">IF(AND(B98="",NOT(A98="")),VLOOKUP(A98,TaskPlan!A:M,13,FALSE),"")</f>
        <v>40283</v>
      </c>
      <c r="I98" s="38" t="str">
        <f ca="1">IF(AND(B98="",NOT(A98="")),VLOOKUP(A98,TaskPlan!A:M,12,FALSE),"")</f>
        <v>Tentative</v>
      </c>
      <c r="J98" s="39" t="str">
        <f ca="1">IF(AND(B98="",NOT(A98="")),VLOOKUP(A98,TaskPlan!A:L,2,FALSE),"")</f>
        <v>Unassigned</v>
      </c>
      <c r="K98" s="39" t="str">
        <f ca="1">IF(AND(B98="",NOT(A98="")),IF(NOT(LEFT(VLOOKUP(A98,TaskPlan!A:L,3,FALSE),1) = "0"),VLOOKUP(A98,TaskPlan!A:L,3,FALSE),""),"")</f>
        <v>2-LOW</v>
      </c>
      <c r="L98" s="55">
        <f ca="1">IF(AND(B98="",NOT(A98="")),IF(NOT(LEFT(VLOOKUP(A98,TaskPlan!A:L,3,FALSE),1) = "0"),VLOOKUP(A98,TaskPlan!A:M,4,FALSE),""),"")</f>
        <v>0</v>
      </c>
      <c r="M98" s="58" t="str">
        <f ca="1">IF(B98=".",1,IF(AND(B98="",NOT(A98="")),IF(VLOOKUP(A98,TaskPlan!A:L,5,FALSE)&gt;0,VLOOKUP(A98,TaskPlan!A:L,5,FALSE),""),""))</f>
        <v/>
      </c>
      <c r="N98" s="1" t="str">
        <f ca="1">IF(ISNA(VLOOKUP(A98,Projects!B:B,1,FALSE)),"","Yes")</f>
        <v/>
      </c>
    </row>
    <row r="99" spans="1:14" hidden="1" outlineLevel="1">
      <c r="A99" s="46" t="s">
        <v>658</v>
      </c>
      <c r="B99" s="1" t="s">
        <v>15</v>
      </c>
      <c r="C99" s="45" t="s">
        <v>659</v>
      </c>
      <c r="E99" s="26"/>
      <c r="H99" s="37" t="str">
        <f ca="1">IF(AND(B99="",NOT(A99="")),VLOOKUP(A99,TaskPlan!A:M,13,FALSE),"")</f>
        <v/>
      </c>
      <c r="I99" s="38" t="str">
        <f ca="1">IF(AND(B99="",NOT(A99="")),VLOOKUP(A99,TaskPlan!A:M,12,FALSE),"")</f>
        <v/>
      </c>
      <c r="J99" s="39" t="str">
        <f ca="1">IF(AND(B99="",NOT(A99="")),VLOOKUP(A99,TaskPlan!A:L,2,FALSE),"")</f>
        <v/>
      </c>
      <c r="K99" s="39" t="str">
        <f ca="1">IF(AND(B99="",NOT(A99="")),IF(NOT(LEFT(VLOOKUP(A99,TaskPlan!A:L,3,FALSE),1) = "0"),VLOOKUP(A99,TaskPlan!A:L,3,FALSE),""),"")</f>
        <v/>
      </c>
      <c r="L99" s="55" t="str">
        <f ca="1">IF(AND(B99="",NOT(A99="")),IF(NOT(LEFT(VLOOKUP(A99,TaskPlan!A:L,3,FALSE),1) = "0"),VLOOKUP(A99,TaskPlan!A:M,4,FALSE),""),"")</f>
        <v/>
      </c>
      <c r="N99" s="1" t="str">
        <f ca="1">IF(ISNA(VLOOKUP(A99,Projects!B:B,1,FALSE)),"","Yes")</f>
        <v/>
      </c>
    </row>
    <row r="100" spans="1:14" hidden="1" outlineLevel="1">
      <c r="A100" s="46" t="s">
        <v>660</v>
      </c>
      <c r="C100" s="44" t="s">
        <v>661</v>
      </c>
      <c r="D100" s="1" t="s">
        <v>20</v>
      </c>
      <c r="E100" s="26">
        <v>40123</v>
      </c>
      <c r="F100" s="25">
        <v>2</v>
      </c>
      <c r="H100" s="37">
        <f ca="1">IF(AND(B100="",NOT(A100="")),VLOOKUP(A100,TaskPlan!A:M,13,FALSE),"")</f>
        <v>40144</v>
      </c>
      <c r="I100" s="38" t="str">
        <f ca="1">IF(AND(B100="",NOT(A100="")),VLOOKUP(A100,TaskPlan!A:M,12,FALSE),"")</f>
        <v>Closed</v>
      </c>
      <c r="J100" s="39" t="str">
        <f ca="1">IF(AND(B100="",NOT(A100="")),VLOOKUP(A100,TaskPlan!A:L,2,FALSE),"")</f>
        <v>Neil</v>
      </c>
      <c r="K100" s="39" t="str">
        <f ca="1">IF(AND(B100="",NOT(A100="")),IF(NOT(LEFT(VLOOKUP(A100,TaskPlan!A:L,3,FALSE),1) = "0"),VLOOKUP(A100,TaskPlan!A:L,3,FALSE),""),"")</f>
        <v/>
      </c>
      <c r="L100" s="55" t="str">
        <f ca="1">IF(AND(B100="",NOT(A100="")),IF(NOT(LEFT(VLOOKUP(A100,TaskPlan!A:L,3,FALSE),1) = "0"),VLOOKUP(A100,TaskPlan!A:M,4,FALSE),""),"")</f>
        <v/>
      </c>
      <c r="M100" s="58" t="str">
        <f ca="1">IF(B100=".",1,IF(AND(B100="",NOT(A100="")),IF(VLOOKUP(A100,TaskPlan!A:L,5,FALSE)&gt;0,VLOOKUP(A100,TaskPlan!A:L,5,FALSE),""),""))</f>
        <v/>
      </c>
      <c r="N100" s="1" t="str">
        <f ca="1">IF(ISNA(VLOOKUP(A100,Projects!B:B,1,FALSE)),"","Yes")</f>
        <v/>
      </c>
    </row>
    <row r="101" spans="1:14" hidden="1" outlineLevel="1">
      <c r="A101" s="46" t="s">
        <v>1001</v>
      </c>
      <c r="C101" s="44" t="s">
        <v>1002</v>
      </c>
      <c r="D101" s="1" t="s">
        <v>20</v>
      </c>
      <c r="E101" s="26">
        <v>40253</v>
      </c>
      <c r="F101" s="25">
        <v>2</v>
      </c>
      <c r="H101" s="37">
        <f ca="1">IF(AND(B101="",NOT(A101="")),VLOOKUP(A101,TaskPlan!A:M,13,FALSE),"")</f>
        <v>40283</v>
      </c>
      <c r="I101" s="38" t="str">
        <f ca="1">IF(AND(B101="",NOT(A101="")),VLOOKUP(A101,TaskPlan!A:M,12,FALSE),"")</f>
        <v>Closed</v>
      </c>
      <c r="J101" s="39" t="str">
        <f ca="1">IF(AND(B101="",NOT(A101="")),VLOOKUP(A101,TaskPlan!A:L,2,FALSE),"")</f>
        <v>Neil</v>
      </c>
      <c r="K101" s="39" t="str">
        <f ca="1">IF(AND(B101="",NOT(A101="")),IF(NOT(LEFT(VLOOKUP(A101,TaskPlan!A:L,3,FALSE),1) = "0"),VLOOKUP(A101,TaskPlan!A:L,3,FALSE),""),"")</f>
        <v/>
      </c>
      <c r="L101" s="55" t="str">
        <f ca="1">IF(AND(B101="",NOT(A101="")),IF(NOT(LEFT(VLOOKUP(A101,TaskPlan!A:L,3,FALSE),1) = "0"),VLOOKUP(A101,TaskPlan!A:M,4,FALSE),""),"")</f>
        <v/>
      </c>
      <c r="M101" s="58" t="str">
        <f ca="1">IF(B101=".",1,IF(AND(B101="",NOT(A101="")),IF(VLOOKUP(A101,TaskPlan!A:L,5,FALSE)&gt;0,VLOOKUP(A101,TaskPlan!A:L,5,FALSE),""),""))</f>
        <v/>
      </c>
      <c r="N101" s="1" t="str">
        <f ca="1">IF(ISNA(VLOOKUP(A101,Projects!B:B,1,FALSE)),"","Yes")</f>
        <v/>
      </c>
    </row>
    <row r="102" spans="1:14" hidden="1" outlineLevel="1">
      <c r="A102" s="43" t="s">
        <v>1009</v>
      </c>
      <c r="C102" s="44" t="s">
        <v>1010</v>
      </c>
      <c r="D102" s="7" t="s">
        <v>759</v>
      </c>
      <c r="E102" s="26">
        <v>40255</v>
      </c>
      <c r="F102" s="25">
        <v>1</v>
      </c>
      <c r="H102" s="37">
        <f ca="1">IF(AND(B102="",NOT(A102="")),VLOOKUP(A102,TaskPlan!A:M,13,FALSE),"")</f>
        <v>40262</v>
      </c>
      <c r="I102" s="38" t="str">
        <f ca="1">IF(AND(B102="",NOT(A102="")),VLOOKUP(A102,TaskPlan!A:M,12,FALSE),"")</f>
        <v>Closed</v>
      </c>
      <c r="J102" s="39" t="str">
        <f ca="1">IF(AND(B102="",NOT(A102="")),VLOOKUP(A102,TaskPlan!A:L,2,FALSE),"")</f>
        <v>Neil</v>
      </c>
      <c r="K102" s="39" t="str">
        <f ca="1">IF(AND(B102="",NOT(A102="")),IF(NOT(LEFT(VLOOKUP(A102,TaskPlan!A:L,3,FALSE),1) = "0"),VLOOKUP(A102,TaskPlan!A:L,3,FALSE),""),"")</f>
        <v/>
      </c>
      <c r="L102" s="55" t="str">
        <f ca="1">IF(AND(B102="",NOT(A102="")),IF(NOT(LEFT(VLOOKUP(A102,TaskPlan!A:L,3,FALSE),1) = "0"),VLOOKUP(A102,TaskPlan!A:M,4,FALSE),""),"")</f>
        <v/>
      </c>
      <c r="M102" s="58" t="str">
        <f ca="1">IF(B102=".",1,IF(AND(B102="",NOT(A102="")),IF(VLOOKUP(A102,TaskPlan!A:L,5,FALSE)&gt;0,VLOOKUP(A102,TaskPlan!A:L,5,FALSE),""),""))</f>
        <v/>
      </c>
      <c r="N102" s="1" t="str">
        <f ca="1">IF(ISNA(VLOOKUP(A102,Projects!B:B,1,FALSE)),"","Yes")</f>
        <v/>
      </c>
    </row>
    <row r="103" spans="1:14" hidden="1" outlineLevel="1">
      <c r="A103" s="43" t="s">
        <v>688</v>
      </c>
      <c r="B103" s="1" t="s">
        <v>15</v>
      </c>
      <c r="C103" s="45" t="s">
        <v>689</v>
      </c>
      <c r="D103" s="1" t="s">
        <v>20</v>
      </c>
      <c r="E103" s="26"/>
      <c r="G103" s="28"/>
      <c r="H103" s="37" t="str">
        <f ca="1">IF(AND(B103="",NOT(A103="")),VLOOKUP(A103,TaskPlan!A:M,13,FALSE),"")</f>
        <v/>
      </c>
      <c r="I103" s="38" t="str">
        <f ca="1">IF(AND(B103="",NOT(A103="")),VLOOKUP(A103,TaskPlan!A:M,12,FALSE),"")</f>
        <v/>
      </c>
      <c r="J103" s="39" t="str">
        <f ca="1">IF(AND(B103="",NOT(A103="")),VLOOKUP(A103,TaskPlan!A:L,2,FALSE),"")</f>
        <v/>
      </c>
      <c r="K103" s="39" t="str">
        <f ca="1">IF(AND(B103="",NOT(A103="")),IF(NOT(LEFT(VLOOKUP(A103,TaskPlan!A:L,3,FALSE),1) = "0"),VLOOKUP(A103,TaskPlan!A:L,3,FALSE),""),"")</f>
        <v/>
      </c>
      <c r="L103" s="55" t="str">
        <f ca="1">IF(AND(B103="",NOT(A103="")),IF(NOT(LEFT(VLOOKUP(A103,TaskPlan!A:L,3,FALSE),1) = "0"),VLOOKUP(A103,TaskPlan!A:M,4,FALSE),""),"")</f>
        <v/>
      </c>
      <c r="M103" s="58">
        <f ca="1">IF(B103=".",1,IF(AND(B103="",NOT(A103="")),IF(VLOOKUP(A103,TaskPlan!A:L,5,FALSE)&gt;0,VLOOKUP(A103,TaskPlan!A:L,5,FALSE),""),""))</f>
        <v>1</v>
      </c>
      <c r="N103" s="1" t="str">
        <f ca="1">IF(ISNA(VLOOKUP(A103,Projects!B:B,1,FALSE)),"","Yes")</f>
        <v/>
      </c>
    </row>
    <row r="104" spans="1:14" hidden="1" outlineLevel="1">
      <c r="A104" s="43" t="s">
        <v>887</v>
      </c>
      <c r="C104" s="44" t="s">
        <v>900</v>
      </c>
      <c r="D104" s="7" t="s">
        <v>11</v>
      </c>
      <c r="E104" s="26">
        <v>40218</v>
      </c>
      <c r="F104" s="25">
        <v>5</v>
      </c>
      <c r="H104" s="37">
        <f ca="1">IF(AND(B104="",NOT(A104="")),VLOOKUP(A104,TaskPlan!A:M,13,FALSE),"")</f>
        <v>40246</v>
      </c>
      <c r="I104" s="38" t="str">
        <f ca="1">IF(AND(B104="",NOT(A104="")),VLOOKUP(A104,TaskPlan!A:M,12,FALSE),"")</f>
        <v>Closed</v>
      </c>
      <c r="J104" s="39" t="str">
        <f ca="1">IF(AND(B104="",NOT(A104="")),VLOOKUP(A104,TaskPlan!A:L,2,FALSE),"")</f>
        <v>Neil</v>
      </c>
      <c r="K104" s="39" t="str">
        <f ca="1">IF(AND(B104="",NOT(A104="")),IF(NOT(LEFT(VLOOKUP(A104,TaskPlan!A:L,3,FALSE),1) = "0"),VLOOKUP(A104,TaskPlan!A:L,3,FALSE),""),"")</f>
        <v/>
      </c>
      <c r="L104" s="55" t="str">
        <f ca="1">IF(AND(B104="",NOT(A104="")),IF(NOT(LEFT(VLOOKUP(A104,TaskPlan!A:L,3,FALSE),1) = "0"),VLOOKUP(A104,TaskPlan!A:M,4,FALSE),""),"")</f>
        <v/>
      </c>
      <c r="M104" s="58" t="str">
        <f ca="1">IF(B104=".",1,IF(AND(B104="",NOT(A104="")),IF(VLOOKUP(A104,TaskPlan!A:L,5,FALSE)&gt;0,VLOOKUP(A104,TaskPlan!A:L,5,FALSE),""),""))</f>
        <v/>
      </c>
      <c r="N104" s="1" t="str">
        <f ca="1">IF(ISNA(VLOOKUP(A104,Projects!B:B,1,FALSE)),"","Yes")</f>
        <v>Yes</v>
      </c>
    </row>
    <row r="105" spans="1:14" hidden="1" outlineLevel="1">
      <c r="A105" s="43" t="s">
        <v>888</v>
      </c>
      <c r="C105" s="44" t="s">
        <v>903</v>
      </c>
      <c r="D105" s="7" t="s">
        <v>11</v>
      </c>
      <c r="E105" s="26">
        <v>40218</v>
      </c>
      <c r="F105" s="25">
        <v>2</v>
      </c>
      <c r="H105" s="37">
        <f ca="1">IF(AND(B105="",NOT(A105="")),VLOOKUP(A105,TaskPlan!A:M,13,FALSE),"")</f>
        <v>40246</v>
      </c>
      <c r="I105" s="38" t="str">
        <f ca="1">IF(AND(B105="",NOT(A105="")),VLOOKUP(A105,TaskPlan!A:M,12,FALSE),"")</f>
        <v>Closed</v>
      </c>
      <c r="J105" s="39" t="str">
        <f ca="1">IF(AND(B105="",NOT(A105="")),VLOOKUP(A105,TaskPlan!A:L,2,FALSE),"")</f>
        <v>All</v>
      </c>
      <c r="K105" s="39" t="str">
        <f ca="1">IF(AND(B105="",NOT(A105="")),IF(NOT(LEFT(VLOOKUP(A105,TaskPlan!A:L,3,FALSE),1) = "0"),VLOOKUP(A105,TaskPlan!A:L,3,FALSE),""),"")</f>
        <v/>
      </c>
      <c r="L105" s="55" t="str">
        <f ca="1">IF(AND(B105="",NOT(A105="")),IF(NOT(LEFT(VLOOKUP(A105,TaskPlan!A:L,3,FALSE),1) = "0"),VLOOKUP(A105,TaskPlan!A:M,4,FALSE),""),"")</f>
        <v/>
      </c>
      <c r="M105" s="58" t="str">
        <f ca="1">IF(B105=".",1,IF(AND(B105="",NOT(A105="")),IF(VLOOKUP(A105,TaskPlan!A:L,5,FALSE)&gt;0,VLOOKUP(A105,TaskPlan!A:L,5,FALSE),""),""))</f>
        <v/>
      </c>
      <c r="N105" s="1" t="str">
        <f ca="1">IF(ISNA(VLOOKUP(A105,Projects!B:B,1,FALSE)),"","Yes")</f>
        <v>Yes</v>
      </c>
    </row>
    <row r="106" spans="1:14" hidden="1" outlineLevel="1">
      <c r="A106" s="43" t="s">
        <v>901</v>
      </c>
      <c r="C106" s="44" t="s">
        <v>904</v>
      </c>
      <c r="D106" s="7" t="s">
        <v>11</v>
      </c>
      <c r="E106" s="26">
        <v>40218</v>
      </c>
      <c r="F106" s="25">
        <v>5</v>
      </c>
      <c r="G106" s="28" t="s">
        <v>1099</v>
      </c>
      <c r="H106" s="37">
        <f ca="1">IF(AND(B106="",NOT(A106="")),VLOOKUP(A106,TaskPlan!A:M,13,FALSE),"")</f>
        <v>40310</v>
      </c>
      <c r="I106" s="38" t="str">
        <f ca="1">IF(AND(B106="",NOT(A106="")),VLOOKUP(A106,TaskPlan!A:M,12,FALSE),"")</f>
        <v>Closed</v>
      </c>
      <c r="J106" s="39" t="str">
        <f ca="1">IF(AND(B106="",NOT(A106="")),VLOOKUP(A106,TaskPlan!A:L,2,FALSE),"")</f>
        <v>Neil</v>
      </c>
      <c r="K106" s="39" t="str">
        <f ca="1">IF(AND(B106="",NOT(A106="")),IF(NOT(LEFT(VLOOKUP(A106,TaskPlan!A:L,3,FALSE),1) = "0"),VLOOKUP(A106,TaskPlan!A:L,3,FALSE),""),"")</f>
        <v/>
      </c>
      <c r="L106" s="55" t="str">
        <f ca="1">IF(AND(B106="",NOT(A106="")),IF(NOT(LEFT(VLOOKUP(A106,TaskPlan!A:L,3,FALSE),1) = "0"),VLOOKUP(A106,TaskPlan!A:M,4,FALSE),""),"")</f>
        <v/>
      </c>
      <c r="M106" s="58" t="str">
        <f ca="1">IF(B106=".",1,IF(AND(B106="",NOT(A106="")),IF(VLOOKUP(A106,TaskPlan!A:L,5,FALSE)&gt;0,VLOOKUP(A106,TaskPlan!A:L,5,FALSE),""),""))</f>
        <v/>
      </c>
      <c r="N106" s="1" t="str">
        <f ca="1">IF(ISNA(VLOOKUP(A106,Projects!B:B,1,FALSE)),"","Yes")</f>
        <v>Yes</v>
      </c>
    </row>
    <row r="107" spans="1:14" hidden="1" outlineLevel="1">
      <c r="A107" s="43" t="s">
        <v>902</v>
      </c>
      <c r="C107" s="44" t="s">
        <v>905</v>
      </c>
      <c r="D107" s="7" t="s">
        <v>11</v>
      </c>
      <c r="E107" s="26">
        <v>40218</v>
      </c>
      <c r="F107" s="25">
        <v>2</v>
      </c>
      <c r="G107" s="28" t="s">
        <v>1099</v>
      </c>
      <c r="H107" s="37">
        <f ca="1">IF(AND(B107="",NOT(A107="")),VLOOKUP(A107,TaskPlan!A:M,13,FALSE),"")</f>
        <v>40567</v>
      </c>
      <c r="I107" s="38" t="str">
        <f ca="1">IF(AND(B107="",NOT(A107="")),VLOOKUP(A107,TaskPlan!A:M,12,FALSE),"")</f>
        <v>Closed</v>
      </c>
      <c r="J107" s="39" t="str">
        <f ca="1">IF(AND(B107="",NOT(A107="")),VLOOKUP(A107,TaskPlan!A:L,2,FALSE),"")</f>
        <v>All</v>
      </c>
      <c r="K107" s="39" t="str">
        <f ca="1">IF(AND(B107="",NOT(A107="")),IF(NOT(LEFT(VLOOKUP(A107,TaskPlan!A:L,3,FALSE),1) = "0"),VLOOKUP(A107,TaskPlan!A:L,3,FALSE),""),"")</f>
        <v/>
      </c>
      <c r="L107" s="55" t="str">
        <f ca="1">IF(AND(B107="",NOT(A107="")),IF(NOT(LEFT(VLOOKUP(A107,TaskPlan!A:L,3,FALSE),1) = "0"),VLOOKUP(A107,TaskPlan!A:M,4,FALSE),""),"")</f>
        <v/>
      </c>
      <c r="M107" s="58" t="str">
        <f ca="1">IF(B107=".",1,IF(AND(B107="",NOT(A107="")),IF(VLOOKUP(A107,TaskPlan!A:L,5,FALSE)&gt;0,VLOOKUP(A107,TaskPlan!A:L,5,FALSE),""),""))</f>
        <v/>
      </c>
      <c r="N107" s="1" t="str">
        <f ca="1">IF(ISNA(VLOOKUP(A107,Projects!B:B,1,FALSE)),"","Yes")</f>
        <v>Yes</v>
      </c>
    </row>
    <row r="108" spans="1:14" hidden="1" outlineLevel="1">
      <c r="A108" s="43" t="s">
        <v>907</v>
      </c>
      <c r="C108" s="44" t="s">
        <v>906</v>
      </c>
      <c r="D108" s="7" t="s">
        <v>11</v>
      </c>
      <c r="E108" s="26">
        <v>40218</v>
      </c>
      <c r="F108" s="25">
        <v>10</v>
      </c>
      <c r="G108" s="28" t="s">
        <v>1099</v>
      </c>
      <c r="H108" s="37">
        <f ca="1">IF(AND(B108="",NOT(A108="")),VLOOKUP(A108,TaskPlan!A:M,13,FALSE),"")</f>
        <v>40567</v>
      </c>
      <c r="I108" s="38" t="str">
        <f ca="1">IF(AND(B108="",NOT(A108="")),VLOOKUP(A108,TaskPlan!A:M,12,FALSE),"")</f>
        <v>Closed</v>
      </c>
      <c r="J108" s="39" t="str">
        <f ca="1">IF(AND(B108="",NOT(A108="")),VLOOKUP(A108,TaskPlan!A:L,2,FALSE),"")</f>
        <v>Neil</v>
      </c>
      <c r="K108" s="39" t="str">
        <f ca="1">IF(AND(B108="",NOT(A108="")),IF(NOT(LEFT(VLOOKUP(A108,TaskPlan!A:L,3,FALSE),1) = "0"),VLOOKUP(A108,TaskPlan!A:L,3,FALSE),""),"")</f>
        <v/>
      </c>
      <c r="L108" s="55" t="str">
        <f ca="1">IF(AND(B108="",NOT(A108="")),IF(NOT(LEFT(VLOOKUP(A108,TaskPlan!A:L,3,FALSE),1) = "0"),VLOOKUP(A108,TaskPlan!A:M,4,FALSE),""),"")</f>
        <v/>
      </c>
      <c r="M108" s="58" t="str">
        <f ca="1">IF(B108=".",1,IF(AND(B108="",NOT(A108="")),IF(VLOOKUP(A108,TaskPlan!A:L,5,FALSE)&gt;0,VLOOKUP(A108,TaskPlan!A:L,5,FALSE),""),""))</f>
        <v/>
      </c>
      <c r="N108" s="1" t="str">
        <f ca="1">IF(ISNA(VLOOKUP(A108,Projects!B:B,1,FALSE)),"","Yes")</f>
        <v>Yes</v>
      </c>
    </row>
    <row r="109" spans="1:14" hidden="1" outlineLevel="1">
      <c r="A109" s="43" t="s">
        <v>1005</v>
      </c>
      <c r="B109" s="1" t="s">
        <v>15</v>
      </c>
      <c r="C109" s="56" t="s">
        <v>1006</v>
      </c>
      <c r="E109" s="26"/>
      <c r="H109" s="37" t="str">
        <f ca="1">IF(AND(B109="",NOT(A109="")),VLOOKUP(A109,TaskPlan!A:M,13,FALSE),"")</f>
        <v/>
      </c>
      <c r="I109" s="38" t="str">
        <f ca="1">IF(AND(B109="",NOT(A109="")),VLOOKUP(A109,TaskPlan!A:M,12,FALSE),"")</f>
        <v/>
      </c>
      <c r="J109" s="39" t="str">
        <f ca="1">IF(AND(B109="",NOT(A109="")),VLOOKUP(A109,TaskPlan!A:L,2,FALSE),"")</f>
        <v/>
      </c>
      <c r="K109" s="39" t="str">
        <f ca="1">IF(AND(B109="",NOT(A109="")),IF(NOT(LEFT(VLOOKUP(A109,TaskPlan!A:L,3,FALSE),1) = "0"),VLOOKUP(A109,TaskPlan!A:L,3,FALSE),""),"")</f>
        <v/>
      </c>
      <c r="L109" s="55" t="str">
        <f ca="1">IF(AND(B109="",NOT(A109="")),IF(NOT(LEFT(VLOOKUP(A109,TaskPlan!A:L,3,FALSE),1) = "0"),VLOOKUP(A109,TaskPlan!A:M,4,FALSE),""),"")</f>
        <v/>
      </c>
      <c r="M109" s="58">
        <f ca="1">IF(B109=".",1,IF(AND(B109="",NOT(A109="")),IF(VLOOKUP(A109,TaskPlan!A:L,5,FALSE)&gt;0,VLOOKUP(A109,TaskPlan!A:L,5,FALSE),""),""))</f>
        <v>1</v>
      </c>
      <c r="N109" s="1" t="str">
        <f ca="1">IF(ISNA(VLOOKUP(A109,Projects!B:B,1,FALSE)),"","Yes")</f>
        <v/>
      </c>
    </row>
    <row r="110" spans="1:14" hidden="1" outlineLevel="1">
      <c r="A110" s="43" t="s">
        <v>1007</v>
      </c>
      <c r="C110" s="1" t="s">
        <v>1008</v>
      </c>
      <c r="D110" s="1" t="s">
        <v>11</v>
      </c>
      <c r="E110" s="26">
        <v>40253</v>
      </c>
      <c r="F110" s="25">
        <v>5</v>
      </c>
      <c r="G110" s="28" t="s">
        <v>1099</v>
      </c>
      <c r="H110" s="37">
        <f ca="1">IF(AND(B110="",NOT(A110="")),VLOOKUP(A110,TaskPlan!A:M,13,FALSE),"")</f>
        <v>40310</v>
      </c>
      <c r="I110" s="38" t="str">
        <f ca="1">IF(AND(B110="",NOT(A110="")),VLOOKUP(A110,TaskPlan!A:M,12,FALSE),"")</f>
        <v>Closed</v>
      </c>
      <c r="J110" s="39" t="str">
        <f ca="1">IF(AND(B110="",NOT(A110="")),VLOOKUP(A110,TaskPlan!A:L,2,FALSE),"")</f>
        <v>Neil</v>
      </c>
      <c r="K110" s="39" t="str">
        <f ca="1">IF(AND(B110="",NOT(A110="")),IF(NOT(LEFT(VLOOKUP(A110,TaskPlan!A:L,3,FALSE),1) = "0"),VLOOKUP(A110,TaskPlan!A:L,3,FALSE),""),"")</f>
        <v/>
      </c>
      <c r="L110" s="55" t="str">
        <f ca="1">IF(AND(B110="",NOT(A110="")),IF(NOT(LEFT(VLOOKUP(A110,TaskPlan!A:L,3,FALSE),1) = "0"),VLOOKUP(A110,TaskPlan!A:M,4,FALSE),""),"")</f>
        <v/>
      </c>
      <c r="M110" s="58" t="str">
        <f ca="1">IF(B110=".",1,IF(AND(B110="",NOT(A110="")),IF(VLOOKUP(A110,TaskPlan!A:L,5,FALSE)&gt;0,VLOOKUP(A110,TaskPlan!A:L,5,FALSE),""),""))</f>
        <v/>
      </c>
      <c r="N110" s="1" t="str">
        <f ca="1">IF(ISNA(VLOOKUP(A110,Projects!B:B,1,FALSE)),"","Yes")</f>
        <v/>
      </c>
    </row>
    <row r="111" spans="1:14" hidden="1" outlineLevel="1">
      <c r="A111" s="43" t="s">
        <v>1900</v>
      </c>
      <c r="C111" s="7" t="s">
        <v>1901</v>
      </c>
      <c r="D111" s="7" t="s">
        <v>1902</v>
      </c>
      <c r="E111" s="26">
        <v>40588</v>
      </c>
      <c r="F111" s="25">
        <v>2</v>
      </c>
      <c r="G111" s="28" t="s">
        <v>1099</v>
      </c>
      <c r="H111" s="37">
        <f ca="1">IF(AND(B111="",NOT(A111="")),VLOOKUP(A111,TaskPlan!A:M,13,FALSE),"")</f>
        <v>40588</v>
      </c>
      <c r="I111" s="38" t="str">
        <f ca="1">IF(AND(B111="",NOT(A111="")),VLOOKUP(A111,TaskPlan!A:M,12,FALSE),"")</f>
        <v>In Progress</v>
      </c>
      <c r="J111" s="39" t="str">
        <f ca="1">IF(AND(B111="",NOT(A111="")),VLOOKUP(A111,TaskPlan!A:L,2,FALSE),"")</f>
        <v>Sreevani</v>
      </c>
      <c r="K111" s="39" t="str">
        <f ca="1">IF(AND(B111="",NOT(A111="")),IF(NOT(LEFT(VLOOKUP(A111,TaskPlan!A:L,3,FALSE),1) = "0"),VLOOKUP(A111,TaskPlan!A:L,3,FALSE),""),"")</f>
        <v>4-HIGH</v>
      </c>
      <c r="L111" s="55">
        <f ca="1">IF(AND(B111="",NOT(A111="")),IF(NOT(LEFT(VLOOKUP(A111,TaskPlan!A:L,3,FALSE),1) = "0"),VLOOKUP(A111,TaskPlan!A:M,4,FALSE),""),"")</f>
        <v>40592</v>
      </c>
      <c r="M111" s="58" t="str">
        <f ca="1">IF(B111=".",1,IF(AND(B111="",NOT(A111="")),IF(VLOOKUP(A111,TaskPlan!A:L,5,FALSE)&gt;0,VLOOKUP(A111,TaskPlan!A:L,5,FALSE),""),""))</f>
        <v/>
      </c>
      <c r="N111" s="1" t="str">
        <f ca="1">IF(ISNA(VLOOKUP(A111,Projects!B:B,1,FALSE)),"","Yes")</f>
        <v/>
      </c>
    </row>
    <row r="112" spans="1:14" hidden="1" outlineLevel="1">
      <c r="A112" s="43" t="s">
        <v>1146</v>
      </c>
      <c r="B112" s="1" t="s">
        <v>15</v>
      </c>
      <c r="C112" s="56" t="s">
        <v>1147</v>
      </c>
      <c r="E112" s="26"/>
      <c r="G112" s="28"/>
      <c r="L112" s="55"/>
      <c r="N112" s="1" t="str">
        <f ca="1">IF(ISNA(VLOOKUP(A112,Projects!B:B,1,FALSE)),"","Yes")</f>
        <v/>
      </c>
    </row>
    <row r="113" spans="1:14" hidden="1" outlineLevel="1">
      <c r="A113" s="43" t="s">
        <v>1148</v>
      </c>
      <c r="C113" s="7" t="s">
        <v>1177</v>
      </c>
      <c r="D113" s="7" t="s">
        <v>11</v>
      </c>
      <c r="E113" s="26">
        <v>40325</v>
      </c>
      <c r="F113" s="25">
        <v>3</v>
      </c>
      <c r="G113" s="28" t="s">
        <v>1099</v>
      </c>
      <c r="H113" s="37">
        <f ca="1">IF(AND(B113="",NOT(A113="")),VLOOKUP(A113,TaskPlan!A:M,13,FALSE),"")</f>
        <v>40330</v>
      </c>
      <c r="I113" s="38" t="str">
        <f ca="1">IF(AND(B113="",NOT(A113="")),VLOOKUP(A113,TaskPlan!A:M,12,FALSE),"")</f>
        <v>Closed</v>
      </c>
      <c r="J113" s="39" t="str">
        <f ca="1">IF(AND(B113="",NOT(A113="")),VLOOKUP(A113,TaskPlan!A:L,2,FALSE),"")</f>
        <v>Neil</v>
      </c>
      <c r="K113" s="39" t="str">
        <f ca="1">IF(AND(B113="",NOT(A113="")),IF(NOT(LEFT(VLOOKUP(A113,TaskPlan!A:L,3,FALSE),1) = "0"),VLOOKUP(A113,TaskPlan!A:L,3,FALSE),""),"")</f>
        <v/>
      </c>
      <c r="L113" s="55" t="str">
        <f ca="1">IF(AND(B113="",NOT(A113="")),IF(NOT(LEFT(VLOOKUP(A113,TaskPlan!A:L,3,FALSE),1) = "0"),VLOOKUP(A113,TaskPlan!A:M,4,FALSE),""),"")</f>
        <v/>
      </c>
      <c r="N113" s="1" t="str">
        <f ca="1">IF(ISNA(VLOOKUP(A113,Projects!B:B,1,FALSE)),"","Yes")</f>
        <v>Yes</v>
      </c>
    </row>
    <row r="114" spans="1:14" hidden="1" outlineLevel="1">
      <c r="A114" s="43" t="s">
        <v>1149</v>
      </c>
      <c r="C114" s="7" t="s">
        <v>1151</v>
      </c>
      <c r="D114" s="7" t="s">
        <v>759</v>
      </c>
      <c r="E114" s="26">
        <v>40310</v>
      </c>
      <c r="F114" s="25">
        <v>2</v>
      </c>
      <c r="G114" s="28" t="s">
        <v>1099</v>
      </c>
      <c r="H114" s="37">
        <f ca="1">IF(AND(B114="",NOT(A114="")),VLOOKUP(A114,TaskPlan!A:M,13,FALSE),"")</f>
        <v>40514</v>
      </c>
      <c r="I114" s="38" t="str">
        <f ca="1">IF(AND(B114="",NOT(A114="")),VLOOKUP(A114,TaskPlan!A:M,12,FALSE),"")</f>
        <v>Closed</v>
      </c>
      <c r="J114" s="39" t="str">
        <f ca="1">IF(AND(B114="",NOT(A114="")),VLOOKUP(A114,TaskPlan!A:L,2,FALSE),"")</f>
        <v>Neil</v>
      </c>
      <c r="K114" s="39" t="str">
        <f ca="1">IF(AND(B114="",NOT(A114="")),IF(NOT(LEFT(VLOOKUP(A114,TaskPlan!A:L,3,FALSE),1) = "0"),VLOOKUP(A114,TaskPlan!A:L,3,FALSE),""),"")</f>
        <v/>
      </c>
      <c r="L114" s="55" t="str">
        <f ca="1">IF(AND(B114="",NOT(A114="")),IF(NOT(LEFT(VLOOKUP(A114,TaskPlan!A:L,3,FALSE),1) = "0"),VLOOKUP(A114,TaskPlan!A:M,4,FALSE),""),"")</f>
        <v/>
      </c>
      <c r="N114" s="1" t="str">
        <f ca="1">IF(ISNA(VLOOKUP(A114,Projects!B:B,1,FALSE)),"","Yes")</f>
        <v>Yes</v>
      </c>
    </row>
    <row r="115" spans="1:14" hidden="1" outlineLevel="1">
      <c r="A115" s="43" t="s">
        <v>1150</v>
      </c>
      <c r="C115" s="7" t="s">
        <v>1152</v>
      </c>
      <c r="D115" s="7" t="s">
        <v>11</v>
      </c>
      <c r="E115" s="26">
        <v>40310</v>
      </c>
      <c r="F115" s="25">
        <v>5</v>
      </c>
      <c r="G115" s="28" t="s">
        <v>1099</v>
      </c>
      <c r="H115" s="37">
        <f ca="1">IF(AND(B115="",NOT(A115="")),VLOOKUP(A115,TaskPlan!A:M,13,FALSE),"")</f>
        <v>40514</v>
      </c>
      <c r="I115" s="38" t="str">
        <f ca="1">IF(AND(B115="",NOT(A115="")),VLOOKUP(A115,TaskPlan!A:M,12,FALSE),"")</f>
        <v>Closed</v>
      </c>
      <c r="J115" s="39" t="str">
        <f ca="1">IF(AND(B115="",NOT(A115="")),VLOOKUP(A115,TaskPlan!A:L,2,FALSE),"")</f>
        <v>Neil</v>
      </c>
      <c r="K115" s="39" t="str">
        <f ca="1">IF(AND(B115="",NOT(A115="")),IF(NOT(LEFT(VLOOKUP(A115,TaskPlan!A:L,3,FALSE),1) = "0"),VLOOKUP(A115,TaskPlan!A:L,3,FALSE),""),"")</f>
        <v/>
      </c>
      <c r="L115" s="55" t="str">
        <f ca="1">IF(AND(B115="",NOT(A115="")),IF(NOT(LEFT(VLOOKUP(A115,TaskPlan!A:L,3,FALSE),1) = "0"),VLOOKUP(A115,TaskPlan!A:M,4,FALSE),""),"")</f>
        <v/>
      </c>
      <c r="N115" s="1" t="str">
        <f ca="1">IF(ISNA(VLOOKUP(A115,Projects!B:B,1,FALSE)),"","Yes")</f>
        <v>Yes</v>
      </c>
    </row>
    <row r="116" spans="1:14" hidden="1" outlineLevel="1">
      <c r="A116" s="43" t="s">
        <v>1153</v>
      </c>
      <c r="C116" s="7" t="s">
        <v>1154</v>
      </c>
      <c r="D116" s="7" t="s">
        <v>11</v>
      </c>
      <c r="E116" s="26">
        <v>40310</v>
      </c>
      <c r="F116" s="25">
        <v>2</v>
      </c>
      <c r="G116" s="28" t="s">
        <v>1099</v>
      </c>
      <c r="H116" s="37">
        <f ca="1">IF(AND(B116="",NOT(A116="")),VLOOKUP(A116,TaskPlan!A:M,13,FALSE),"")</f>
        <v>40514</v>
      </c>
      <c r="I116" s="38" t="str">
        <f ca="1">IF(AND(B116="",NOT(A116="")),VLOOKUP(A116,TaskPlan!A:M,12,FALSE),"")</f>
        <v>Closed</v>
      </c>
      <c r="J116" s="39" t="str">
        <f ca="1">IF(AND(B116="",NOT(A116="")),VLOOKUP(A116,TaskPlan!A:L,2,FALSE),"")</f>
        <v>Neil</v>
      </c>
      <c r="K116" s="39" t="str">
        <f ca="1">IF(AND(B116="",NOT(A116="")),IF(NOT(LEFT(VLOOKUP(A116,TaskPlan!A:L,3,FALSE),1) = "0"),VLOOKUP(A116,TaskPlan!A:L,3,FALSE),""),"")</f>
        <v/>
      </c>
      <c r="L116" s="55" t="str">
        <f ca="1">IF(AND(B116="",NOT(A116="")),IF(NOT(LEFT(VLOOKUP(A116,TaskPlan!A:L,3,FALSE),1) = "0"),VLOOKUP(A116,TaskPlan!A:M,4,FALSE),""),"")</f>
        <v/>
      </c>
      <c r="N116" s="1" t="str">
        <f ca="1">IF(ISNA(VLOOKUP(A116,Projects!B:B,1,FALSE)),"","Yes")</f>
        <v>Yes</v>
      </c>
    </row>
    <row r="117" spans="1:14" hidden="1" outlineLevel="1">
      <c r="A117" s="43" t="s">
        <v>1155</v>
      </c>
      <c r="C117" s="7" t="s">
        <v>1156</v>
      </c>
      <c r="D117" s="7" t="s">
        <v>11</v>
      </c>
      <c r="E117" s="26">
        <v>40310</v>
      </c>
      <c r="F117" s="25">
        <v>10</v>
      </c>
      <c r="G117" s="28" t="s">
        <v>1099</v>
      </c>
      <c r="H117" s="37">
        <f ca="1">IF(AND(B117="",NOT(A117="")),VLOOKUP(A117,TaskPlan!A:M,13,FALSE),"")</f>
        <v>40514</v>
      </c>
      <c r="I117" s="38" t="str">
        <f ca="1">IF(AND(B117="",NOT(A117="")),VLOOKUP(A117,TaskPlan!A:M,12,FALSE),"")</f>
        <v>Closed</v>
      </c>
      <c r="J117" s="39" t="str">
        <f ca="1">IF(AND(B117="",NOT(A117="")),VLOOKUP(A117,TaskPlan!A:L,2,FALSE),"")</f>
        <v>Neil</v>
      </c>
      <c r="K117" s="39" t="str">
        <f ca="1">IF(AND(B117="",NOT(A117="")),IF(NOT(LEFT(VLOOKUP(A117,TaskPlan!A:L,3,FALSE),1) = "0"),VLOOKUP(A117,TaskPlan!A:L,3,FALSE),""),"")</f>
        <v/>
      </c>
      <c r="L117" s="55" t="str">
        <f ca="1">IF(AND(B117="",NOT(A117="")),IF(NOT(LEFT(VLOOKUP(A117,TaskPlan!A:L,3,FALSE),1) = "0"),VLOOKUP(A117,TaskPlan!A:M,4,FALSE),""),"")</f>
        <v/>
      </c>
      <c r="N117" s="1" t="str">
        <f ca="1">IF(ISNA(VLOOKUP(A117,Projects!B:B,1,FALSE)),"","Yes")</f>
        <v>Yes</v>
      </c>
    </row>
    <row r="118" spans="1:14" hidden="1" outlineLevel="1">
      <c r="A118" s="43" t="s">
        <v>1157</v>
      </c>
      <c r="C118" s="7" t="s">
        <v>1158</v>
      </c>
      <c r="D118" s="7" t="s">
        <v>11</v>
      </c>
      <c r="E118" s="26">
        <v>40310</v>
      </c>
      <c r="F118" s="25">
        <v>5</v>
      </c>
      <c r="G118" s="28" t="s">
        <v>1099</v>
      </c>
      <c r="H118" s="37">
        <f ca="1">IF(AND(B118="",NOT(A118="")),VLOOKUP(A118,TaskPlan!A:M,13,FALSE),"")</f>
        <v>40514</v>
      </c>
      <c r="I118" s="38" t="str">
        <f ca="1">IF(AND(B118="",NOT(A118="")),VLOOKUP(A118,TaskPlan!A:M,12,FALSE),"")</f>
        <v>Closed</v>
      </c>
      <c r="J118" s="39" t="str">
        <f ca="1">IF(AND(B118="",NOT(A118="")),VLOOKUP(A118,TaskPlan!A:L,2,FALSE),"")</f>
        <v>Neil</v>
      </c>
      <c r="K118" s="39" t="str">
        <f ca="1">IF(AND(B118="",NOT(A118="")),IF(NOT(LEFT(VLOOKUP(A118,TaskPlan!A:L,3,FALSE),1) = "0"),VLOOKUP(A118,TaskPlan!A:L,3,FALSE),""),"")</f>
        <v/>
      </c>
      <c r="L118" s="55" t="str">
        <f ca="1">IF(AND(B118="",NOT(A118="")),IF(NOT(LEFT(VLOOKUP(A118,TaskPlan!A:L,3,FALSE),1) = "0"),VLOOKUP(A118,TaskPlan!A:M,4,FALSE),""),"")</f>
        <v/>
      </c>
      <c r="N118" s="1" t="str">
        <f ca="1">IF(ISNA(VLOOKUP(A118,Projects!B:B,1,FALSE)),"","Yes")</f>
        <v>Yes</v>
      </c>
    </row>
    <row r="119" spans="1:14" hidden="1" outlineLevel="1">
      <c r="A119" s="43" t="s">
        <v>1536</v>
      </c>
      <c r="C119" s="7" t="s">
        <v>1537</v>
      </c>
      <c r="D119" s="7" t="s">
        <v>11</v>
      </c>
      <c r="E119" s="26">
        <v>40438</v>
      </c>
      <c r="F119" s="25">
        <v>3</v>
      </c>
      <c r="G119" s="28" t="s">
        <v>1099</v>
      </c>
      <c r="H119" s="37">
        <f ca="1">IF(AND(B119="",NOT(A119="")),VLOOKUP(A119,TaskPlan!A:M,13,FALSE),"")</f>
        <v>40514</v>
      </c>
      <c r="I119" s="38" t="str">
        <f ca="1">IF(AND(B119="",NOT(A119="")),VLOOKUP(A119,TaskPlan!A:M,12,FALSE),"")</f>
        <v>Closed</v>
      </c>
      <c r="J119" s="39" t="str">
        <f ca="1">IF(AND(B119="",NOT(A119="")),VLOOKUP(A119,TaskPlan!A:L,2,FALSE),"")</f>
        <v>Neil</v>
      </c>
      <c r="K119" s="39" t="str">
        <f ca="1">IF(AND(B119="",NOT(A119="")),IF(NOT(LEFT(VLOOKUP(A119,TaskPlan!A:L,3,FALSE),1) = "0"),VLOOKUP(A119,TaskPlan!A:L,3,FALSE),""),"")</f>
        <v/>
      </c>
      <c r="L119" s="55" t="str">
        <f ca="1">IF(AND(B119="",NOT(A119="")),IF(NOT(LEFT(VLOOKUP(A119,TaskPlan!A:L,3,FALSE),1) = "0"),VLOOKUP(A119,TaskPlan!A:M,4,FALSE),""),"")</f>
        <v/>
      </c>
      <c r="N119" s="1" t="str">
        <f ca="1">IF(ISNA(VLOOKUP(A119,Projects!B:B,1,FALSE)),"","Yes")</f>
        <v/>
      </c>
    </row>
    <row r="120" spans="1:14" collapsed="1">
      <c r="A120" s="43"/>
      <c r="C120" s="44"/>
      <c r="E120" s="26"/>
      <c r="H120" s="37" t="str">
        <f ca="1">IF(AND(B120="",NOT(A120="")),VLOOKUP(A120,TaskPlan!A:M,13,FALSE),"")</f>
        <v/>
      </c>
      <c r="I120" s="38" t="str">
        <f ca="1">IF(AND(B120="",NOT(A120="")),VLOOKUP(A120,TaskPlan!A:M,12,FALSE),"")</f>
        <v/>
      </c>
      <c r="L120" s="55" t="str">
        <f ca="1">IF(AND(B120="",NOT(A120="")),IF(NOT(LEFT(VLOOKUP(A120,TaskPlan!A:L,3,FALSE),1) = "0"),VLOOKUP(A120,TaskPlan!A:M,4,FALSE),""),"")</f>
        <v/>
      </c>
      <c r="M120" s="58" t="str">
        <f ca="1">IF(B120=".",1,IF(AND(B120="",NOT(A120="")),IF(VLOOKUP(A120,TaskPlan!A:L,5,FALSE)&gt;0,VLOOKUP(A120,TaskPlan!A:L,5,FALSE),""),""))</f>
        <v/>
      </c>
      <c r="N120" s="1" t="str">
        <f ca="1">IF(ISNA(VLOOKUP(A120,Projects!B:B,1,FALSE)),"","Yes")</f>
        <v/>
      </c>
    </row>
    <row r="121" spans="1:14" ht="15.75">
      <c r="A121" s="35" t="s">
        <v>112</v>
      </c>
      <c r="B121" s="1" t="s">
        <v>15</v>
      </c>
      <c r="C121" s="36" t="s">
        <v>24</v>
      </c>
      <c r="E121" s="26"/>
      <c r="H121" s="37" t="str">
        <f ca="1">IF(AND(B121="",NOT(A121="")),VLOOKUP(A121,TaskPlan!A:M,13,FALSE),"")</f>
        <v/>
      </c>
      <c r="I121" s="38" t="str">
        <f ca="1">IF(AND(B121="",NOT(A121="")),VLOOKUP(A121,TaskPlan!A:M,12,FALSE),"")</f>
        <v/>
      </c>
      <c r="J121" s="39" t="str">
        <f ca="1">IF(AND(B121="",NOT(A121="")),VLOOKUP(A121,TaskPlan!A:L,2,FALSE),"")</f>
        <v/>
      </c>
      <c r="K121" s="39" t="str">
        <f ca="1">IF(AND(B121="",NOT(A121="")),IF(NOT(LEFT(VLOOKUP(A121,TaskPlan!A:L,3,FALSE),1) = "0"),VLOOKUP(A121,TaskPlan!A:L,3,FALSE),""),"")</f>
        <v/>
      </c>
      <c r="L121" s="55" t="str">
        <f ca="1">IF(AND(B121="",NOT(A121="")),IF(NOT(LEFT(VLOOKUP(A121,TaskPlan!A:L,3,FALSE),1) = "0"),VLOOKUP(A121,TaskPlan!A:M,4,FALSE),""),"")</f>
        <v/>
      </c>
      <c r="M121" s="58">
        <f ca="1">IF(B121=".",1,IF(AND(B121="",NOT(A121="")),IF(VLOOKUP(A121,TaskPlan!A:L,5,FALSE)&gt;0,VLOOKUP(A121,TaskPlan!A:L,5,FALSE),""),""))</f>
        <v>1</v>
      </c>
      <c r="N121" s="1" t="str">
        <f ca="1">IF(ISNA(VLOOKUP(A121,Projects!B:B,1,FALSE)),"","Yes")</f>
        <v/>
      </c>
    </row>
    <row r="122" spans="1:14" hidden="1" outlineLevel="1">
      <c r="A122" s="35" t="s">
        <v>113</v>
      </c>
      <c r="C122" s="42" t="s">
        <v>25</v>
      </c>
      <c r="D122" s="1" t="s">
        <v>9</v>
      </c>
      <c r="E122" s="26">
        <v>39911</v>
      </c>
      <c r="H122" s="37">
        <f ca="1">IF(AND(B122="",NOT(A122="")),VLOOKUP(A122,TaskPlan!A:M,13,FALSE),"")</f>
        <v>39910</v>
      </c>
      <c r="I122" s="38" t="str">
        <f ca="1">IF(AND(B122="",NOT(A122="")),VLOOKUP(A122,TaskPlan!A:M,12,FALSE),"")</f>
        <v>Closed</v>
      </c>
      <c r="J122" s="39" t="str">
        <f ca="1">IF(AND(B122="",NOT(A122="")),VLOOKUP(A122,TaskPlan!A:L,2,FALSE),"")</f>
        <v>Neil</v>
      </c>
      <c r="K122" s="39" t="str">
        <f ca="1">IF(AND(B122="",NOT(A122="")),IF(NOT(LEFT(VLOOKUP(A122,TaskPlan!A:L,3,FALSE),1) = "0"),VLOOKUP(A122,TaskPlan!A:L,3,FALSE),""),"")</f>
        <v/>
      </c>
      <c r="L122" s="55" t="str">
        <f ca="1">IF(AND(B122="",NOT(A122="")),IF(NOT(LEFT(VLOOKUP(A122,TaskPlan!A:L,3,FALSE),1) = "0"),VLOOKUP(A122,TaskPlan!A:M,4,FALSE),""),"")</f>
        <v/>
      </c>
      <c r="M122" s="58" t="str">
        <f ca="1">IF(B122=".",1,IF(AND(B122="",NOT(A122="")),IF(VLOOKUP(A122,TaskPlan!A:L,5,FALSE)&gt;0,VLOOKUP(A122,TaskPlan!A:L,5,FALSE),""),""))</f>
        <v/>
      </c>
      <c r="N122" s="1" t="str">
        <f ca="1">IF(ISNA(VLOOKUP(A122,Projects!B:B,1,FALSE)),"","Yes")</f>
        <v/>
      </c>
    </row>
    <row r="123" spans="1:14" hidden="1" outlineLevel="1">
      <c r="A123" s="35" t="s">
        <v>114</v>
      </c>
      <c r="B123" s="7" t="s">
        <v>15</v>
      </c>
      <c r="C123" s="45" t="s">
        <v>26</v>
      </c>
      <c r="D123" s="1" t="s">
        <v>20</v>
      </c>
      <c r="E123" s="26"/>
      <c r="H123" s="37" t="str">
        <f ca="1">IF(AND(B123="",NOT(A123="")),VLOOKUP(A123,TaskPlan!A:M,13,FALSE),"")</f>
        <v/>
      </c>
      <c r="I123" s="38" t="str">
        <f ca="1">IF(AND(B123="",NOT(A123="")),VLOOKUP(A123,TaskPlan!A:M,12,FALSE),"")</f>
        <v/>
      </c>
      <c r="J123" s="39" t="str">
        <f ca="1">IF(AND(B123="",NOT(A123="")),VLOOKUP(A123,TaskPlan!A:L,2,FALSE),"")</f>
        <v/>
      </c>
      <c r="K123" s="39" t="str">
        <f ca="1">IF(AND(B123="",NOT(A123="")),IF(NOT(LEFT(VLOOKUP(A123,TaskPlan!A:L,3,FALSE),1) = "0"),VLOOKUP(A123,TaskPlan!A:L,3,FALSE),""),"")</f>
        <v/>
      </c>
      <c r="L123" s="55" t="str">
        <f ca="1">IF(AND(B123="",NOT(A123="")),IF(NOT(LEFT(VLOOKUP(A123,TaskPlan!A:L,3,FALSE),1) = "0"),VLOOKUP(A123,TaskPlan!A:M,4,FALSE),""),"")</f>
        <v/>
      </c>
      <c r="N123" s="1" t="str">
        <f ca="1">IF(ISNA(VLOOKUP(A123,Projects!B:B,1,FALSE)),"","Yes")</f>
        <v/>
      </c>
    </row>
    <row r="124" spans="1:14" hidden="1" outlineLevel="1">
      <c r="A124" s="43" t="s">
        <v>124</v>
      </c>
      <c r="C124" s="44" t="s">
        <v>753</v>
      </c>
      <c r="D124" s="1" t="s">
        <v>20</v>
      </c>
      <c r="E124" s="26">
        <v>39926</v>
      </c>
      <c r="H124" s="37">
        <f ca="1">IF(AND(B124="",NOT(A124="")),VLOOKUP(A124,TaskPlan!A:M,13,FALSE),"")</f>
        <v>39932</v>
      </c>
      <c r="I124" s="38" t="str">
        <f ca="1">IF(AND(B124="",NOT(A124="")),VLOOKUP(A124,TaskPlan!A:M,12,FALSE),"")</f>
        <v>Closed</v>
      </c>
      <c r="J124" s="39" t="str">
        <f ca="1">IF(AND(B124="",NOT(A124="")),VLOOKUP(A124,TaskPlan!A:L,2,FALSE),"")</f>
        <v>Neil</v>
      </c>
      <c r="K124" s="39" t="str">
        <f ca="1">IF(AND(B124="",NOT(A124="")),IF(NOT(LEFT(VLOOKUP(A124,TaskPlan!A:L,3,FALSE),1) = "0"),VLOOKUP(A124,TaskPlan!A:L,3,FALSE),""),"")</f>
        <v/>
      </c>
      <c r="L124" s="55" t="str">
        <f ca="1">IF(AND(B124="",NOT(A124="")),IF(NOT(LEFT(VLOOKUP(A124,TaskPlan!A:L,3,FALSE),1) = "0"),VLOOKUP(A124,TaskPlan!A:M,4,FALSE),""),"")</f>
        <v/>
      </c>
      <c r="M124" s="58" t="str">
        <f ca="1">IF(B124=".",1,IF(AND(B124="",NOT(A124="")),IF(VLOOKUP(A124,TaskPlan!A:L,5,FALSE)&gt;0,VLOOKUP(A124,TaskPlan!A:L,5,FALSE),""),""))</f>
        <v/>
      </c>
      <c r="N124" s="1" t="str">
        <f ca="1">IF(ISNA(VLOOKUP(A124,Projects!B:B,1,FALSE)),"","Yes")</f>
        <v/>
      </c>
    </row>
    <row r="125" spans="1:14" hidden="1" outlineLevel="1">
      <c r="A125" s="43" t="s">
        <v>125</v>
      </c>
      <c r="C125" s="44" t="s">
        <v>126</v>
      </c>
      <c r="D125" s="1" t="s">
        <v>20</v>
      </c>
      <c r="E125" s="26">
        <v>39926</v>
      </c>
      <c r="H125" s="37">
        <f ca="1">IF(AND(B125="",NOT(A125="")),VLOOKUP(A125,TaskPlan!A:M,13,FALSE),"")</f>
        <v>39932</v>
      </c>
      <c r="I125" s="38" t="str">
        <f ca="1">IF(AND(B125="",NOT(A125="")),VLOOKUP(A125,TaskPlan!A:M,12,FALSE),"")</f>
        <v>Closed</v>
      </c>
      <c r="J125" s="39" t="str">
        <f ca="1">IF(AND(B125="",NOT(A125="")),VLOOKUP(A125,TaskPlan!A:L,2,FALSE),"")</f>
        <v>Neil</v>
      </c>
      <c r="K125" s="39" t="str">
        <f ca="1">IF(AND(B125="",NOT(A125="")),IF(NOT(LEFT(VLOOKUP(A125,TaskPlan!A:L,3,FALSE),1) = "0"),VLOOKUP(A125,TaskPlan!A:L,3,FALSE),""),"")</f>
        <v/>
      </c>
      <c r="L125" s="55" t="str">
        <f ca="1">IF(AND(B125="",NOT(A125="")),IF(NOT(LEFT(VLOOKUP(A125,TaskPlan!A:L,3,FALSE),1) = "0"),VLOOKUP(A125,TaskPlan!A:M,4,FALSE),""),"")</f>
        <v/>
      </c>
      <c r="M125" s="58" t="str">
        <f ca="1">IF(B125=".",1,IF(AND(B125="",NOT(A125="")),IF(VLOOKUP(A125,TaskPlan!A:L,5,FALSE)&gt;0,VLOOKUP(A125,TaskPlan!A:L,5,FALSE),""),""))</f>
        <v/>
      </c>
      <c r="N125" s="1" t="str">
        <f ca="1">IF(ISNA(VLOOKUP(A125,Projects!B:B,1,FALSE)),"","Yes")</f>
        <v/>
      </c>
    </row>
    <row r="126" spans="1:14" hidden="1" outlineLevel="1">
      <c r="A126" s="43" t="s">
        <v>139</v>
      </c>
      <c r="C126" s="44" t="s">
        <v>140</v>
      </c>
      <c r="D126" s="1" t="s">
        <v>20</v>
      </c>
      <c r="E126" s="26">
        <v>39932</v>
      </c>
      <c r="H126" s="37">
        <f ca="1">IF(AND(B126="",NOT(A126="")),VLOOKUP(A126,TaskPlan!A:M,13,FALSE),"")</f>
        <v>39975</v>
      </c>
      <c r="I126" s="38" t="str">
        <f ca="1">IF(AND(B126="",NOT(A126="")),VLOOKUP(A126,TaskPlan!A:M,12,FALSE),"")</f>
        <v>Closed</v>
      </c>
      <c r="J126" s="39" t="str">
        <f ca="1">IF(AND(B126="",NOT(A126="")),VLOOKUP(A126,TaskPlan!A:L,2,FALSE),"")</f>
        <v>Neil</v>
      </c>
      <c r="K126" s="39" t="str">
        <f ca="1">IF(AND(B126="",NOT(A126="")),IF(NOT(LEFT(VLOOKUP(A126,TaskPlan!A:L,3,FALSE),1) = "0"),VLOOKUP(A126,TaskPlan!A:L,3,FALSE),""),"")</f>
        <v/>
      </c>
      <c r="L126" s="55" t="str">
        <f ca="1">IF(AND(B126="",NOT(A126="")),IF(NOT(LEFT(VLOOKUP(A126,TaskPlan!A:L,3,FALSE),1) = "0"),VLOOKUP(A126,TaskPlan!A:M,4,FALSE),""),"")</f>
        <v/>
      </c>
      <c r="M126" s="58" t="str">
        <f ca="1">IF(B126=".",1,IF(AND(B126="",NOT(A126="")),IF(VLOOKUP(A126,TaskPlan!A:L,5,FALSE)&gt;0,VLOOKUP(A126,TaskPlan!A:L,5,FALSE),""),""))</f>
        <v/>
      </c>
      <c r="N126" s="1" t="str">
        <f ca="1">IF(ISNA(VLOOKUP(A126,Projects!B:B,1,FALSE)),"","Yes")</f>
        <v/>
      </c>
    </row>
    <row r="127" spans="1:14" hidden="1" outlineLevel="1">
      <c r="A127" s="41" t="s">
        <v>115</v>
      </c>
      <c r="B127" s="7" t="s">
        <v>15</v>
      </c>
      <c r="C127" s="45" t="s">
        <v>66</v>
      </c>
      <c r="E127" s="26"/>
      <c r="H127" s="37" t="str">
        <f ca="1">IF(AND(B127="",NOT(A127="")),VLOOKUP(A127,TaskPlan!A:M,13,FALSE),"")</f>
        <v/>
      </c>
      <c r="I127" s="38" t="str">
        <f ca="1">IF(AND(B127="",NOT(A127="")),VLOOKUP(A127,TaskPlan!A:M,12,FALSE),"")</f>
        <v/>
      </c>
      <c r="J127" s="39" t="str">
        <f ca="1">IF(AND(B127="",NOT(A127="")),VLOOKUP(A127,TaskPlan!A:L,2,FALSE),"")</f>
        <v/>
      </c>
      <c r="K127" s="39" t="str">
        <f ca="1">IF(AND(B127="",NOT(A127="")),IF(NOT(LEFT(VLOOKUP(A127,TaskPlan!A:L,3,FALSE),1) = "0"),VLOOKUP(A127,TaskPlan!A:L,3,FALSE),""),"")</f>
        <v/>
      </c>
      <c r="L127" s="55" t="str">
        <f ca="1">IF(AND(B127="",NOT(A127="")),IF(NOT(LEFT(VLOOKUP(A127,TaskPlan!A:L,3,FALSE),1) = "0"),VLOOKUP(A127,TaskPlan!A:M,4,FALSE),""),"")</f>
        <v/>
      </c>
      <c r="N127" s="1" t="str">
        <f ca="1">IF(ISNA(VLOOKUP(A127,Projects!B:B,1,FALSE)),"","Yes")</f>
        <v/>
      </c>
    </row>
    <row r="128" spans="1:14" hidden="1" outlineLevel="1">
      <c r="A128" s="43" t="s">
        <v>168</v>
      </c>
      <c r="C128" s="44" t="s">
        <v>173</v>
      </c>
      <c r="D128" s="7" t="s">
        <v>11</v>
      </c>
      <c r="E128" s="26">
        <v>39944</v>
      </c>
      <c r="H128" s="37">
        <f ca="1">IF(AND(B128="",NOT(A128="")),VLOOKUP(A128,TaskPlan!A:M,13,FALSE),"")</f>
        <v>39965</v>
      </c>
      <c r="I128" s="38" t="str">
        <f ca="1">IF(AND(B128="",NOT(A128="")),VLOOKUP(A128,TaskPlan!A:M,12,FALSE),"")</f>
        <v>Closed</v>
      </c>
      <c r="J128" s="39" t="str">
        <f ca="1">IF(AND(B128="",NOT(A128="")),VLOOKUP(A128,TaskPlan!A:L,2,FALSE),"")</f>
        <v>Neil</v>
      </c>
      <c r="K128" s="39" t="str">
        <f ca="1">IF(AND(B128="",NOT(A128="")),IF(NOT(LEFT(VLOOKUP(A128,TaskPlan!A:L,3,FALSE),1) = "0"),VLOOKUP(A128,TaskPlan!A:L,3,FALSE),""),"")</f>
        <v/>
      </c>
      <c r="L128" s="55" t="str">
        <f ca="1">IF(AND(B128="",NOT(A128="")),IF(NOT(LEFT(VLOOKUP(A128,TaskPlan!A:L,3,FALSE),1) = "0"),VLOOKUP(A128,TaskPlan!A:M,4,FALSE),""),"")</f>
        <v/>
      </c>
      <c r="M128" s="58" t="str">
        <f ca="1">IF(B128=".",1,IF(AND(B128="",NOT(A128="")),IF(VLOOKUP(A128,TaskPlan!A:L,5,FALSE)&gt;0,VLOOKUP(A128,TaskPlan!A:L,5,FALSE),""),""))</f>
        <v/>
      </c>
      <c r="N128" s="1" t="str">
        <f ca="1">IF(ISNA(VLOOKUP(A128,Projects!B:B,1,FALSE)),"","Yes")</f>
        <v/>
      </c>
    </row>
    <row r="129" spans="1:14" hidden="1" outlineLevel="1">
      <c r="A129" s="43" t="s">
        <v>169</v>
      </c>
      <c r="C129" s="44" t="s">
        <v>172</v>
      </c>
      <c r="D129" s="7" t="s">
        <v>11</v>
      </c>
      <c r="E129" s="26">
        <v>39944</v>
      </c>
      <c r="H129" s="37">
        <f ca="1">IF(AND(B129="",NOT(A129="")),VLOOKUP(A129,TaskPlan!A:M,13,FALSE),"")</f>
        <v>39979</v>
      </c>
      <c r="I129" s="38" t="str">
        <f ca="1">IF(AND(B129="",NOT(A129="")),VLOOKUP(A129,TaskPlan!A:M,12,FALSE),"")</f>
        <v>Closed</v>
      </c>
      <c r="J129" s="39" t="str">
        <f ca="1">IF(AND(B129="",NOT(A129="")),VLOOKUP(A129,TaskPlan!A:L,2,FALSE),"")</f>
        <v>Neil</v>
      </c>
      <c r="K129" s="39" t="str">
        <f ca="1">IF(AND(B129="",NOT(A129="")),IF(NOT(LEFT(VLOOKUP(A129,TaskPlan!A:L,3,FALSE),1) = "0"),VLOOKUP(A129,TaskPlan!A:L,3,FALSE),""),"")</f>
        <v/>
      </c>
      <c r="L129" s="55" t="str">
        <f ca="1">IF(AND(B129="",NOT(A129="")),IF(NOT(LEFT(VLOOKUP(A129,TaskPlan!A:L,3,FALSE),1) = "0"),VLOOKUP(A129,TaskPlan!A:M,4,FALSE),""),"")</f>
        <v/>
      </c>
      <c r="M129" s="58" t="str">
        <f ca="1">IF(B129=".",1,IF(AND(B129="",NOT(A129="")),IF(VLOOKUP(A129,TaskPlan!A:L,5,FALSE)&gt;0,VLOOKUP(A129,TaskPlan!A:L,5,FALSE),""),""))</f>
        <v/>
      </c>
      <c r="N129" s="1" t="str">
        <f ca="1">IF(ISNA(VLOOKUP(A129,Projects!B:B,1,FALSE)),"","Yes")</f>
        <v/>
      </c>
    </row>
    <row r="130" spans="1:14" hidden="1" outlineLevel="1">
      <c r="A130" s="43" t="s">
        <v>170</v>
      </c>
      <c r="C130" s="44" t="s">
        <v>171</v>
      </c>
      <c r="D130" s="7" t="s">
        <v>11</v>
      </c>
      <c r="E130" s="26">
        <v>39944</v>
      </c>
      <c r="H130" s="37">
        <f ca="1">IF(AND(B130="",NOT(A130="")),VLOOKUP(A130,TaskPlan!A:M,13,FALSE),"")</f>
        <v>39979</v>
      </c>
      <c r="I130" s="38" t="str">
        <f ca="1">IF(AND(B130="",NOT(A130="")),VLOOKUP(A130,TaskPlan!A:M,12,FALSE),"")</f>
        <v>Closed</v>
      </c>
      <c r="J130" s="39" t="str">
        <f ca="1">IF(AND(B130="",NOT(A130="")),VLOOKUP(A130,TaskPlan!A:L,2,FALSE),"")</f>
        <v>Neil</v>
      </c>
      <c r="K130" s="39" t="str">
        <f ca="1">IF(AND(B130="",NOT(A130="")),IF(NOT(LEFT(VLOOKUP(A130,TaskPlan!A:L,3,FALSE),1) = "0"),VLOOKUP(A130,TaskPlan!A:L,3,FALSE),""),"")</f>
        <v/>
      </c>
      <c r="L130" s="55" t="str">
        <f ca="1">IF(AND(B130="",NOT(A130="")),IF(NOT(LEFT(VLOOKUP(A130,TaskPlan!A:L,3,FALSE),1) = "0"),VLOOKUP(A130,TaskPlan!A:M,4,FALSE),""),"")</f>
        <v/>
      </c>
      <c r="M130" s="58" t="str">
        <f ca="1">IF(B130=".",1,IF(AND(B130="",NOT(A130="")),IF(VLOOKUP(A130,TaskPlan!A:L,5,FALSE)&gt;0,VLOOKUP(A130,TaskPlan!A:L,5,FALSE),""),""))</f>
        <v/>
      </c>
      <c r="N130" s="1" t="str">
        <f ca="1">IF(ISNA(VLOOKUP(A130,Projects!B:B,1,FALSE)),"","Yes")</f>
        <v/>
      </c>
    </row>
    <row r="131" spans="1:14" hidden="1" outlineLevel="1">
      <c r="A131" s="46" t="s">
        <v>203</v>
      </c>
      <c r="B131" s="7" t="s">
        <v>15</v>
      </c>
      <c r="C131" s="45" t="s">
        <v>265</v>
      </c>
      <c r="D131" s="7"/>
      <c r="E131" s="26"/>
      <c r="H131" s="37" t="str">
        <f ca="1">IF(AND(B131="",NOT(A131="")),VLOOKUP(A131,TaskPlan!A:M,13,FALSE),"")</f>
        <v/>
      </c>
      <c r="I131" s="38" t="str">
        <f ca="1">IF(AND(B131="",NOT(A131="")),VLOOKUP(A131,TaskPlan!A:M,12,FALSE),"")</f>
        <v/>
      </c>
      <c r="J131" s="39" t="str">
        <f ca="1">IF(AND(B131="",NOT(A131="")),VLOOKUP(A131,TaskPlan!A:L,2,FALSE),"")</f>
        <v/>
      </c>
      <c r="K131" s="39" t="str">
        <f ca="1">IF(AND(B131="",NOT(A131="")),IF(NOT(LEFT(VLOOKUP(A131,TaskPlan!A:L,3,FALSE),1) = "0"),VLOOKUP(A131,TaskPlan!A:L,3,FALSE),""),"")</f>
        <v/>
      </c>
      <c r="L131" s="55" t="str">
        <f ca="1">IF(AND(B131="",NOT(A131="")),IF(NOT(LEFT(VLOOKUP(A131,TaskPlan!A:L,3,FALSE),1) = "0"),VLOOKUP(A131,TaskPlan!A:M,4,FALSE),""),"")</f>
        <v/>
      </c>
      <c r="N131" s="1" t="str">
        <f ca="1">IF(ISNA(VLOOKUP(A131,Projects!B:B,1,FALSE)),"","Yes")</f>
        <v/>
      </c>
    </row>
    <row r="132" spans="1:14" hidden="1" outlineLevel="1">
      <c r="A132" s="46" t="s">
        <v>208</v>
      </c>
      <c r="B132" s="1" t="s">
        <v>15</v>
      </c>
      <c r="C132" s="47" t="s">
        <v>209</v>
      </c>
      <c r="D132" s="7"/>
      <c r="E132" s="26"/>
      <c r="H132" s="37" t="str">
        <f ca="1">IF(AND(B132="",NOT(A132="")),VLOOKUP(A132,TaskPlan!A:M,13,FALSE),"")</f>
        <v/>
      </c>
      <c r="I132" s="38" t="str">
        <f ca="1">IF(AND(B132="",NOT(A132="")),VLOOKUP(A132,TaskPlan!A:M,12,FALSE),"")</f>
        <v/>
      </c>
      <c r="J132" s="39" t="str">
        <f ca="1">IF(AND(B132="",NOT(A132="")),VLOOKUP(A132,TaskPlan!A:L,2,FALSE),"")</f>
        <v/>
      </c>
      <c r="K132" s="39" t="str">
        <f ca="1">IF(AND(B132="",NOT(A132="")),IF(NOT(LEFT(VLOOKUP(A132,TaskPlan!A:L,3,FALSE),1) = "0"),VLOOKUP(A132,TaskPlan!A:L,3,FALSE),""),"")</f>
        <v/>
      </c>
      <c r="L132" s="55" t="str">
        <f ca="1">IF(AND(B132="",NOT(A132="")),IF(NOT(LEFT(VLOOKUP(A132,TaskPlan!A:L,3,FALSE),1) = "0"),VLOOKUP(A132,TaskPlan!A:M,4,FALSE),""),"")</f>
        <v/>
      </c>
      <c r="N132" s="1" t="str">
        <f ca="1">IF(ISNA(VLOOKUP(A132,Projects!B:B,1,FALSE)),"","Yes")</f>
        <v/>
      </c>
    </row>
    <row r="133" spans="1:14" hidden="1" outlineLevel="1">
      <c r="A133" s="43" t="s">
        <v>565</v>
      </c>
      <c r="C133" s="44" t="s">
        <v>210</v>
      </c>
      <c r="D133" s="7" t="s">
        <v>20</v>
      </c>
      <c r="E133" s="26">
        <v>39954</v>
      </c>
      <c r="H133" s="37">
        <f ca="1">IF(AND(B133="",NOT(A133="")),VLOOKUP(A133,TaskPlan!A:M,13,FALSE),"")</f>
        <v>39959</v>
      </c>
      <c r="I133" s="38" t="str">
        <f ca="1">IF(AND(B133="",NOT(A133="")),VLOOKUP(A133,TaskPlan!A:M,12,FALSE),"")</f>
        <v>Closed</v>
      </c>
      <c r="J133" s="39" t="str">
        <f ca="1">IF(AND(B133="",NOT(A133="")),VLOOKUP(A133,TaskPlan!A:L,2,FALSE),"")</f>
        <v>Neil</v>
      </c>
      <c r="K133" s="39" t="str">
        <f ca="1">IF(AND(B133="",NOT(A133="")),IF(NOT(LEFT(VLOOKUP(A133,TaskPlan!A:L,3,FALSE),1) = "0"),VLOOKUP(A133,TaskPlan!A:L,3,FALSE),""),"")</f>
        <v/>
      </c>
      <c r="L133" s="55" t="str">
        <f ca="1">IF(AND(B133="",NOT(A133="")),IF(NOT(LEFT(VLOOKUP(A133,TaskPlan!A:L,3,FALSE),1) = "0"),VLOOKUP(A133,TaskPlan!A:M,4,FALSE),""),"")</f>
        <v/>
      </c>
      <c r="M133" s="58" t="str">
        <f ca="1">IF(B133=".",1,IF(AND(B133="",NOT(A133="")),IF(VLOOKUP(A133,TaskPlan!A:L,5,FALSE)&gt;0,VLOOKUP(A133,TaskPlan!A:L,5,FALSE),""),""))</f>
        <v/>
      </c>
      <c r="N133" s="1" t="str">
        <f ca="1">IF(ISNA(VLOOKUP(A133,Projects!B:B,1,FALSE)),"","Yes")</f>
        <v/>
      </c>
    </row>
    <row r="134" spans="1:14" hidden="1" outlineLevel="1">
      <c r="A134" s="43" t="s">
        <v>564</v>
      </c>
      <c r="C134" s="44" t="s">
        <v>211</v>
      </c>
      <c r="D134" s="7" t="s">
        <v>20</v>
      </c>
      <c r="E134" s="26">
        <v>39954</v>
      </c>
      <c r="H134" s="37">
        <f ca="1">IF(AND(B134="",NOT(A134="")),VLOOKUP(A134,TaskPlan!A:M,13,FALSE),"")</f>
        <v>39959</v>
      </c>
      <c r="I134" s="38" t="str">
        <f ca="1">IF(AND(B134="",NOT(A134="")),VLOOKUP(A134,TaskPlan!A:M,12,FALSE),"")</f>
        <v>Closed</v>
      </c>
      <c r="J134" s="39" t="str">
        <f ca="1">IF(AND(B134="",NOT(A134="")),VLOOKUP(A134,TaskPlan!A:L,2,FALSE),"")</f>
        <v>Neil</v>
      </c>
      <c r="K134" s="39" t="str">
        <f ca="1">IF(AND(B134="",NOT(A134="")),IF(NOT(LEFT(VLOOKUP(A134,TaskPlan!A:L,3,FALSE),1) = "0"),VLOOKUP(A134,TaskPlan!A:L,3,FALSE),""),"")</f>
        <v/>
      </c>
      <c r="L134" s="55" t="str">
        <f ca="1">IF(AND(B134="",NOT(A134="")),IF(NOT(LEFT(VLOOKUP(A134,TaskPlan!A:L,3,FALSE),1) = "0"),VLOOKUP(A134,TaskPlan!A:M,4,FALSE),""),"")</f>
        <v/>
      </c>
      <c r="M134" s="58" t="str">
        <f ca="1">IF(B134=".",1,IF(AND(B134="",NOT(A134="")),IF(VLOOKUP(A134,TaskPlan!A:L,5,FALSE)&gt;0,VLOOKUP(A134,TaskPlan!A:L,5,FALSE),""),""))</f>
        <v/>
      </c>
      <c r="N134" s="1" t="str">
        <f ca="1">IF(ISNA(VLOOKUP(A134,Projects!B:B,1,FALSE)),"","Yes")</f>
        <v/>
      </c>
    </row>
    <row r="135" spans="1:14" ht="25.5" hidden="1" outlineLevel="1">
      <c r="A135" s="43" t="s">
        <v>563</v>
      </c>
      <c r="C135" s="44" t="s">
        <v>291</v>
      </c>
      <c r="D135" s="7" t="s">
        <v>11</v>
      </c>
      <c r="E135" s="26">
        <v>39993</v>
      </c>
      <c r="H135" s="37">
        <f ca="1">IF(AND(B135="",NOT(A135="")),VLOOKUP(A135,TaskPlan!A:M,13,FALSE),"")</f>
        <v>39993</v>
      </c>
      <c r="I135" s="38" t="str">
        <f ca="1">IF(AND(B135="",NOT(A135="")),VLOOKUP(A135,TaskPlan!A:M,12,FALSE),"")</f>
        <v>Closed</v>
      </c>
      <c r="J135" s="39" t="str">
        <f ca="1">IF(AND(B135="",NOT(A135="")),VLOOKUP(A135,TaskPlan!A:L,2,FALSE),"")</f>
        <v>Neil</v>
      </c>
      <c r="K135" s="39" t="str">
        <f ca="1">IF(AND(B135="",NOT(A135="")),IF(NOT(LEFT(VLOOKUP(A135,TaskPlan!A:L,3,FALSE),1) = "0"),VLOOKUP(A135,TaskPlan!A:L,3,FALSE),""),"")</f>
        <v/>
      </c>
      <c r="L135" s="55" t="str">
        <f ca="1">IF(AND(B135="",NOT(A135="")),IF(NOT(LEFT(VLOOKUP(A135,TaskPlan!A:L,3,FALSE),1) = "0"),VLOOKUP(A135,TaskPlan!A:M,4,FALSE),""),"")</f>
        <v/>
      </c>
      <c r="M135" s="58" t="str">
        <f ca="1">IF(B135=".",1,IF(AND(B135="",NOT(A135="")),IF(VLOOKUP(A135,TaskPlan!A:L,5,FALSE)&gt;0,VLOOKUP(A135,TaskPlan!A:L,5,FALSE),""),""))</f>
        <v/>
      </c>
      <c r="N135" s="1" t="str">
        <f ca="1">IF(ISNA(VLOOKUP(A135,Projects!B:B,1,FALSE)),"","Yes")</f>
        <v/>
      </c>
    </row>
    <row r="136" spans="1:14" hidden="1" outlineLevel="1">
      <c r="A136" s="43" t="s">
        <v>562</v>
      </c>
      <c r="C136" s="44" t="s">
        <v>1062</v>
      </c>
      <c r="D136" s="1" t="s">
        <v>20</v>
      </c>
      <c r="E136" s="26">
        <v>40283</v>
      </c>
      <c r="F136" s="25">
        <v>7</v>
      </c>
      <c r="G136" s="28" t="s">
        <v>1099</v>
      </c>
      <c r="H136" s="37">
        <f ca="1">IF(AND(B136="",NOT(A136="")),VLOOKUP(A136,TaskPlan!A:M,13,FALSE),"")</f>
        <v>40394</v>
      </c>
      <c r="I136" s="38" t="str">
        <f ca="1">IF(AND(B136="",NOT(A136="")),VLOOKUP(A136,TaskPlan!A:M,12,FALSE),"")</f>
        <v>Cancelled</v>
      </c>
      <c r="J136" s="39" t="str">
        <f ca="1">IF(AND(B136="",NOT(A136="")),VLOOKUP(A136,TaskPlan!A:L,2,FALSE),"")</f>
        <v>Paresh</v>
      </c>
      <c r="K136" s="39" t="str">
        <f ca="1">IF(AND(B136="",NOT(A136="")),IF(NOT(LEFT(VLOOKUP(A136,TaskPlan!A:L,3,FALSE),1) = "0"),VLOOKUP(A136,TaskPlan!A:L,3,FALSE),""),"")</f>
        <v/>
      </c>
      <c r="L136" s="55" t="str">
        <f ca="1">IF(AND(B136="",NOT(A136="")),IF(NOT(LEFT(VLOOKUP(A136,TaskPlan!A:L,3,FALSE),1) = "0"),VLOOKUP(A136,TaskPlan!A:M,4,FALSE),""),"")</f>
        <v/>
      </c>
      <c r="M136" s="58" t="str">
        <f ca="1">IF(B136=".",1,IF(AND(B136="",NOT(A136="")),IF(VLOOKUP(A136,TaskPlan!A:L,5,FALSE)&gt;0,VLOOKUP(A136,TaskPlan!A:L,5,FALSE),""),""))</f>
        <v/>
      </c>
      <c r="N136" s="1" t="str">
        <f ca="1">IF(ISNA(VLOOKUP(A136,Projects!B:B,1,FALSE)),"","Yes")</f>
        <v/>
      </c>
    </row>
    <row r="137" spans="1:14" hidden="1" outlineLevel="1">
      <c r="A137" s="43" t="s">
        <v>561</v>
      </c>
      <c r="C137" s="44" t="s">
        <v>263</v>
      </c>
      <c r="D137" s="7" t="s">
        <v>11</v>
      </c>
      <c r="E137" s="26">
        <v>39975</v>
      </c>
      <c r="H137" s="37">
        <f ca="1">IF(AND(B137="",NOT(A137="")),VLOOKUP(A137,TaskPlan!A:M,13,FALSE),"")</f>
        <v>40053</v>
      </c>
      <c r="I137" s="38" t="str">
        <f ca="1">IF(AND(B137="",NOT(A137="")),VLOOKUP(A137,TaskPlan!A:M,12,FALSE),"")</f>
        <v>Closed</v>
      </c>
      <c r="J137" s="39" t="str">
        <f ca="1">IF(AND(B137="",NOT(A137="")),VLOOKUP(A137,TaskPlan!A:L,2,FALSE),"")</f>
        <v>Ruth</v>
      </c>
      <c r="K137" s="39" t="str">
        <f ca="1">IF(AND(B137="",NOT(A137="")),IF(NOT(LEFT(VLOOKUP(A137,TaskPlan!A:L,3,FALSE),1) = "0"),VLOOKUP(A137,TaskPlan!A:L,3,FALSE),""),"")</f>
        <v/>
      </c>
      <c r="L137" s="55" t="str">
        <f ca="1">IF(AND(B137="",NOT(A137="")),IF(NOT(LEFT(VLOOKUP(A137,TaskPlan!A:L,3,FALSE),1) = "0"),VLOOKUP(A137,TaskPlan!A:M,4,FALSE),""),"")</f>
        <v/>
      </c>
      <c r="M137" s="58" t="str">
        <f ca="1">IF(B137=".",1,IF(AND(B137="",NOT(A137="")),IF(VLOOKUP(A137,TaskPlan!A:L,5,FALSE)&gt;0,VLOOKUP(A137,TaskPlan!A:L,5,FALSE),""),""))</f>
        <v/>
      </c>
      <c r="N137" s="1" t="str">
        <f ca="1">IF(ISNA(VLOOKUP(A137,Projects!B:B,1,FALSE)),"","Yes")</f>
        <v/>
      </c>
    </row>
    <row r="138" spans="1:14" hidden="1" outlineLevel="1">
      <c r="A138" s="43" t="s">
        <v>560</v>
      </c>
      <c r="C138" s="44" t="s">
        <v>264</v>
      </c>
      <c r="D138" s="1" t="s">
        <v>20</v>
      </c>
      <c r="E138" s="26">
        <v>39975</v>
      </c>
      <c r="H138" s="37">
        <f ca="1">IF(AND(B138="",NOT(A138="")),VLOOKUP(A138,TaskPlan!A:M,13,FALSE),"")</f>
        <v>40025</v>
      </c>
      <c r="I138" s="38" t="str">
        <f ca="1">IF(AND(B138="",NOT(A138="")),VLOOKUP(A138,TaskPlan!A:M,12,FALSE),"")</f>
        <v>Closed</v>
      </c>
      <c r="J138" s="39" t="str">
        <f ca="1">IF(AND(B138="",NOT(A138="")),VLOOKUP(A138,TaskPlan!A:L,2,FALSE),"")</f>
        <v>Neil</v>
      </c>
      <c r="K138" s="39" t="str">
        <f ca="1">IF(AND(B138="",NOT(A138="")),IF(NOT(LEFT(VLOOKUP(A138,TaskPlan!A:L,3,FALSE),1) = "0"),VLOOKUP(A138,TaskPlan!A:L,3,FALSE),""),"")</f>
        <v/>
      </c>
      <c r="L138" s="55" t="str">
        <f ca="1">IF(AND(B138="",NOT(A138="")),IF(NOT(LEFT(VLOOKUP(A138,TaskPlan!A:L,3,FALSE),1) = "0"),VLOOKUP(A138,TaskPlan!A:M,4,FALSE),""),"")</f>
        <v/>
      </c>
      <c r="M138" s="58" t="str">
        <f ca="1">IF(B138=".",1,IF(AND(B138="",NOT(A138="")),IF(VLOOKUP(A138,TaskPlan!A:L,5,FALSE)&gt;0,VLOOKUP(A138,TaskPlan!A:L,5,FALSE),""),""))</f>
        <v/>
      </c>
      <c r="N138" s="1" t="str">
        <f ca="1">IF(ISNA(VLOOKUP(A138,Projects!B:B,1,FALSE)),"","Yes")</f>
        <v/>
      </c>
    </row>
    <row r="139" spans="1:14" hidden="1" outlineLevel="1">
      <c r="A139" s="43" t="s">
        <v>559</v>
      </c>
      <c r="C139" s="44" t="s">
        <v>339</v>
      </c>
      <c r="D139" s="1" t="s">
        <v>20</v>
      </c>
      <c r="E139" s="26">
        <v>40025</v>
      </c>
      <c r="H139" s="37">
        <f ca="1">IF(AND(B139="",NOT(A139="")),VLOOKUP(A139,TaskPlan!A:M,13,FALSE),"")</f>
        <v>40053</v>
      </c>
      <c r="I139" s="38" t="str">
        <f ca="1">IF(AND(B139="",NOT(A139="")),VLOOKUP(A139,TaskPlan!A:M,12,FALSE),"")</f>
        <v>Closed</v>
      </c>
      <c r="J139" s="39" t="str">
        <f ca="1">IF(AND(B139="",NOT(A139="")),VLOOKUP(A139,TaskPlan!A:L,2,FALSE),"")</f>
        <v>Ruth</v>
      </c>
      <c r="K139" s="39" t="str">
        <f ca="1">IF(AND(B139="",NOT(A139="")),IF(NOT(LEFT(VLOOKUP(A139,TaskPlan!A:L,3,FALSE),1) = "0"),VLOOKUP(A139,TaskPlan!A:L,3,FALSE),""),"")</f>
        <v/>
      </c>
      <c r="L139" s="55" t="str">
        <f ca="1">IF(AND(B139="",NOT(A139="")),IF(NOT(LEFT(VLOOKUP(A139,TaskPlan!A:L,3,FALSE),1) = "0"),VLOOKUP(A139,TaskPlan!A:M,4,FALSE),""),"")</f>
        <v/>
      </c>
      <c r="M139" s="58" t="str">
        <f ca="1">IF(B139=".",1,IF(AND(B139="",NOT(A139="")),IF(VLOOKUP(A139,TaskPlan!A:L,5,FALSE)&gt;0,VLOOKUP(A139,TaskPlan!A:L,5,FALSE),""),""))</f>
        <v/>
      </c>
      <c r="N139" s="1" t="str">
        <f ca="1">IF(ISNA(VLOOKUP(A139,Projects!B:B,1,FALSE)),"","Yes")</f>
        <v/>
      </c>
    </row>
    <row r="140" spans="1:14" hidden="1" outlineLevel="1">
      <c r="A140" s="43" t="s">
        <v>558</v>
      </c>
      <c r="C140" s="44" t="s">
        <v>382</v>
      </c>
      <c r="D140" s="1" t="s">
        <v>11</v>
      </c>
      <c r="E140" s="26">
        <v>40029</v>
      </c>
      <c r="H140" s="37">
        <f ca="1">IF(AND(B140="",NOT(A140="")),VLOOKUP(A140,TaskPlan!A:M,13,FALSE),"")</f>
        <v>40053</v>
      </c>
      <c r="I140" s="38" t="str">
        <f ca="1">IF(AND(B140="",NOT(A140="")),VLOOKUP(A140,TaskPlan!A:M,12,FALSE),"")</f>
        <v>Closed</v>
      </c>
      <c r="J140" s="39" t="str">
        <f ca="1">IF(AND(B140="",NOT(A140="")),VLOOKUP(A140,TaskPlan!A:L,2,FALSE),"")</f>
        <v>Ruth</v>
      </c>
      <c r="K140" s="39" t="str">
        <f ca="1">IF(AND(B140="",NOT(A140="")),IF(NOT(LEFT(VLOOKUP(A140,TaskPlan!A:L,3,FALSE),1) = "0"),VLOOKUP(A140,TaskPlan!A:L,3,FALSE),""),"")</f>
        <v/>
      </c>
      <c r="L140" s="55" t="str">
        <f ca="1">IF(AND(B140="",NOT(A140="")),IF(NOT(LEFT(VLOOKUP(A140,TaskPlan!A:L,3,FALSE),1) = "0"),VLOOKUP(A140,TaskPlan!A:M,4,FALSE),""),"")</f>
        <v/>
      </c>
      <c r="M140" s="58" t="str">
        <f ca="1">IF(B140=".",1,IF(AND(B140="",NOT(A140="")),IF(VLOOKUP(A140,TaskPlan!A:L,5,FALSE)&gt;0,VLOOKUP(A140,TaskPlan!A:L,5,FALSE),""),""))</f>
        <v/>
      </c>
      <c r="N140" s="1" t="str">
        <f ca="1">IF(ISNA(VLOOKUP(A140,Projects!B:B,1,FALSE)),"","Yes")</f>
        <v/>
      </c>
    </row>
    <row r="141" spans="1:14" hidden="1" outlineLevel="1">
      <c r="A141" s="43" t="s">
        <v>557</v>
      </c>
      <c r="C141" s="44" t="s">
        <v>422</v>
      </c>
      <c r="D141" s="1" t="s">
        <v>11</v>
      </c>
      <c r="E141" s="26">
        <v>40049</v>
      </c>
      <c r="F141" s="25">
        <v>4</v>
      </c>
      <c r="G141" s="28" t="s">
        <v>1099</v>
      </c>
      <c r="H141" s="37">
        <f ca="1">IF(AND(B141="",NOT(A141="")),VLOOKUP(A141,TaskPlan!A:M,13,FALSE),"")</f>
        <v>40283</v>
      </c>
      <c r="I141" s="38" t="str">
        <f ca="1">IF(AND(B141="",NOT(A141="")),VLOOKUP(A141,TaskPlan!A:M,12,FALSE),"")</f>
        <v>Not Started</v>
      </c>
      <c r="J141" s="39" t="str">
        <f ca="1">IF(AND(B141="",NOT(A141="")),VLOOKUP(A141,TaskPlan!A:L,2,FALSE),"")</f>
        <v>Unassigned</v>
      </c>
      <c r="K141" s="39" t="str">
        <f ca="1">IF(AND(B141="",NOT(A141="")),IF(NOT(LEFT(VLOOKUP(A141,TaskPlan!A:L,3,FALSE),1) = "0"),VLOOKUP(A141,TaskPlan!A:L,3,FALSE),""),"")</f>
        <v>2-LOW</v>
      </c>
      <c r="L141" s="55">
        <f ca="1">IF(AND(B141="",NOT(A141="")),IF(NOT(LEFT(VLOOKUP(A141,TaskPlan!A:L,3,FALSE),1) = "0"),VLOOKUP(A141,TaskPlan!A:M,4,FALSE),""),"")</f>
        <v>0</v>
      </c>
      <c r="M141" s="58" t="str">
        <f ca="1">IF(B141=".",1,IF(AND(B141="",NOT(A141="")),IF(VLOOKUP(A141,TaskPlan!A:L,5,FALSE)&gt;0,VLOOKUP(A141,TaskPlan!A:L,5,FALSE),""),""))</f>
        <v/>
      </c>
      <c r="N141" s="1" t="str">
        <f ca="1">IF(ISNA(VLOOKUP(A141,Projects!B:B,1,FALSE)),"","Yes")</f>
        <v/>
      </c>
    </row>
    <row r="142" spans="1:14" hidden="1" outlineLevel="1">
      <c r="A142" s="43" t="s">
        <v>477</v>
      </c>
      <c r="C142" s="44" t="s">
        <v>754</v>
      </c>
      <c r="D142" s="7" t="s">
        <v>11</v>
      </c>
      <c r="E142" s="26">
        <v>40074</v>
      </c>
      <c r="H142" s="37">
        <f ca="1">IF(AND(B142="",NOT(A142="")),VLOOKUP(A142,TaskPlan!A:M,13,FALSE),"")</f>
        <v>40111</v>
      </c>
      <c r="I142" s="38" t="str">
        <f ca="1">IF(AND(B142="",NOT(A142="")),VLOOKUP(A142,TaskPlan!A:M,12,FALSE),"")</f>
        <v>Closed</v>
      </c>
      <c r="J142" s="39" t="str">
        <f ca="1">IF(AND(B142="",NOT(A142="")),VLOOKUP(A142,TaskPlan!A:L,2,FALSE),"")</f>
        <v>Ruth</v>
      </c>
      <c r="K142" s="39" t="str">
        <f ca="1">IF(AND(B142="",NOT(A142="")),IF(NOT(LEFT(VLOOKUP(A142,TaskPlan!A:L,3,FALSE),1) = "0"),VLOOKUP(A142,TaskPlan!A:L,3,FALSE),""),"")</f>
        <v/>
      </c>
      <c r="L142" s="55" t="str">
        <f ca="1">IF(AND(B142="",NOT(A142="")),IF(NOT(LEFT(VLOOKUP(A142,TaskPlan!A:L,3,FALSE),1) = "0"),VLOOKUP(A142,TaskPlan!A:M,4,FALSE),""),"")</f>
        <v/>
      </c>
      <c r="M142" s="58" t="str">
        <f ca="1">IF(B142=".",1,IF(AND(B142="",NOT(A142="")),IF(VLOOKUP(A142,TaskPlan!A:L,5,FALSE)&gt;0,VLOOKUP(A142,TaskPlan!A:L,5,FALSE),""),""))</f>
        <v/>
      </c>
      <c r="N142" s="1" t="str">
        <f ca="1">IF(ISNA(VLOOKUP(A142,Projects!B:B,1,FALSE)),"","Yes")</f>
        <v/>
      </c>
    </row>
    <row r="143" spans="1:14" hidden="1" outlineLevel="1">
      <c r="A143" s="43" t="s">
        <v>517</v>
      </c>
      <c r="C143" s="44" t="s">
        <v>516</v>
      </c>
      <c r="D143" s="7" t="s">
        <v>11</v>
      </c>
      <c r="E143" s="26">
        <v>40086</v>
      </c>
      <c r="H143" s="37">
        <f ca="1">IF(AND(B143="",NOT(A143="")),VLOOKUP(A143,TaskPlan!A:M,13,FALSE),"")</f>
        <v>40101</v>
      </c>
      <c r="I143" s="38" t="str">
        <f ca="1">IF(AND(B143="",NOT(A143="")),VLOOKUP(A143,TaskPlan!A:M,12,FALSE),"")</f>
        <v>Closed</v>
      </c>
      <c r="J143" s="39" t="str">
        <f ca="1">IF(AND(B143="",NOT(A143="")),VLOOKUP(A143,TaskPlan!A:L,2,FALSE),"")</f>
        <v>Ruth</v>
      </c>
      <c r="K143" s="39" t="str">
        <f ca="1">IF(AND(B143="",NOT(A143="")),IF(NOT(LEFT(VLOOKUP(A143,TaskPlan!A:L,3,FALSE),1) = "0"),VLOOKUP(A143,TaskPlan!A:L,3,FALSE),""),"")</f>
        <v/>
      </c>
      <c r="L143" s="55" t="str">
        <f ca="1">IF(AND(B143="",NOT(A143="")),IF(NOT(LEFT(VLOOKUP(A143,TaskPlan!A:L,3,FALSE),1) = "0"),VLOOKUP(A143,TaskPlan!A:M,4,FALSE),""),"")</f>
        <v/>
      </c>
      <c r="M143" s="58" t="str">
        <f ca="1">IF(B143=".",1,IF(AND(B143="",NOT(A143="")),IF(VLOOKUP(A143,TaskPlan!A:L,5,FALSE)&gt;0,VLOOKUP(A143,TaskPlan!A:L,5,FALSE),""),""))</f>
        <v/>
      </c>
      <c r="N143" s="1" t="str">
        <f ca="1">IF(ISNA(VLOOKUP(A143,Projects!B:B,1,FALSE)),"","Yes")</f>
        <v/>
      </c>
    </row>
    <row r="144" spans="1:14" hidden="1" outlineLevel="1">
      <c r="A144" s="43" t="s">
        <v>631</v>
      </c>
      <c r="C144" s="44" t="s">
        <v>755</v>
      </c>
      <c r="D144" s="7" t="s">
        <v>415</v>
      </c>
      <c r="E144" s="26">
        <v>40114</v>
      </c>
      <c r="F144" s="25">
        <v>0.5</v>
      </c>
      <c r="G144" s="28" t="s">
        <v>1213</v>
      </c>
      <c r="H144" s="37">
        <f ca="1">IF(AND(B144="",NOT(A144="")),VLOOKUP(A144,TaskPlan!A:M,13,FALSE),"")</f>
        <v>40283</v>
      </c>
      <c r="I144" s="38" t="str">
        <f ca="1">IF(AND(B144="",NOT(A144="")),VLOOKUP(A144,TaskPlan!A:M,12,FALSE),"")</f>
        <v>Not Started</v>
      </c>
      <c r="J144" s="39" t="str">
        <f ca="1">IF(AND(B144="",NOT(A144="")),VLOOKUP(A144,TaskPlan!A:L,2,FALSE),"")</f>
        <v>Unassigned</v>
      </c>
      <c r="K144" s="39" t="str">
        <f ca="1">IF(AND(B144="",NOT(A144="")),IF(NOT(LEFT(VLOOKUP(A144,TaskPlan!A:L,3,FALSE),1) = "0"),VLOOKUP(A144,TaskPlan!A:L,3,FALSE),""),"")</f>
        <v>2-LOW</v>
      </c>
      <c r="L144" s="55">
        <f ca="1">IF(AND(B144="",NOT(A144="")),IF(NOT(LEFT(VLOOKUP(A144,TaskPlan!A:L,3,FALSE),1) = "0"),VLOOKUP(A144,TaskPlan!A:M,4,FALSE),""),"")</f>
        <v>0</v>
      </c>
      <c r="M144" s="58" t="str">
        <f ca="1">IF(B144=".",1,IF(AND(B144="",NOT(A144="")),IF(VLOOKUP(A144,TaskPlan!A:L,5,FALSE)&gt;0,VLOOKUP(A144,TaskPlan!A:L,5,FALSE),""),""))</f>
        <v/>
      </c>
      <c r="N144" s="1" t="str">
        <f ca="1">IF(ISNA(VLOOKUP(A144,Projects!B:B,1,FALSE)),"","Yes")</f>
        <v/>
      </c>
    </row>
    <row r="145" spans="1:14" hidden="1" outlineLevel="1">
      <c r="A145" s="43" t="s">
        <v>1107</v>
      </c>
      <c r="C145" s="44" t="s">
        <v>1108</v>
      </c>
      <c r="D145" s="7" t="s">
        <v>11</v>
      </c>
      <c r="E145" s="26">
        <v>40302</v>
      </c>
      <c r="F145" s="25">
        <v>2</v>
      </c>
      <c r="G145" s="28" t="s">
        <v>1213</v>
      </c>
      <c r="H145" s="37">
        <f ca="1">IF(AND(B145="",NOT(A145="")),VLOOKUP(A145,TaskPlan!A:M,13,FALSE),"")</f>
        <v>40304</v>
      </c>
      <c r="I145" s="38" t="str">
        <f ca="1">IF(AND(B145="",NOT(A145="")),VLOOKUP(A145,TaskPlan!A:M,12,FALSE),"")</f>
        <v>Closed</v>
      </c>
      <c r="J145" s="39" t="str">
        <f ca="1">IF(AND(B145="",NOT(A145="")),VLOOKUP(A145,TaskPlan!A:L,2,FALSE),"")</f>
        <v>Neil</v>
      </c>
      <c r="K145" s="39" t="str">
        <f ca="1">IF(AND(B145="",NOT(A145="")),IF(NOT(LEFT(VLOOKUP(A145,TaskPlan!A:L,3,FALSE),1) = "0"),VLOOKUP(A145,TaskPlan!A:L,3,FALSE),""),"")</f>
        <v/>
      </c>
      <c r="L145" s="55" t="str">
        <f ca="1">IF(AND(B145="",NOT(A145="")),IF(NOT(LEFT(VLOOKUP(A145,TaskPlan!A:L,3,FALSE),1) = "0"),VLOOKUP(A145,TaskPlan!A:M,4,FALSE),""),"")</f>
        <v/>
      </c>
      <c r="N145" s="1" t="str">
        <f ca="1">IF(ISNA(VLOOKUP(A145,Projects!B:B,1,FALSE)),"","Yes")</f>
        <v/>
      </c>
    </row>
    <row r="146" spans="1:14" hidden="1" outlineLevel="1">
      <c r="A146" s="43" t="s">
        <v>232</v>
      </c>
      <c r="B146" s="1" t="s">
        <v>15</v>
      </c>
      <c r="C146" s="45" t="s">
        <v>233</v>
      </c>
      <c r="D146" s="7"/>
      <c r="E146" s="26"/>
      <c r="H146" s="37" t="str">
        <f ca="1">IF(AND(B146="",NOT(A146="")),VLOOKUP(A146,TaskPlan!A:M,13,FALSE),"")</f>
        <v/>
      </c>
      <c r="I146" s="38" t="str">
        <f ca="1">IF(AND(B146="",NOT(A146="")),VLOOKUP(A146,TaskPlan!A:M,12,FALSE),"")</f>
        <v/>
      </c>
      <c r="J146" s="39" t="str">
        <f ca="1">IF(AND(B146="",NOT(A146="")),VLOOKUP(A146,TaskPlan!A:L,2,FALSE),"")</f>
        <v/>
      </c>
      <c r="K146" s="39" t="str">
        <f ca="1">IF(AND(B146="",NOT(A146="")),IF(NOT(LEFT(VLOOKUP(A146,TaskPlan!A:L,3,FALSE),1) = "0"),VLOOKUP(A146,TaskPlan!A:L,3,FALSE),""),"")</f>
        <v/>
      </c>
      <c r="L146" s="55" t="str">
        <f ca="1">IF(AND(B146="",NOT(A146="")),IF(NOT(LEFT(VLOOKUP(A146,TaskPlan!A:L,3,FALSE),1) = "0"),VLOOKUP(A146,TaskPlan!A:M,4,FALSE),""),"")</f>
        <v/>
      </c>
      <c r="M146" s="58">
        <f ca="1">IF(B146=".",1,IF(AND(B146="",NOT(A146="")),IF(VLOOKUP(A146,TaskPlan!A:L,5,FALSE)&gt;0,VLOOKUP(A146,TaskPlan!A:L,5,FALSE),""),""))</f>
        <v>1</v>
      </c>
      <c r="N146" s="1" t="str">
        <f ca="1">IF(ISNA(VLOOKUP(A146,Projects!B:B,1,FALSE)),"","Yes")</f>
        <v/>
      </c>
    </row>
    <row r="147" spans="1:14" hidden="1" outlineLevel="1">
      <c r="A147" s="43" t="s">
        <v>234</v>
      </c>
      <c r="C147" s="44" t="s">
        <v>237</v>
      </c>
      <c r="D147" s="7" t="s">
        <v>11</v>
      </c>
      <c r="E147" s="26">
        <v>39960</v>
      </c>
      <c r="H147" s="37">
        <f ca="1">IF(AND(B147="",NOT(A147="")),VLOOKUP(A147,TaskPlan!A:M,13,FALSE),"")</f>
        <v>39979</v>
      </c>
      <c r="I147" s="38" t="str">
        <f ca="1">IF(AND(B147="",NOT(A147="")),VLOOKUP(A147,TaskPlan!A:M,12,FALSE),"")</f>
        <v>Closed</v>
      </c>
      <c r="J147" s="39" t="str">
        <f ca="1">IF(AND(B147="",NOT(A147="")),VLOOKUP(A147,TaskPlan!A:L,2,FALSE),"")</f>
        <v>Neil</v>
      </c>
      <c r="K147" s="39" t="str">
        <f ca="1">IF(AND(B147="",NOT(A147="")),IF(NOT(LEFT(VLOOKUP(A147,TaskPlan!A:L,3,FALSE),1) = "0"),VLOOKUP(A147,TaskPlan!A:L,3,FALSE),""),"")</f>
        <v/>
      </c>
      <c r="L147" s="55" t="str">
        <f ca="1">IF(AND(B147="",NOT(A147="")),IF(NOT(LEFT(VLOOKUP(A147,TaskPlan!A:L,3,FALSE),1) = "0"),VLOOKUP(A147,TaskPlan!A:M,4,FALSE),""),"")</f>
        <v/>
      </c>
      <c r="M147" s="58" t="str">
        <f ca="1">IF(B147=".",1,IF(AND(B147="",NOT(A147="")),IF(VLOOKUP(A147,TaskPlan!A:L,5,FALSE)&gt;0,VLOOKUP(A147,TaskPlan!A:L,5,FALSE),""),""))</f>
        <v/>
      </c>
      <c r="N147" s="1" t="str">
        <f ca="1">IF(ISNA(VLOOKUP(A147,Projects!B:B,1,FALSE)),"","Yes")</f>
        <v/>
      </c>
    </row>
    <row r="148" spans="1:14" ht="16.5" hidden="1" customHeight="1" outlineLevel="1">
      <c r="A148" s="43" t="s">
        <v>236</v>
      </c>
      <c r="C148" s="44" t="s">
        <v>235</v>
      </c>
      <c r="D148" s="7" t="s">
        <v>20</v>
      </c>
      <c r="E148" s="26">
        <v>39960</v>
      </c>
      <c r="H148" s="37">
        <f ca="1">IF(AND(B148="",NOT(A148="")),VLOOKUP(A148,TaskPlan!A:M,13,FALSE),"")</f>
        <v>39972</v>
      </c>
      <c r="I148" s="38" t="str">
        <f ca="1">IF(AND(B148="",NOT(A148="")),VLOOKUP(A148,TaskPlan!A:M,12,FALSE),"")</f>
        <v>Closed</v>
      </c>
      <c r="J148" s="39" t="str">
        <f ca="1">IF(AND(B148="",NOT(A148="")),VLOOKUP(A148,TaskPlan!A:L,2,FALSE),"")</f>
        <v>Paresh</v>
      </c>
      <c r="K148" s="39" t="str">
        <f ca="1">IF(AND(B148="",NOT(A148="")),IF(NOT(LEFT(VLOOKUP(A148,TaskPlan!A:L,3,FALSE),1) = "0"),VLOOKUP(A148,TaskPlan!A:L,3,FALSE),""),"")</f>
        <v/>
      </c>
      <c r="L148" s="55" t="str">
        <f ca="1">IF(AND(B148="",NOT(A148="")),IF(NOT(LEFT(VLOOKUP(A148,TaskPlan!A:L,3,FALSE),1) = "0"),VLOOKUP(A148,TaskPlan!A:M,4,FALSE),""),"")</f>
        <v/>
      </c>
      <c r="M148" s="58" t="str">
        <f ca="1">IF(B148=".",1,IF(AND(B148="",NOT(A148="")),IF(VLOOKUP(A148,TaskPlan!A:L,5,FALSE)&gt;0,VLOOKUP(A148,TaskPlan!A:L,5,FALSE),""),""))</f>
        <v/>
      </c>
      <c r="N148" s="1" t="str">
        <f ca="1">IF(ISNA(VLOOKUP(A148,Projects!B:B,1,FALSE)),"","Yes")</f>
        <v/>
      </c>
    </row>
    <row r="149" spans="1:14" hidden="1" outlineLevel="1">
      <c r="A149" s="43" t="s">
        <v>286</v>
      </c>
      <c r="C149" s="44" t="s">
        <v>300</v>
      </c>
      <c r="D149" s="7" t="s">
        <v>11</v>
      </c>
      <c r="E149" s="26">
        <v>39997</v>
      </c>
      <c r="H149" s="37">
        <f ca="1">IF(AND(B149="",NOT(A149="")),VLOOKUP(A149,TaskPlan!A:M,13,FALSE),"")</f>
        <v>39997</v>
      </c>
      <c r="I149" s="38" t="str">
        <f ca="1">IF(AND(B149="",NOT(A149="")),VLOOKUP(A149,TaskPlan!A:M,12,FALSE),"")</f>
        <v>Closed</v>
      </c>
      <c r="J149" s="39" t="str">
        <f ca="1">IF(AND(B149="",NOT(A149="")),VLOOKUP(A149,TaskPlan!A:L,2,FALSE),"")</f>
        <v>Neil</v>
      </c>
      <c r="K149" s="39" t="str">
        <f ca="1">IF(AND(B149="",NOT(A149="")),IF(NOT(LEFT(VLOOKUP(A149,TaskPlan!A:L,3,FALSE),1) = "0"),VLOOKUP(A149,TaskPlan!A:L,3,FALSE),""),"")</f>
        <v/>
      </c>
      <c r="L149" s="55" t="str">
        <f ca="1">IF(AND(B149="",NOT(A149="")),IF(NOT(LEFT(VLOOKUP(A149,TaskPlan!A:L,3,FALSE),1) = "0"),VLOOKUP(A149,TaskPlan!A:M,4,FALSE),""),"")</f>
        <v/>
      </c>
      <c r="M149" s="58" t="str">
        <f ca="1">IF(B149=".",1,IF(AND(B149="",NOT(A149="")),IF(VLOOKUP(A149,TaskPlan!A:L,5,FALSE)&gt;0,VLOOKUP(A149,TaskPlan!A:L,5,FALSE),""),""))</f>
        <v/>
      </c>
      <c r="N149" s="1" t="str">
        <f ca="1">IF(ISNA(VLOOKUP(A149,Projects!B:B,1,FALSE)),"","Yes")</f>
        <v/>
      </c>
    </row>
    <row r="150" spans="1:14" ht="38.25" hidden="1" outlineLevel="1">
      <c r="A150" s="43" t="s">
        <v>302</v>
      </c>
      <c r="C150" s="44" t="s">
        <v>303</v>
      </c>
      <c r="D150" s="7" t="s">
        <v>11</v>
      </c>
      <c r="E150" s="26">
        <v>40001</v>
      </c>
      <c r="F150" s="25">
        <v>4</v>
      </c>
      <c r="G150" s="25" t="s">
        <v>1098</v>
      </c>
      <c r="H150" s="37">
        <f ca="1">IF(AND(B150="",NOT(A150="")),VLOOKUP(A150,TaskPlan!A:M,13,FALSE),"")</f>
        <v>40283</v>
      </c>
      <c r="I150" s="38" t="str">
        <f ca="1">IF(AND(B150="",NOT(A150="")),VLOOKUP(A150,TaskPlan!A:M,12,FALSE),"")</f>
        <v>Not Started</v>
      </c>
      <c r="J150" s="39" t="str">
        <f ca="1">IF(AND(B150="",NOT(A150="")),VLOOKUP(A150,TaskPlan!A:L,2,FALSE),"")</f>
        <v>Unassigned</v>
      </c>
      <c r="K150" s="39" t="str">
        <f ca="1">IF(AND(B150="",NOT(A150="")),IF(NOT(LEFT(VLOOKUP(A150,TaskPlan!A:L,3,FALSE),1) = "0"),VLOOKUP(A150,TaskPlan!A:L,3,FALSE),""),"")</f>
        <v>2-LOW</v>
      </c>
      <c r="L150" s="55">
        <f ca="1">IF(AND(B150="",NOT(A150="")),IF(NOT(LEFT(VLOOKUP(A150,TaskPlan!A:L,3,FALSE),1) = "0"),VLOOKUP(A150,TaskPlan!A:M,4,FALSE),""),"")</f>
        <v>0</v>
      </c>
      <c r="M150" s="58" t="str">
        <f ca="1">IF(B150=".",1,IF(AND(B150="",NOT(A150="")),IF(VLOOKUP(A150,TaskPlan!A:L,5,FALSE)&gt;0,VLOOKUP(A150,TaskPlan!A:L,5,FALSE),""),""))</f>
        <v/>
      </c>
      <c r="N150" s="1" t="str">
        <f ca="1">IF(ISNA(VLOOKUP(A150,Projects!B:B,1,FALSE)),"","Yes")</f>
        <v/>
      </c>
    </row>
    <row r="151" spans="1:14" ht="25.5" hidden="1" outlineLevel="1">
      <c r="A151" s="43" t="s">
        <v>728</v>
      </c>
      <c r="C151" s="44" t="s">
        <v>729</v>
      </c>
      <c r="D151" s="7" t="s">
        <v>11</v>
      </c>
      <c r="E151" s="26">
        <v>40147</v>
      </c>
      <c r="F151" s="25">
        <v>1</v>
      </c>
      <c r="H151" s="37">
        <f ca="1">IF(AND(B151="",NOT(A151="")),VLOOKUP(A151,TaskPlan!A:M,13,FALSE),"")</f>
        <v>40150</v>
      </c>
      <c r="I151" s="38" t="str">
        <f ca="1">IF(AND(B151="",NOT(A151="")),VLOOKUP(A151,TaskPlan!A:M,12,FALSE),"")</f>
        <v>Closed</v>
      </c>
      <c r="J151" s="39" t="str">
        <f ca="1">IF(AND(B151="",NOT(A151="")),VLOOKUP(A151,TaskPlan!A:L,2,FALSE),"")</f>
        <v>Ruth</v>
      </c>
      <c r="K151" s="39" t="str">
        <f ca="1">IF(AND(B151="",NOT(A151="")),IF(NOT(LEFT(VLOOKUP(A151,TaskPlan!A:L,3,FALSE),1) = "0"),VLOOKUP(A151,TaskPlan!A:L,3,FALSE),""),"")</f>
        <v/>
      </c>
      <c r="L151" s="55" t="str">
        <f ca="1">IF(AND(B151="",NOT(A151="")),IF(NOT(LEFT(VLOOKUP(A151,TaskPlan!A:L,3,FALSE),1) = "0"),VLOOKUP(A151,TaskPlan!A:M,4,FALSE),""),"")</f>
        <v/>
      </c>
      <c r="M151" s="58" t="str">
        <f ca="1">IF(B151=".",1,IF(AND(B151="",NOT(A151="")),IF(VLOOKUP(A151,TaskPlan!A:L,5,FALSE)&gt;0,VLOOKUP(A151,TaskPlan!A:L,5,FALSE),""),""))</f>
        <v/>
      </c>
      <c r="N151" s="1" t="str">
        <f ca="1">IF(ISNA(VLOOKUP(A151,Projects!B:B,1,FALSE)),"","Yes")</f>
        <v/>
      </c>
    </row>
    <row r="152" spans="1:14" hidden="1" outlineLevel="1">
      <c r="A152" s="43" t="s">
        <v>929</v>
      </c>
      <c r="C152" s="44" t="s">
        <v>930</v>
      </c>
      <c r="D152" s="7" t="s">
        <v>29</v>
      </c>
      <c r="E152" s="26">
        <v>40233</v>
      </c>
      <c r="F152" s="25">
        <v>1</v>
      </c>
      <c r="H152" s="37">
        <f ca="1">IF(AND(B152="",NOT(A152="")),VLOOKUP(A152,TaskPlan!A:M,13,FALSE),"")</f>
        <v>40252</v>
      </c>
      <c r="I152" s="38" t="str">
        <f ca="1">IF(AND(B152="",NOT(A152="")),VLOOKUP(A152,TaskPlan!A:M,12,FALSE),"")</f>
        <v>Closed</v>
      </c>
      <c r="J152" s="39" t="str">
        <f ca="1">IF(AND(B152="",NOT(A152="")),VLOOKUP(A152,TaskPlan!A:L,2,FALSE),"")</f>
        <v>Ruth</v>
      </c>
      <c r="K152" s="39" t="str">
        <f ca="1">IF(AND(B152="",NOT(A152="")),IF(NOT(LEFT(VLOOKUP(A152,TaskPlan!A:L,3,FALSE),1) = "0"),VLOOKUP(A152,TaskPlan!A:L,3,FALSE),""),"")</f>
        <v/>
      </c>
      <c r="L152" s="55" t="str">
        <f ca="1">IF(AND(B152="",NOT(A152="")),IF(NOT(LEFT(VLOOKUP(A152,TaskPlan!A:L,3,FALSE),1) = "0"),VLOOKUP(A152,TaskPlan!A:M,4,FALSE),""),"")</f>
        <v/>
      </c>
      <c r="M152" s="58" t="str">
        <f ca="1">IF(B152=".",1,IF(AND(B152="",NOT(A152="")),IF(VLOOKUP(A152,TaskPlan!A:L,5,FALSE)&gt;0,VLOOKUP(A152,TaskPlan!A:L,5,FALSE),""),""))</f>
        <v/>
      </c>
      <c r="N152" s="1" t="str">
        <f ca="1">IF(ISNA(VLOOKUP(A152,Projects!B:B,1,FALSE)),"","Yes")</f>
        <v/>
      </c>
    </row>
    <row r="153" spans="1:14" hidden="1" outlineLevel="1">
      <c r="A153" s="43" t="s">
        <v>1184</v>
      </c>
      <c r="C153" s="44" t="s">
        <v>1187</v>
      </c>
      <c r="D153" s="7" t="s">
        <v>11</v>
      </c>
      <c r="E153" s="26">
        <v>40438</v>
      </c>
      <c r="F153" s="25">
        <v>2</v>
      </c>
      <c r="G153" s="28" t="s">
        <v>1213</v>
      </c>
      <c r="H153" s="37">
        <f ca="1">IF(AND(B153="",NOT(A153="")),VLOOKUP(A153,TaskPlan!A:M,13,FALSE),"")</f>
        <v>40330</v>
      </c>
      <c r="I153" s="38" t="str">
        <f ca="1">IF(AND(B153="",NOT(A153="")),VLOOKUP(A153,TaskPlan!A:M,12,FALSE),"")</f>
        <v>Not Started</v>
      </c>
      <c r="J153" s="39" t="str">
        <f ca="1">IF(AND(B153="",NOT(A153="")),VLOOKUP(A153,TaskPlan!A:L,2,FALSE),"")</f>
        <v>Unassigned</v>
      </c>
      <c r="K153" s="39" t="str">
        <f ca="1">IF(AND(B153="",NOT(A153="")),IF(NOT(LEFT(VLOOKUP(A153,TaskPlan!A:L,3,FALSE),1) = "0"),VLOOKUP(A153,TaskPlan!A:L,3,FALSE),""),"")</f>
        <v>3-MED</v>
      </c>
      <c r="L153" s="55">
        <f ca="1">IF(AND(B153="",NOT(A153="")),IF(NOT(LEFT(VLOOKUP(A153,TaskPlan!A:L,3,FALSE),1) = "0"),VLOOKUP(A153,TaskPlan!A:M,4,FALSE),""),"")</f>
        <v>0</v>
      </c>
      <c r="N153" s="1" t="str">
        <f ca="1">IF(ISNA(VLOOKUP(A153,Projects!B:B,1,FALSE)),"","Yes")</f>
        <v/>
      </c>
    </row>
    <row r="154" spans="1:14" ht="38.25" hidden="1" outlineLevel="1">
      <c r="A154" s="43" t="s">
        <v>1886</v>
      </c>
      <c r="C154" s="44" t="s">
        <v>1951</v>
      </c>
      <c r="D154" s="7" t="s">
        <v>11</v>
      </c>
      <c r="E154" s="26">
        <v>40590</v>
      </c>
      <c r="F154" s="25">
        <v>2</v>
      </c>
      <c r="G154" s="28" t="s">
        <v>1213</v>
      </c>
      <c r="H154" s="37">
        <f ca="1">IF(AND(B154="",NOT(A154="")),VLOOKUP(A154,TaskPlan!A:M,13,FALSE),"")</f>
        <v>40590</v>
      </c>
      <c r="I154" s="38" t="str">
        <f ca="1">IF(AND(B154="",NOT(A154="")),VLOOKUP(A154,TaskPlan!A:M,12,FALSE),"")</f>
        <v>Cancelled</v>
      </c>
      <c r="J154" s="39" t="str">
        <f ca="1">IF(AND(B154="",NOT(A154="")),VLOOKUP(A154,TaskPlan!A:L,2,FALSE),"")</f>
        <v>Unassigned</v>
      </c>
      <c r="K154" s="39" t="str">
        <f ca="1">IF(AND(B154="",NOT(A154="")),IF(NOT(LEFT(VLOOKUP(A154,TaskPlan!A:L,3,FALSE),1) = "0"),VLOOKUP(A154,TaskPlan!A:L,3,FALSE),""),"")</f>
        <v/>
      </c>
      <c r="L154" s="55" t="str">
        <f ca="1">IF(AND(B154="",NOT(A154="")),IF(NOT(LEFT(VLOOKUP(A154,TaskPlan!A:L,3,FALSE),1) = "0"),VLOOKUP(A154,TaskPlan!A:M,4,FALSE),""),"")</f>
        <v/>
      </c>
    </row>
    <row r="155" spans="1:14" hidden="1" outlineLevel="1">
      <c r="A155" s="43" t="s">
        <v>1952</v>
      </c>
      <c r="C155" s="44" t="s">
        <v>1953</v>
      </c>
      <c r="D155" s="7" t="s">
        <v>315</v>
      </c>
      <c r="E155" s="26">
        <v>40590</v>
      </c>
      <c r="F155" s="25">
        <v>1</v>
      </c>
      <c r="G155" s="28" t="s">
        <v>289</v>
      </c>
      <c r="H155" s="37">
        <f ca="1">IF(AND(B155="",NOT(A155="")),VLOOKUP(A155,TaskPlan!A:M,13,FALSE),"")</f>
        <v>40590</v>
      </c>
      <c r="I155" s="38" t="str">
        <f ca="1">IF(AND(B155="",NOT(A155="")),VLOOKUP(A155,TaskPlan!A:M,12,FALSE),"")</f>
        <v>In Progress</v>
      </c>
      <c r="J155" s="39" t="str">
        <f ca="1">IF(AND(B155="",NOT(A155="")),VLOOKUP(A155,TaskPlan!A:L,2,FALSE),"")</f>
        <v>Neil</v>
      </c>
      <c r="K155" s="39" t="str">
        <f ca="1">IF(AND(B155="",NOT(A155="")),IF(NOT(LEFT(VLOOKUP(A155,TaskPlan!A:L,3,FALSE),1) = "0"),VLOOKUP(A155,TaskPlan!A:L,3,FALSE),""),"")</f>
        <v>4-HIGH</v>
      </c>
      <c r="L155" s="55">
        <f ca="1">IF(AND(B155="",NOT(A155="")),IF(NOT(LEFT(VLOOKUP(A155,TaskPlan!A:L,3,FALSE),1) = "0"),VLOOKUP(A155,TaskPlan!A:M,4,FALSE),""),"")</f>
        <v>0</v>
      </c>
    </row>
    <row r="156" spans="1:14" hidden="1" outlineLevel="1">
      <c r="A156" s="43" t="s">
        <v>544</v>
      </c>
      <c r="B156" s="1" t="s">
        <v>15</v>
      </c>
      <c r="C156" s="45" t="s">
        <v>545</v>
      </c>
      <c r="D156" s="7"/>
      <c r="E156" s="26"/>
      <c r="H156" s="37" t="str">
        <f ca="1">IF(AND(B156="",NOT(A156="")),VLOOKUP(A156,TaskPlan!A:M,13,FALSE),"")</f>
        <v/>
      </c>
      <c r="I156" s="38" t="str">
        <f ca="1">IF(AND(B156="",NOT(A156="")),VLOOKUP(A156,TaskPlan!A:M,12,FALSE),"")</f>
        <v/>
      </c>
      <c r="J156" s="39" t="str">
        <f ca="1">IF(AND(B156="",NOT(A156="")),VLOOKUP(A156,TaskPlan!A:L,2,FALSE),"")</f>
        <v/>
      </c>
      <c r="K156" s="39" t="str">
        <f ca="1">IF(AND(B156="",NOT(A156="")),IF(NOT(LEFT(VLOOKUP(A156,TaskPlan!A:L,3,FALSE),1) = "0"),VLOOKUP(A156,TaskPlan!A:L,3,FALSE),""),"")</f>
        <v/>
      </c>
      <c r="L156" s="55" t="str">
        <f ca="1">IF(AND(B156="",NOT(A156="")),IF(NOT(LEFT(VLOOKUP(A156,TaskPlan!A:L,3,FALSE),1) = "0"),VLOOKUP(A156,TaskPlan!A:M,4,FALSE),""),"")</f>
        <v/>
      </c>
      <c r="N156" s="1" t="str">
        <f ca="1">IF(ISNA(VLOOKUP(A156,Projects!B:B,1,FALSE)),"","Yes")</f>
        <v/>
      </c>
    </row>
    <row r="157" spans="1:14" hidden="1" outlineLevel="1">
      <c r="A157" s="43" t="s">
        <v>546</v>
      </c>
      <c r="C157" s="44" t="s">
        <v>547</v>
      </c>
      <c r="D157" s="7" t="s">
        <v>366</v>
      </c>
      <c r="E157" s="26">
        <v>40105</v>
      </c>
      <c r="F157" s="25">
        <v>1</v>
      </c>
      <c r="G157" s="28" t="s">
        <v>1099</v>
      </c>
      <c r="H157" s="37">
        <f ca="1">IF(AND(B157="",NOT(A157="")),VLOOKUP(A157,TaskPlan!A:M,13,FALSE),"")</f>
        <v>40283</v>
      </c>
      <c r="I157" s="38" t="str">
        <f ca="1">IF(AND(B157="",NOT(A157="")),VLOOKUP(A157,TaskPlan!A:M,12,FALSE),"")</f>
        <v>Not Started</v>
      </c>
      <c r="J157" s="39" t="str">
        <f ca="1">IF(AND(B157="",NOT(A157="")),VLOOKUP(A157,TaskPlan!A:L,2,FALSE),"")</f>
        <v>Unassigned</v>
      </c>
      <c r="K157" s="39" t="str">
        <f ca="1">IF(AND(B157="",NOT(A157="")),IF(NOT(LEFT(VLOOKUP(A157,TaskPlan!A:L,3,FALSE),1) = "0"),VLOOKUP(A157,TaskPlan!A:L,3,FALSE),""),"")</f>
        <v>1-LOW</v>
      </c>
      <c r="L157" s="55">
        <f ca="1">IF(AND(B157="",NOT(A157="")),IF(NOT(LEFT(VLOOKUP(A157,TaskPlan!A:L,3,FALSE),1) = "0"),VLOOKUP(A157,TaskPlan!A:M,4,FALSE),""),"")</f>
        <v>0</v>
      </c>
      <c r="M157" s="58" t="str">
        <f ca="1">IF(B157=".",1,IF(AND(B157="",NOT(A157="")),IF(VLOOKUP(A157,TaskPlan!A:L,5,FALSE)&gt;0,VLOOKUP(A157,TaskPlan!A:L,5,FALSE),""),""))</f>
        <v/>
      </c>
      <c r="N157" s="1" t="str">
        <f ca="1">IF(ISNA(VLOOKUP(A157,Projects!B:B,1,FALSE)),"","Yes")</f>
        <v/>
      </c>
    </row>
    <row r="158" spans="1:14" hidden="1" outlineLevel="1">
      <c r="A158" s="43" t="s">
        <v>690</v>
      </c>
      <c r="C158" s="44" t="s">
        <v>691</v>
      </c>
      <c r="D158" s="7" t="s">
        <v>366</v>
      </c>
      <c r="E158" s="26">
        <v>40135</v>
      </c>
      <c r="F158" s="25">
        <v>5</v>
      </c>
      <c r="G158" s="28" t="s">
        <v>1099</v>
      </c>
      <c r="H158" s="37">
        <f ca="1">IF(AND(B158="",NOT(A158="")),VLOOKUP(A158,TaskPlan!A:M,13,FALSE),"")</f>
        <v>40283</v>
      </c>
      <c r="I158" s="38" t="str">
        <f ca="1">IF(AND(B158="",NOT(A158="")),VLOOKUP(A158,TaskPlan!A:M,12,FALSE),"")</f>
        <v>Not Started</v>
      </c>
      <c r="J158" s="39" t="str">
        <f ca="1">IF(AND(B158="",NOT(A158="")),VLOOKUP(A158,TaskPlan!A:L,2,FALSE),"")</f>
        <v>Unassigned</v>
      </c>
      <c r="K158" s="39" t="str">
        <f ca="1">IF(AND(B158="",NOT(A158="")),IF(NOT(LEFT(VLOOKUP(A158,TaskPlan!A:L,3,FALSE),1) = "0"),VLOOKUP(A158,TaskPlan!A:L,3,FALSE),""),"")</f>
        <v>2-LOW</v>
      </c>
      <c r="L158" s="55">
        <f ca="1">IF(AND(B158="",NOT(A158="")),IF(NOT(LEFT(VLOOKUP(A158,TaskPlan!A:L,3,FALSE),1) = "0"),VLOOKUP(A158,TaskPlan!A:M,4,FALSE),""),"")</f>
        <v>0</v>
      </c>
      <c r="M158" s="58" t="str">
        <f ca="1">IF(B158=".",1,IF(AND(B158="",NOT(A158="")),IF(VLOOKUP(A158,TaskPlan!A:L,5,FALSE)&gt;0,VLOOKUP(A158,TaskPlan!A:L,5,FALSE),""),""))</f>
        <v/>
      </c>
      <c r="N158" s="1" t="str">
        <f ca="1">IF(ISNA(VLOOKUP(A158,Projects!B:B,1,FALSE)),"","Yes")</f>
        <v/>
      </c>
    </row>
    <row r="159" spans="1:14" hidden="1" outlineLevel="1">
      <c r="A159" s="43" t="s">
        <v>730</v>
      </c>
      <c r="B159" s="7" t="s">
        <v>15</v>
      </c>
      <c r="C159" s="45" t="s">
        <v>731</v>
      </c>
      <c r="D159" s="7"/>
      <c r="E159" s="26"/>
      <c r="H159" s="37" t="str">
        <f ca="1">IF(AND(B159="",NOT(A159="")),VLOOKUP(A159,TaskPlan!A:M,13,FALSE),"")</f>
        <v/>
      </c>
      <c r="I159" s="38" t="str">
        <f ca="1">IF(AND(B159="",NOT(A159="")),VLOOKUP(A159,TaskPlan!A:M,12,FALSE),"")</f>
        <v/>
      </c>
      <c r="L159" s="55" t="str">
        <f ca="1">IF(AND(B159="",NOT(A159="")),IF(NOT(LEFT(VLOOKUP(A159,TaskPlan!A:L,3,FALSE),1) = "0"),VLOOKUP(A159,TaskPlan!A:M,4,FALSE),""),"")</f>
        <v/>
      </c>
      <c r="M159" s="58">
        <f ca="1">IF(B159=".",1,IF(AND(B159="",NOT(A159="")),IF(VLOOKUP(A159,TaskPlan!A:L,5,FALSE)&gt;0,VLOOKUP(A159,TaskPlan!A:L,5,FALSE),""),""))</f>
        <v>1</v>
      </c>
      <c r="N159" s="1" t="str">
        <f ca="1">IF(ISNA(VLOOKUP(A159,Projects!B:B,1,FALSE)),"","Yes")</f>
        <v/>
      </c>
    </row>
    <row r="160" spans="1:14" hidden="1" outlineLevel="1">
      <c r="A160" s="43" t="s">
        <v>732</v>
      </c>
      <c r="B160" s="7"/>
      <c r="C160" s="44" t="s">
        <v>1114</v>
      </c>
      <c r="D160" s="7" t="s">
        <v>756</v>
      </c>
      <c r="E160" s="26">
        <v>40304</v>
      </c>
      <c r="F160" s="25">
        <v>10</v>
      </c>
      <c r="H160" s="37">
        <f ca="1">IF(AND(B160="",NOT(A160="")),VLOOKUP(A160,TaskPlan!A:M,13,FALSE),"")</f>
        <v>40150</v>
      </c>
      <c r="I160" s="38" t="str">
        <f ca="1">IF(AND(B160="",NOT(A160="")),VLOOKUP(A160,TaskPlan!A:M,12,FALSE),"")</f>
        <v>Closed</v>
      </c>
      <c r="J160" s="39" t="str">
        <f ca="1">IF(AND(B160="",NOT(A160="")),VLOOKUP(A160,TaskPlan!A:L,2,FALSE),"")</f>
        <v>Ruth</v>
      </c>
      <c r="K160" s="39" t="str">
        <f ca="1">IF(AND(B160="",NOT(A160="")),IF(NOT(LEFT(VLOOKUP(A160,TaskPlan!A:L,3,FALSE),1) = "0"),VLOOKUP(A160,TaskPlan!A:L,3,FALSE),""),"")</f>
        <v/>
      </c>
      <c r="L160" s="55" t="str">
        <f ca="1">IF(AND(B160="",NOT(A160="")),IF(NOT(LEFT(VLOOKUP(A160,TaskPlan!A:L,3,FALSE),1) = "0"),VLOOKUP(A160,TaskPlan!A:M,4,FALSE),""),"")</f>
        <v/>
      </c>
      <c r="M160" s="58" t="str">
        <f ca="1">IF(B160=".",1,IF(AND(B160="",NOT(A160="")),IF(VLOOKUP(A160,TaskPlan!A:L,5,FALSE)&gt;0,VLOOKUP(A160,TaskPlan!A:L,5,FALSE),""),""))</f>
        <v/>
      </c>
      <c r="N160" s="1" t="str">
        <f ca="1">IF(ISNA(VLOOKUP(A160,Projects!B:B,1,FALSE)),"","Yes")</f>
        <v/>
      </c>
    </row>
    <row r="161" spans="1:14" hidden="1" outlineLevel="1">
      <c r="A161" s="43" t="s">
        <v>733</v>
      </c>
      <c r="B161" s="7"/>
      <c r="C161" s="44" t="s">
        <v>1116</v>
      </c>
      <c r="D161" s="7" t="s">
        <v>756</v>
      </c>
      <c r="E161" s="26">
        <v>40304</v>
      </c>
      <c r="F161" s="25">
        <v>10</v>
      </c>
      <c r="H161" s="37">
        <f ca="1">IF(AND(B161="",NOT(A161="")),VLOOKUP(A161,TaskPlan!A:M,13,FALSE),"")</f>
        <v>40163</v>
      </c>
      <c r="I161" s="38" t="str">
        <f ca="1">IF(AND(B161="",NOT(A161="")),VLOOKUP(A161,TaskPlan!A:M,12,FALSE),"")</f>
        <v>Closed</v>
      </c>
      <c r="J161" s="39" t="str">
        <f ca="1">IF(AND(B161="",NOT(A161="")),VLOOKUP(A161,TaskPlan!A:L,2,FALSE),"")</f>
        <v>Ruth</v>
      </c>
      <c r="K161" s="39" t="str">
        <f ca="1">IF(AND(B161="",NOT(A161="")),IF(NOT(LEFT(VLOOKUP(A161,TaskPlan!A:L,3,FALSE),1) = "0"),VLOOKUP(A161,TaskPlan!A:L,3,FALSE),""),"")</f>
        <v/>
      </c>
      <c r="L161" s="55" t="str">
        <f ca="1">IF(AND(B161="",NOT(A161="")),IF(NOT(LEFT(VLOOKUP(A161,TaskPlan!A:L,3,FALSE),1) = "0"),VLOOKUP(A161,TaskPlan!A:M,4,FALSE),""),"")</f>
        <v/>
      </c>
      <c r="M161" s="58" t="str">
        <f ca="1">IF(B161=".",1,IF(AND(B161="",NOT(A161="")),IF(VLOOKUP(A161,TaskPlan!A:L,5,FALSE)&gt;0,VLOOKUP(A161,TaskPlan!A:L,5,FALSE),""),""))</f>
        <v/>
      </c>
      <c r="N161" s="1" t="str">
        <f ca="1">IF(ISNA(VLOOKUP(A161,Projects!B:B,1,FALSE)),"","Yes")</f>
        <v/>
      </c>
    </row>
    <row r="162" spans="1:14" hidden="1" outlineLevel="1">
      <c r="A162" s="43" t="s">
        <v>734</v>
      </c>
      <c r="B162" s="7"/>
      <c r="C162" s="44" t="s">
        <v>1115</v>
      </c>
      <c r="D162" s="7" t="s">
        <v>415</v>
      </c>
      <c r="E162" s="26">
        <v>40304</v>
      </c>
      <c r="F162" s="25">
        <v>5</v>
      </c>
      <c r="H162" s="37">
        <f ca="1">IF(AND(B162="",NOT(A162="")),VLOOKUP(A162,TaskPlan!A:M,13,FALSE),"")</f>
        <v>40235</v>
      </c>
      <c r="I162" s="38" t="str">
        <f ca="1">IF(AND(B162="",NOT(A162="")),VLOOKUP(A162,TaskPlan!A:M,12,FALSE),"")</f>
        <v>Closed</v>
      </c>
      <c r="J162" s="39" t="str">
        <f ca="1">IF(AND(B162="",NOT(A162="")),VLOOKUP(A162,TaskPlan!A:L,2,FALSE),"")</f>
        <v>Ruth</v>
      </c>
      <c r="K162" s="39" t="str">
        <f ca="1">IF(AND(B162="",NOT(A162="")),IF(NOT(LEFT(VLOOKUP(A162,TaskPlan!A:L,3,FALSE),1) = "0"),VLOOKUP(A162,TaskPlan!A:L,3,FALSE),""),"")</f>
        <v/>
      </c>
      <c r="L162" s="55" t="str">
        <f ca="1">IF(AND(B162="",NOT(A162="")),IF(NOT(LEFT(VLOOKUP(A162,TaskPlan!A:L,3,FALSE),1) = "0"),VLOOKUP(A162,TaskPlan!A:M,4,FALSE),""),"")</f>
        <v/>
      </c>
      <c r="M162" s="58" t="str">
        <f ca="1">IF(B162=".",1,IF(AND(B162="",NOT(A162="")),IF(VLOOKUP(A162,TaskPlan!A:L,5,FALSE)&gt;0,VLOOKUP(A162,TaskPlan!A:L,5,FALSE),""),""))</f>
        <v/>
      </c>
      <c r="N162" s="1" t="str">
        <f ca="1">IF(ISNA(VLOOKUP(A162,Projects!B:B,1,FALSE)),"","Yes")</f>
        <v/>
      </c>
    </row>
    <row r="163" spans="1:14" hidden="1" outlineLevel="1">
      <c r="A163" s="43" t="s">
        <v>735</v>
      </c>
      <c r="B163" s="7"/>
      <c r="C163" s="44" t="s">
        <v>1117</v>
      </c>
      <c r="D163" s="7" t="s">
        <v>11</v>
      </c>
      <c r="E163" s="26">
        <v>40304</v>
      </c>
      <c r="F163" s="25">
        <v>5</v>
      </c>
      <c r="G163" s="28" t="s">
        <v>1099</v>
      </c>
      <c r="H163" s="37">
        <f ca="1">IF(AND(B163="",NOT(A163="")),VLOOKUP(A163,TaskPlan!A:M,13,FALSE),"")</f>
        <v>40353</v>
      </c>
      <c r="I163" s="38" t="str">
        <f ca="1">IF(AND(B163="",NOT(A163="")),VLOOKUP(A163,TaskPlan!A:M,12,FALSE),"")</f>
        <v>Closed</v>
      </c>
      <c r="J163" s="39" t="str">
        <f ca="1">IF(AND(B163="",NOT(A163="")),VLOOKUP(A163,TaskPlan!A:L,2,FALSE),"")</f>
        <v>Ruth</v>
      </c>
      <c r="K163" s="39" t="str">
        <f ca="1">IF(AND(B163="",NOT(A163="")),IF(NOT(LEFT(VLOOKUP(A163,TaskPlan!A:L,3,FALSE),1) = "0"),VLOOKUP(A163,TaskPlan!A:L,3,FALSE),""),"")</f>
        <v/>
      </c>
      <c r="L163" s="55" t="str">
        <f ca="1">IF(AND(B163="",NOT(A163="")),IF(NOT(LEFT(VLOOKUP(A163,TaskPlan!A:L,3,FALSE),1) = "0"),VLOOKUP(A163,TaskPlan!A:M,4,FALSE),""),"")</f>
        <v/>
      </c>
      <c r="M163" s="58" t="str">
        <f ca="1">IF(B163=".",1,IF(AND(B163="",NOT(A163="")),IF(VLOOKUP(A163,TaskPlan!A:L,5,FALSE)&gt;0,VLOOKUP(A163,TaskPlan!A:L,5,FALSE),""),""))</f>
        <v/>
      </c>
      <c r="N163" s="1" t="str">
        <f ca="1">IF(ISNA(VLOOKUP(A163,Projects!B:B,1,FALSE)),"","Yes")</f>
        <v/>
      </c>
    </row>
    <row r="164" spans="1:14" hidden="1" outlineLevel="1">
      <c r="A164" s="43" t="s">
        <v>736</v>
      </c>
      <c r="B164" s="7"/>
      <c r="C164" s="44" t="s">
        <v>1118</v>
      </c>
      <c r="D164" s="7" t="s">
        <v>756</v>
      </c>
      <c r="E164" s="26">
        <v>40304</v>
      </c>
      <c r="F164" s="25">
        <v>10</v>
      </c>
      <c r="G164" s="28" t="s">
        <v>1099</v>
      </c>
      <c r="H164" s="37">
        <f ca="1">IF(AND(B164="",NOT(A164="")),VLOOKUP(A164,TaskPlan!A:M,13,FALSE),"")</f>
        <v>40336</v>
      </c>
      <c r="I164" s="38" t="str">
        <f ca="1">IF(AND(B164="",NOT(A164="")),VLOOKUP(A164,TaskPlan!A:M,12,FALSE),"")</f>
        <v>Closed</v>
      </c>
      <c r="J164" s="39" t="str">
        <f ca="1">IF(AND(B164="",NOT(A164="")),VLOOKUP(A164,TaskPlan!A:L,2,FALSE),"")</f>
        <v>Ruth</v>
      </c>
      <c r="K164" s="39" t="str">
        <f ca="1">IF(AND(B164="",NOT(A164="")),IF(NOT(LEFT(VLOOKUP(A164,TaskPlan!A:L,3,FALSE),1) = "0"),VLOOKUP(A164,TaskPlan!A:L,3,FALSE),""),"")</f>
        <v/>
      </c>
      <c r="L164" s="55" t="str">
        <f ca="1">IF(AND(B164="",NOT(A164="")),IF(NOT(LEFT(VLOOKUP(A164,TaskPlan!A:L,3,FALSE),1) = "0"),VLOOKUP(A164,TaskPlan!A:M,4,FALSE),""),"")</f>
        <v/>
      </c>
      <c r="M164" s="58" t="str">
        <f ca="1">IF(B164=".",1,IF(AND(B164="",NOT(A164="")),IF(VLOOKUP(A164,TaskPlan!A:L,5,FALSE)&gt;0,VLOOKUP(A164,TaskPlan!A:L,5,FALSE),""),""))</f>
        <v/>
      </c>
      <c r="N164" s="1" t="str">
        <f ca="1">IF(ISNA(VLOOKUP(A164,Projects!B:B,1,FALSE)),"","Yes")</f>
        <v/>
      </c>
    </row>
    <row r="165" spans="1:14" hidden="1" outlineLevel="1">
      <c r="A165" s="43" t="s">
        <v>737</v>
      </c>
      <c r="B165" s="7"/>
      <c r="C165" s="44" t="s">
        <v>1119</v>
      </c>
      <c r="D165" s="7" t="s">
        <v>756</v>
      </c>
      <c r="E165" s="26">
        <v>40304</v>
      </c>
      <c r="F165" s="25">
        <v>10</v>
      </c>
      <c r="G165" s="28" t="s">
        <v>1099</v>
      </c>
      <c r="H165" s="37">
        <f ca="1">IF(AND(B165="",NOT(A165="")),VLOOKUP(A165,TaskPlan!A:M,13,FALSE),"")</f>
        <v>40283</v>
      </c>
      <c r="I165" s="38" t="str">
        <f ca="1">IF(AND(B165="",NOT(A165="")),VLOOKUP(A165,TaskPlan!A:M,12,FALSE),"")</f>
        <v>Not Started</v>
      </c>
      <c r="J165" s="39" t="str">
        <f ca="1">IF(AND(B165="",NOT(A165="")),VLOOKUP(A165,TaskPlan!A:L,2,FALSE),"")</f>
        <v>Unassigned</v>
      </c>
      <c r="K165" s="39" t="str">
        <f ca="1">IF(AND(B165="",NOT(A165="")),IF(NOT(LEFT(VLOOKUP(A165,TaskPlan!A:L,3,FALSE),1) = "0"),VLOOKUP(A165,TaskPlan!A:L,3,FALSE),""),"")</f>
        <v>2-LOW</v>
      </c>
      <c r="L165" s="55">
        <f ca="1">IF(AND(B165="",NOT(A165="")),IF(NOT(LEFT(VLOOKUP(A165,TaskPlan!A:L,3,FALSE),1) = "0"),VLOOKUP(A165,TaskPlan!A:M,4,FALSE),""),"")</f>
        <v>0</v>
      </c>
      <c r="M165" s="58" t="str">
        <f ca="1">IF(B165=".",1,IF(AND(B165="",NOT(A165="")),IF(VLOOKUP(A165,TaskPlan!A:L,5,FALSE)&gt;0,VLOOKUP(A165,TaskPlan!A:L,5,FALSE),""),""))</f>
        <v/>
      </c>
      <c r="N165" s="1" t="str">
        <f ca="1">IF(ISNA(VLOOKUP(A165,Projects!B:B,1,FALSE)),"","Yes")</f>
        <v/>
      </c>
    </row>
    <row r="166" spans="1:14" hidden="1" outlineLevel="1">
      <c r="A166" s="43" t="s">
        <v>878</v>
      </c>
      <c r="B166" s="7"/>
      <c r="C166" s="44" t="s">
        <v>1120</v>
      </c>
      <c r="D166" s="7" t="s">
        <v>756</v>
      </c>
      <c r="E166" s="26">
        <v>40304</v>
      </c>
      <c r="F166" s="25">
        <v>2</v>
      </c>
      <c r="H166" s="37">
        <f ca="1">IF(AND(B166="",NOT(A166="")),VLOOKUP(A166,TaskPlan!A:M,13,FALSE),"")</f>
        <v>40210</v>
      </c>
      <c r="I166" s="38" t="str">
        <f ca="1">IF(AND(B166="",NOT(A166="")),VLOOKUP(A166,TaskPlan!A:M,12,FALSE),"")</f>
        <v>Closed</v>
      </c>
      <c r="J166" s="39" t="str">
        <f ca="1">IF(AND(B166="",NOT(A166="")),VLOOKUP(A166,TaskPlan!A:L,2,FALSE),"")</f>
        <v>Ruth</v>
      </c>
      <c r="K166" s="39" t="str">
        <f ca="1">IF(AND(B166="",NOT(A166="")),IF(NOT(LEFT(VLOOKUP(A166,TaskPlan!A:L,3,FALSE),1) = "0"),VLOOKUP(A166,TaskPlan!A:L,3,FALSE),""),"")</f>
        <v/>
      </c>
      <c r="L166" s="55" t="str">
        <f ca="1">IF(AND(B166="",NOT(A166="")),IF(NOT(LEFT(VLOOKUP(A166,TaskPlan!A:L,3,FALSE),1) = "0"),VLOOKUP(A166,TaskPlan!A:M,4,FALSE),""),"")</f>
        <v/>
      </c>
      <c r="M166" s="58" t="str">
        <f ca="1">IF(B166=".",1,IF(AND(B166="",NOT(A166="")),IF(VLOOKUP(A166,TaskPlan!A:L,5,FALSE)&gt;0,VLOOKUP(A166,TaskPlan!A:L,5,FALSE),""),""))</f>
        <v/>
      </c>
      <c r="N166" s="1" t="str">
        <f ca="1">IF(ISNA(VLOOKUP(A166,Projects!B:B,1,FALSE)),"","Yes")</f>
        <v/>
      </c>
    </row>
    <row r="167" spans="1:14" hidden="1" outlineLevel="1">
      <c r="A167" s="43" t="s">
        <v>924</v>
      </c>
      <c r="B167" s="7"/>
      <c r="C167" s="44" t="s">
        <v>1121</v>
      </c>
      <c r="D167" s="7" t="s">
        <v>756</v>
      </c>
      <c r="E167" s="26">
        <v>40304</v>
      </c>
      <c r="F167" s="25">
        <v>10</v>
      </c>
      <c r="G167" s="28" t="s">
        <v>1099</v>
      </c>
      <c r="H167" s="37">
        <f ca="1">IF(AND(B167="",NOT(A167="")),VLOOKUP(A167,TaskPlan!A:M,13,FALSE),"")</f>
        <v>40410</v>
      </c>
      <c r="I167" s="38" t="str">
        <f ca="1">IF(AND(B167="",NOT(A167="")),VLOOKUP(A167,TaskPlan!A:M,12,FALSE),"")</f>
        <v>Closed</v>
      </c>
      <c r="J167" s="39" t="str">
        <f ca="1">IF(AND(B167="",NOT(A167="")),VLOOKUP(A167,TaskPlan!A:L,2,FALSE),"")</f>
        <v>Ruth</v>
      </c>
      <c r="K167" s="39" t="str">
        <f ca="1">IF(AND(B167="",NOT(A167="")),IF(NOT(LEFT(VLOOKUP(A167,TaskPlan!A:L,3,FALSE),1) = "0"),VLOOKUP(A167,TaskPlan!A:L,3,FALSE),""),"")</f>
        <v/>
      </c>
      <c r="L167" s="55" t="str">
        <f ca="1">IF(AND(B167="",NOT(A167="")),IF(NOT(LEFT(VLOOKUP(A167,TaskPlan!A:L,3,FALSE),1) = "0"),VLOOKUP(A167,TaskPlan!A:M,4,FALSE),""),"")</f>
        <v/>
      </c>
      <c r="M167" s="58" t="str">
        <f ca="1">IF(B167=".",1,IF(AND(B167="",NOT(A167="")),IF(VLOOKUP(A167,TaskPlan!A:L,5,FALSE)&gt;0,VLOOKUP(A167,TaskPlan!A:L,5,FALSE),""),""))</f>
        <v/>
      </c>
      <c r="N167" s="1" t="str">
        <f ca="1">IF(ISNA(VLOOKUP(A167,Projects!B:B,1,FALSE)),"","Yes")</f>
        <v/>
      </c>
    </row>
    <row r="168" spans="1:14" hidden="1" outlineLevel="1">
      <c r="A168" s="43" t="s">
        <v>1052</v>
      </c>
      <c r="B168" s="7"/>
      <c r="C168" s="44" t="s">
        <v>1122</v>
      </c>
      <c r="D168" s="7" t="s">
        <v>11</v>
      </c>
      <c r="E168" s="26">
        <v>40304</v>
      </c>
      <c r="F168" s="25">
        <v>1</v>
      </c>
      <c r="G168" s="28" t="s">
        <v>1099</v>
      </c>
      <c r="H168" s="37">
        <f ca="1">IF(AND(B168="",NOT(A168="")),VLOOKUP(A168,TaskPlan!A:M,13,FALSE),"")</f>
        <v>40304</v>
      </c>
      <c r="I168" s="38" t="str">
        <f ca="1">IF(AND(B168="",NOT(A168="")),VLOOKUP(A168,TaskPlan!A:M,12,FALSE),"")</f>
        <v>Closed</v>
      </c>
      <c r="J168" s="39" t="str">
        <f ca="1">IF(AND(B168="",NOT(A168="")),VLOOKUP(A168,TaskPlan!A:L,2,FALSE),"")</f>
        <v>Ruth</v>
      </c>
      <c r="K168" s="39" t="str">
        <f ca="1">IF(AND(B168="",NOT(A168="")),IF(NOT(LEFT(VLOOKUP(A168,TaskPlan!A:L,3,FALSE),1) = "0"),VLOOKUP(A168,TaskPlan!A:L,3,FALSE),""),"")</f>
        <v/>
      </c>
      <c r="L168" s="55" t="str">
        <f ca="1">IF(AND(B168="",NOT(A168="")),IF(NOT(LEFT(VLOOKUP(A168,TaskPlan!A:L,3,FALSE),1) = "0"),VLOOKUP(A168,TaskPlan!A:M,4,FALSE),""),"")</f>
        <v/>
      </c>
      <c r="M168" s="58" t="str">
        <f ca="1">IF(B168=".",1,IF(AND(B168="",NOT(A168="")),IF(VLOOKUP(A168,TaskPlan!A:L,5,FALSE)&gt;0,VLOOKUP(A168,TaskPlan!A:L,5,FALSE),""),""))</f>
        <v/>
      </c>
      <c r="N168" s="1" t="str">
        <f ca="1">IF(ISNA(VLOOKUP(A168,Projects!B:B,1,FALSE)),"","Yes")</f>
        <v/>
      </c>
    </row>
    <row r="169" spans="1:14" hidden="1" outlineLevel="1">
      <c r="A169" s="43" t="s">
        <v>1123</v>
      </c>
      <c r="B169" s="7"/>
      <c r="C169" s="44" t="s">
        <v>1124</v>
      </c>
      <c r="D169" s="7" t="s">
        <v>32</v>
      </c>
      <c r="E169" s="26">
        <v>40304</v>
      </c>
      <c r="F169" s="25">
        <v>2</v>
      </c>
      <c r="G169" s="28" t="s">
        <v>1099</v>
      </c>
      <c r="H169" s="37">
        <f ca="1">IF(AND(B169="",NOT(A169="")),VLOOKUP(A169,TaskPlan!A:M,13,FALSE),"")</f>
        <v>40336</v>
      </c>
      <c r="I169" s="38" t="str">
        <f ca="1">IF(AND(B169="",NOT(A169="")),VLOOKUP(A169,TaskPlan!A:M,12,FALSE),"")</f>
        <v>Closed</v>
      </c>
      <c r="J169" s="39" t="str">
        <f ca="1">IF(AND(B169="",NOT(A169="")),VLOOKUP(A169,TaskPlan!A:L,2,FALSE),"")</f>
        <v>Sachin</v>
      </c>
      <c r="K169" s="39" t="str">
        <f ca="1">IF(AND(B169="",NOT(A169="")),IF(NOT(LEFT(VLOOKUP(A169,TaskPlan!A:L,3,FALSE),1) = "0"),VLOOKUP(A169,TaskPlan!A:L,3,FALSE),""),"")</f>
        <v/>
      </c>
      <c r="L169" s="55" t="str">
        <f ca="1">IF(AND(B169="",NOT(A169="")),IF(NOT(LEFT(VLOOKUP(A169,TaskPlan!A:L,3,FALSE),1) = "0"),VLOOKUP(A169,TaskPlan!A:M,4,FALSE),""),"")</f>
        <v/>
      </c>
      <c r="N169" s="1" t="str">
        <f ca="1">IF(ISNA(VLOOKUP(A169,Projects!B:B,1,FALSE)),"","Yes")</f>
        <v/>
      </c>
    </row>
    <row r="170" spans="1:14" hidden="1" outlineLevel="1">
      <c r="A170" s="43" t="s">
        <v>1221</v>
      </c>
      <c r="B170" s="7"/>
      <c r="C170" s="44" t="s">
        <v>1137</v>
      </c>
      <c r="D170" s="7" t="s">
        <v>32</v>
      </c>
      <c r="E170" s="26">
        <v>40304</v>
      </c>
      <c r="F170" s="25">
        <v>15</v>
      </c>
      <c r="G170" s="28" t="s">
        <v>1099</v>
      </c>
      <c r="H170" s="37">
        <f ca="1">IF(AND(B170="",NOT(A170="")),VLOOKUP(A170,TaskPlan!A:M,13,FALSE),"")</f>
        <v>40350</v>
      </c>
      <c r="I170" s="38" t="str">
        <f ca="1">IF(AND(B170="",NOT(A170="")),VLOOKUP(A170,TaskPlan!A:M,12,FALSE),"")</f>
        <v>Closed</v>
      </c>
      <c r="J170" s="39" t="str">
        <f ca="1">IF(AND(B170="",NOT(A170="")),VLOOKUP(A170,TaskPlan!A:L,2,FALSE),"")</f>
        <v>Sachin</v>
      </c>
      <c r="K170" s="39" t="str">
        <f ca="1">IF(AND(B170="",NOT(A170="")),IF(NOT(LEFT(VLOOKUP(A170,TaskPlan!A:L,3,FALSE),1) = "0"),VLOOKUP(A170,TaskPlan!A:L,3,FALSE),""),"")</f>
        <v/>
      </c>
      <c r="L170" s="55" t="str">
        <f ca="1">IF(AND(B170="",NOT(A170="")),IF(NOT(LEFT(VLOOKUP(A170,TaskPlan!A:L,3,FALSE),1) = "0"),VLOOKUP(A170,TaskPlan!A:M,4,FALSE),""),"")</f>
        <v/>
      </c>
      <c r="N170" s="1" t="str">
        <f ca="1">IF(ISNA(VLOOKUP(A170,Projects!B:B,1,FALSE)),"","Yes")</f>
        <v/>
      </c>
    </row>
    <row r="171" spans="1:14" ht="25.5" hidden="1" outlineLevel="1">
      <c r="A171" s="43" t="s">
        <v>1175</v>
      </c>
      <c r="B171" s="7"/>
      <c r="C171" s="44" t="s">
        <v>1176</v>
      </c>
      <c r="D171" s="7" t="s">
        <v>11</v>
      </c>
      <c r="E171" s="26">
        <v>40325</v>
      </c>
      <c r="F171" s="25">
        <v>2</v>
      </c>
      <c r="G171" s="28" t="s">
        <v>1098</v>
      </c>
      <c r="H171" s="37">
        <f ca="1">IF(AND(B171="",NOT(A171="")),VLOOKUP(A171,TaskPlan!A:M,13,FALSE),"")</f>
        <v>40505</v>
      </c>
      <c r="I171" s="38" t="str">
        <f ca="1">IF(AND(B171="",NOT(A171="")),VLOOKUP(A171,TaskPlan!A:M,12,FALSE),"")</f>
        <v>Not Started</v>
      </c>
      <c r="J171" s="39" t="str">
        <f ca="1">IF(AND(B171="",NOT(A171="")),VLOOKUP(A171,TaskPlan!A:L,2,FALSE),"")</f>
        <v>Ruth</v>
      </c>
      <c r="K171" s="39" t="str">
        <f ca="1">IF(AND(B171="",NOT(A171="")),IF(NOT(LEFT(VLOOKUP(A171,TaskPlan!A:L,3,FALSE),1) = "0"),VLOOKUP(A171,TaskPlan!A:L,3,FALSE),""),"")</f>
        <v>4-HIGH</v>
      </c>
      <c r="L171" s="55">
        <f ca="1">IF(AND(B171="",NOT(A171="")),IF(NOT(LEFT(VLOOKUP(A171,TaskPlan!A:L,3,FALSE),1) = "0"),VLOOKUP(A171,TaskPlan!A:M,4,FALSE),""),"")</f>
        <v>0</v>
      </c>
      <c r="N171" s="1" t="str">
        <f ca="1">IF(ISNA(VLOOKUP(A171,Projects!B:B,1,FALSE)),"","Yes")</f>
        <v/>
      </c>
    </row>
    <row r="172" spans="1:14" hidden="1" outlineLevel="1">
      <c r="A172" s="43" t="s">
        <v>1363</v>
      </c>
      <c r="B172" s="7"/>
      <c r="C172" s="44" t="s">
        <v>1364</v>
      </c>
      <c r="D172" s="7" t="s">
        <v>29</v>
      </c>
      <c r="E172" s="26">
        <v>40387</v>
      </c>
      <c r="F172" s="25">
        <v>1</v>
      </c>
      <c r="G172" s="28" t="s">
        <v>1098</v>
      </c>
      <c r="H172" s="37">
        <f ca="1">IF(AND(B172="",NOT(A172="")),VLOOKUP(A172,TaskPlan!A:M,13,FALSE),"")</f>
        <v>40387</v>
      </c>
      <c r="I172" s="38" t="str">
        <f ca="1">IF(AND(B172="",NOT(A172="")),VLOOKUP(A172,TaskPlan!A:M,12,FALSE),"")</f>
        <v>Not Started</v>
      </c>
      <c r="J172" s="39" t="str">
        <f ca="1">IF(AND(B172="",NOT(A172="")),VLOOKUP(A172,TaskPlan!A:L,2,FALSE),"")</f>
        <v>Unassigned</v>
      </c>
      <c r="K172" s="39" t="str">
        <f ca="1">IF(AND(B172="",NOT(A172="")),IF(NOT(LEFT(VLOOKUP(A172,TaskPlan!A:L,3,FALSE),1) = "0"),VLOOKUP(A172,TaskPlan!A:L,3,FALSE),""),"")</f>
        <v>2-LOW</v>
      </c>
      <c r="L172" s="55">
        <f ca="1">IF(AND(B172="",NOT(A172="")),IF(NOT(LEFT(VLOOKUP(A172,TaskPlan!A:L,3,FALSE),1) = "0"),VLOOKUP(A172,TaskPlan!A:M,4,FALSE),""),"")</f>
        <v>0</v>
      </c>
      <c r="N172" s="1" t="str">
        <f ca="1">IF(ISNA(VLOOKUP(A172,Projects!B:B,1,FALSE)),"","Yes")</f>
        <v/>
      </c>
    </row>
    <row r="173" spans="1:14" hidden="1" outlineLevel="1">
      <c r="A173" s="43" t="s">
        <v>1414</v>
      </c>
      <c r="B173" s="7"/>
      <c r="C173" s="44" t="s">
        <v>1415</v>
      </c>
      <c r="D173" s="7" t="s">
        <v>11</v>
      </c>
      <c r="E173" s="26">
        <v>40403</v>
      </c>
      <c r="F173" s="25">
        <v>1</v>
      </c>
      <c r="G173" s="28" t="s">
        <v>1098</v>
      </c>
      <c r="H173" s="37">
        <f ca="1">IF(AND(B173="",NOT(A173="")),VLOOKUP(A173,TaskPlan!A:M,13,FALSE),"")</f>
        <v>40403</v>
      </c>
      <c r="I173" s="38" t="str">
        <f ca="1">IF(AND(B173="",NOT(A173="")),VLOOKUP(A173,TaskPlan!A:M,12,FALSE),"")</f>
        <v>Not Started</v>
      </c>
      <c r="J173" s="39" t="str">
        <f ca="1">IF(AND(B173="",NOT(A173="")),VLOOKUP(A173,TaskPlan!A:L,2,FALSE),"")</f>
        <v>Unassigned</v>
      </c>
      <c r="K173" s="39" t="str">
        <f ca="1">IF(AND(B173="",NOT(A173="")),IF(NOT(LEFT(VLOOKUP(A173,TaskPlan!A:L,3,FALSE),1) = "0"),VLOOKUP(A173,TaskPlan!A:L,3,FALSE),""),"")</f>
        <v>2-LOW</v>
      </c>
      <c r="L173" s="55">
        <f ca="1">IF(AND(B173="",NOT(A173="")),IF(NOT(LEFT(VLOOKUP(A173,TaskPlan!A:L,3,FALSE),1) = "0"),VLOOKUP(A173,TaskPlan!A:M,4,FALSE),""),"")</f>
        <v>0</v>
      </c>
      <c r="N173" s="1" t="str">
        <f ca="1">IF(ISNA(VLOOKUP(A173,Projects!B:B,1,FALSE)),"","Yes")</f>
        <v/>
      </c>
    </row>
    <row r="174" spans="1:14" ht="25.5" hidden="1" outlineLevel="1">
      <c r="A174" s="43" t="s">
        <v>1530</v>
      </c>
      <c r="B174" s="7"/>
      <c r="C174" s="44" t="s">
        <v>1531</v>
      </c>
      <c r="D174" s="7" t="s">
        <v>11</v>
      </c>
      <c r="E174" s="26">
        <v>40438</v>
      </c>
      <c r="F174" s="25">
        <v>1</v>
      </c>
      <c r="G174" s="28" t="s">
        <v>1098</v>
      </c>
      <c r="H174" s="37">
        <f ca="1">IF(AND(B174="",NOT(A174="")),VLOOKUP(A174,TaskPlan!A:M,13,FALSE),"")</f>
        <v>40567</v>
      </c>
      <c r="I174" s="38" t="str">
        <f ca="1">IF(AND(B174="",NOT(A174="")),VLOOKUP(A174,TaskPlan!A:M,12,FALSE),"")</f>
        <v>In Progress</v>
      </c>
      <c r="J174" s="39" t="str">
        <f ca="1">IF(AND(B174="",NOT(A174="")),VLOOKUP(A174,TaskPlan!A:L,2,FALSE),"")</f>
        <v>Sachin</v>
      </c>
      <c r="K174" s="39" t="str">
        <f ca="1">IF(AND(B174="",NOT(A174="")),IF(NOT(LEFT(VLOOKUP(A174,TaskPlan!A:L,3,FALSE),1) = "0"),VLOOKUP(A174,TaskPlan!A:L,3,FALSE),""),"")</f>
        <v>3-MED</v>
      </c>
      <c r="L174" s="55">
        <f ca="1">IF(AND(B174="",NOT(A174="")),IF(NOT(LEFT(VLOOKUP(A174,TaskPlan!A:L,3,FALSE),1) = "0"),VLOOKUP(A174,TaskPlan!A:M,4,FALSE),""),"")</f>
        <v>0</v>
      </c>
    </row>
    <row r="175" spans="1:14" collapsed="1">
      <c r="E175" s="26"/>
      <c r="H175" s="37" t="str">
        <f ca="1">IF(AND(B175="",NOT(A175="")),VLOOKUP(A175,TaskPlan!A:M,13,FALSE),"")</f>
        <v/>
      </c>
      <c r="I175" s="38" t="str">
        <f ca="1">IF(AND(B175="",NOT(A175="")),VLOOKUP(A175,TaskPlan!A:M,12,FALSE),"")</f>
        <v/>
      </c>
      <c r="J175" s="39" t="str">
        <f ca="1">IF(AND(B175="",NOT(A175="")),VLOOKUP(A175,TaskPlan!A:L,2,FALSE),"")</f>
        <v/>
      </c>
      <c r="K175" s="39" t="str">
        <f ca="1">IF(AND(B175="",NOT(A175="")),IF(NOT(LEFT(VLOOKUP(A175,TaskPlan!A:L,3,FALSE),1) = "0"),VLOOKUP(A175,TaskPlan!A:L,3,FALSE),""),"")</f>
        <v/>
      </c>
      <c r="L175" s="55" t="str">
        <f ca="1">IF(AND(B175="",NOT(A175="")),IF(NOT(LEFT(VLOOKUP(A175,TaskPlan!A:L,3,FALSE),1) = "0"),VLOOKUP(A175,TaskPlan!A:M,4,FALSE),""),"")</f>
        <v/>
      </c>
      <c r="M175" s="58" t="str">
        <f ca="1">IF(B175=".",1,IF(AND(B175="",NOT(A175="")),IF(VLOOKUP(A175,TaskPlan!A:L,5,FALSE)&gt;0,VLOOKUP(A175,TaskPlan!A:L,5,FALSE),""),""))</f>
        <v/>
      </c>
      <c r="N175" s="1" t="str">
        <f ca="1">IF(ISNA(VLOOKUP(A175,Projects!B:B,1,FALSE)),"","Yes")</f>
        <v/>
      </c>
    </row>
    <row r="176" spans="1:14" ht="15.75">
      <c r="A176" s="35" t="s">
        <v>111</v>
      </c>
      <c r="B176" s="1" t="s">
        <v>15</v>
      </c>
      <c r="C176" s="36" t="s">
        <v>27</v>
      </c>
      <c r="H176" s="37" t="str">
        <f ca="1">IF(AND(B176="",NOT(A176="")),VLOOKUP(A176,TaskPlan!A:M,13,FALSE),"")</f>
        <v/>
      </c>
      <c r="I176" s="38" t="str">
        <f ca="1">IF(AND(B176="",NOT(A176="")),VLOOKUP(A176,TaskPlan!A:M,12,FALSE),"")</f>
        <v/>
      </c>
      <c r="J176" s="39" t="str">
        <f ca="1">IF(AND(B176="",NOT(A176="")),VLOOKUP(A176,TaskPlan!A:L,2,FALSE),"")</f>
        <v/>
      </c>
      <c r="K176" s="39" t="str">
        <f ca="1">IF(AND(B176="",NOT(A176="")),IF(NOT(LEFT(VLOOKUP(A176,TaskPlan!A:L,3,FALSE),1) = "0"),VLOOKUP(A176,TaskPlan!A:L,3,FALSE),""),"")</f>
        <v/>
      </c>
      <c r="L176" s="55" t="str">
        <f ca="1">IF(AND(B176="",NOT(A176="")),IF(NOT(LEFT(VLOOKUP(A176,TaskPlan!A:L,3,FALSE),1) = "0"),VLOOKUP(A176,TaskPlan!A:M,4,FALSE),""),"")</f>
        <v/>
      </c>
      <c r="M176" s="58">
        <f ca="1">IF(B176=".",1,IF(AND(B176="",NOT(A176="")),IF(VLOOKUP(A176,TaskPlan!A:L,5,FALSE)&gt;0,VLOOKUP(A176,TaskPlan!A:L,5,FALSE),""),""))</f>
        <v>1</v>
      </c>
      <c r="N176" s="1" t="str">
        <f ca="1">IF(ISNA(VLOOKUP(A176,Projects!B:B,1,FALSE)),"","Yes")</f>
        <v/>
      </c>
    </row>
    <row r="177" spans="1:14" hidden="1" outlineLevel="1">
      <c r="A177" s="35" t="s">
        <v>106</v>
      </c>
      <c r="C177" s="42" t="s">
        <v>28</v>
      </c>
      <c r="D177" s="1" t="s">
        <v>11</v>
      </c>
      <c r="E177" s="26">
        <v>39911</v>
      </c>
      <c r="H177" s="37">
        <f ca="1">IF(AND(B177="",NOT(A177="")),VLOOKUP(A177,TaskPlan!A:M,13,FALSE),"")</f>
        <v>40532</v>
      </c>
      <c r="I177" s="38" t="str">
        <f ca="1">IF(AND(B177="",NOT(A177="")),VLOOKUP(A177,TaskPlan!A:M,12,FALSE),"")</f>
        <v>Closed</v>
      </c>
      <c r="J177" s="39" t="str">
        <f ca="1">IF(AND(B177="",NOT(A177="")),VLOOKUP(A177,TaskPlan!A:L,2,FALSE),"")</f>
        <v>Ruth</v>
      </c>
      <c r="K177" s="39" t="str">
        <f ca="1">IF(AND(B177="",NOT(A177="")),IF(NOT(LEFT(VLOOKUP(A177,TaskPlan!A:L,3,FALSE),1) = "0"),VLOOKUP(A177,TaskPlan!A:L,3,FALSE),""),"")</f>
        <v/>
      </c>
      <c r="L177" s="55" t="str">
        <f ca="1">IF(AND(B177="",NOT(A177="")),IF(NOT(LEFT(VLOOKUP(A177,TaskPlan!A:L,3,FALSE),1) = "0"),VLOOKUP(A177,TaskPlan!A:M,4,FALSE),""),"")</f>
        <v/>
      </c>
      <c r="M177" s="58" t="str">
        <f ca="1">IF(B177=".",1,IF(AND(B177="",NOT(A177="")),IF(VLOOKUP(A177,TaskPlan!A:L,5,FALSE)&gt;0,VLOOKUP(A177,TaskPlan!A:L,5,FALSE),""),""))</f>
        <v/>
      </c>
      <c r="N177" s="1" t="str">
        <f ca="1">IF(ISNA(VLOOKUP(A177,Projects!B:B,1,FALSE)),"","Yes")</f>
        <v/>
      </c>
    </row>
    <row r="178" spans="1:14" hidden="1" outlineLevel="1">
      <c r="A178" s="35" t="s">
        <v>107</v>
      </c>
      <c r="C178" s="42" t="s">
        <v>30</v>
      </c>
      <c r="D178" s="1" t="s">
        <v>11</v>
      </c>
      <c r="E178" s="26">
        <v>39911</v>
      </c>
      <c r="H178" s="37">
        <f ca="1">IF(AND(B178="",NOT(A178="")),VLOOKUP(A178,TaskPlan!A:M,13,FALSE),"")</f>
        <v>39975</v>
      </c>
      <c r="I178" s="38" t="str">
        <f ca="1">IF(AND(B178="",NOT(A178="")),VLOOKUP(A178,TaskPlan!A:M,12,FALSE),"")</f>
        <v>Closed</v>
      </c>
      <c r="J178" s="39" t="str">
        <f ca="1">IF(AND(B178="",NOT(A178="")),VLOOKUP(A178,TaskPlan!A:L,2,FALSE),"")</f>
        <v>Neil</v>
      </c>
      <c r="K178" s="39" t="str">
        <f ca="1">IF(AND(B178="",NOT(A178="")),IF(NOT(LEFT(VLOOKUP(A178,TaskPlan!A:L,3,FALSE),1) = "0"),VLOOKUP(A178,TaskPlan!A:L,3,FALSE),""),"")</f>
        <v/>
      </c>
      <c r="L178" s="55" t="str">
        <f ca="1">IF(AND(B178="",NOT(A178="")),IF(NOT(LEFT(VLOOKUP(A178,TaskPlan!A:L,3,FALSE),1) = "0"),VLOOKUP(A178,TaskPlan!A:M,4,FALSE),""),"")</f>
        <v/>
      </c>
      <c r="M178" s="58" t="str">
        <f ca="1">IF(B178=".",1,IF(AND(B178="",NOT(A178="")),IF(VLOOKUP(A178,TaskPlan!A:L,5,FALSE)&gt;0,VLOOKUP(A178,TaskPlan!A:L,5,FALSE),""),""))</f>
        <v/>
      </c>
      <c r="N178" s="1" t="str">
        <f ca="1">IF(ISNA(VLOOKUP(A178,Projects!B:B,1,FALSE)),"","Yes")</f>
        <v/>
      </c>
    </row>
    <row r="179" spans="1:14" hidden="1" outlineLevel="1">
      <c r="A179" s="41" t="s">
        <v>108</v>
      </c>
      <c r="C179" s="44" t="s">
        <v>128</v>
      </c>
      <c r="D179" s="1" t="s">
        <v>11</v>
      </c>
      <c r="E179" s="26">
        <v>39926</v>
      </c>
      <c r="H179" s="37">
        <f ca="1">IF(AND(B179="",NOT(A179="")),VLOOKUP(A179,TaskPlan!A:M,13,FALSE),"")</f>
        <v>39959</v>
      </c>
      <c r="I179" s="38" t="str">
        <f ca="1">IF(AND(B179="",NOT(A179="")),VLOOKUP(A179,TaskPlan!A:M,12,FALSE),"")</f>
        <v>Closed</v>
      </c>
      <c r="J179" s="39" t="str">
        <f ca="1">IF(AND(B179="",NOT(A179="")),VLOOKUP(A179,TaskPlan!A:L,2,FALSE),"")</f>
        <v>David C</v>
      </c>
      <c r="K179" s="39" t="str">
        <f ca="1">IF(AND(B179="",NOT(A179="")),IF(NOT(LEFT(VLOOKUP(A179,TaskPlan!A:L,3,FALSE),1) = "0"),VLOOKUP(A179,TaskPlan!A:L,3,FALSE),""),"")</f>
        <v/>
      </c>
      <c r="L179" s="55" t="str">
        <f ca="1">IF(AND(B179="",NOT(A179="")),IF(NOT(LEFT(VLOOKUP(A179,TaskPlan!A:L,3,FALSE),1) = "0"),VLOOKUP(A179,TaskPlan!A:M,4,FALSE),""),"")</f>
        <v/>
      </c>
      <c r="M179" s="58" t="str">
        <f ca="1">IF(B179=".",1,IF(AND(B179="",NOT(A179="")),IF(VLOOKUP(A179,TaskPlan!A:L,5,FALSE)&gt;0,VLOOKUP(A179,TaskPlan!A:L,5,FALSE),""),""))</f>
        <v/>
      </c>
      <c r="N179" s="1" t="str">
        <f ca="1">IF(ISNA(VLOOKUP(A179,Projects!B:B,1,FALSE)),"","Yes")</f>
        <v/>
      </c>
    </row>
    <row r="180" spans="1:14" hidden="1" outlineLevel="1">
      <c r="A180" s="41" t="s">
        <v>105</v>
      </c>
      <c r="B180" s="7" t="s">
        <v>15</v>
      </c>
      <c r="C180" s="45" t="s">
        <v>133</v>
      </c>
      <c r="E180" s="26"/>
      <c r="H180" s="37" t="str">
        <f ca="1">IF(AND(B180="",NOT(A180="")),VLOOKUP(A180,TaskPlan!A:M,13,FALSE),"")</f>
        <v/>
      </c>
      <c r="I180" s="38" t="str">
        <f ca="1">IF(AND(B180="",NOT(A180="")),VLOOKUP(A180,TaskPlan!A:M,12,FALSE),"")</f>
        <v/>
      </c>
      <c r="J180" s="39" t="str">
        <f ca="1">IF(AND(B180="",NOT(A180="")),VLOOKUP(A180,TaskPlan!A:L,2,FALSE),"")</f>
        <v/>
      </c>
      <c r="K180" s="39" t="str">
        <f ca="1">IF(AND(B180="",NOT(A180="")),IF(NOT(LEFT(VLOOKUP(A180,TaskPlan!A:L,3,FALSE),1) = "0"),VLOOKUP(A180,TaskPlan!A:L,3,FALSE),""),"")</f>
        <v/>
      </c>
      <c r="L180" s="55" t="str">
        <f ca="1">IF(AND(B180="",NOT(A180="")),IF(NOT(LEFT(VLOOKUP(A180,TaskPlan!A:L,3,FALSE),1) = "0"),VLOOKUP(A180,TaskPlan!A:M,4,FALSE),""),"")</f>
        <v/>
      </c>
      <c r="N180" s="1" t="str">
        <f ca="1">IF(ISNA(VLOOKUP(A180,Projects!B:B,1,FALSE)),"","Yes")</f>
        <v/>
      </c>
    </row>
    <row r="181" spans="1:14" hidden="1" outlineLevel="1">
      <c r="A181" s="43" t="s">
        <v>132</v>
      </c>
      <c r="C181" s="42" t="s">
        <v>31</v>
      </c>
      <c r="D181" s="1" t="s">
        <v>20</v>
      </c>
      <c r="E181" s="26">
        <v>39911</v>
      </c>
      <c r="H181" s="37">
        <f ca="1">IF(AND(B181="",NOT(A181="")),VLOOKUP(A181,TaskPlan!A:M,13,FALSE),"")</f>
        <v>39972</v>
      </c>
      <c r="I181" s="38" t="str">
        <f ca="1">IF(AND(B181="",NOT(A181="")),VLOOKUP(A181,TaskPlan!A:M,12,FALSE),"")</f>
        <v>Closed</v>
      </c>
      <c r="J181" s="39" t="str">
        <f ca="1">IF(AND(B181="",NOT(A181="")),VLOOKUP(A181,TaskPlan!A:L,2,FALSE),"")</f>
        <v>Pramendra</v>
      </c>
      <c r="K181" s="39" t="str">
        <f ca="1">IF(AND(B181="",NOT(A181="")),IF(NOT(LEFT(VLOOKUP(A181,TaskPlan!A:L,3,FALSE),1) = "0"),VLOOKUP(A181,TaskPlan!A:L,3,FALSE),""),"")</f>
        <v/>
      </c>
      <c r="L181" s="55" t="str">
        <f ca="1">IF(AND(B181="",NOT(A181="")),IF(NOT(LEFT(VLOOKUP(A181,TaskPlan!A:L,3,FALSE),1) = "0"),VLOOKUP(A181,TaskPlan!A:M,4,FALSE),""),"")</f>
        <v/>
      </c>
      <c r="M181" s="58" t="str">
        <f ca="1">IF(B181=".",1,IF(AND(B181="",NOT(A181="")),IF(VLOOKUP(A181,TaskPlan!A:L,5,FALSE)&gt;0,VLOOKUP(A181,TaskPlan!A:L,5,FALSE),""),""))</f>
        <v/>
      </c>
      <c r="N181" s="1" t="str">
        <f ca="1">IF(ISNA(VLOOKUP(A181,Projects!B:B,1,FALSE)),"","Yes")</f>
        <v/>
      </c>
    </row>
    <row r="182" spans="1:14" hidden="1" outlineLevel="1">
      <c r="A182" s="43" t="s">
        <v>134</v>
      </c>
      <c r="C182" s="44" t="s">
        <v>137</v>
      </c>
      <c r="D182" s="1" t="s">
        <v>11</v>
      </c>
      <c r="E182" s="26">
        <v>39927</v>
      </c>
      <c r="H182" s="37">
        <f ca="1">IF(AND(B182="",NOT(A182="")),VLOOKUP(A182,TaskPlan!A:M,13,FALSE),"")</f>
        <v>39975</v>
      </c>
      <c r="I182" s="38" t="str">
        <f ca="1">IF(AND(B182="",NOT(A182="")),VLOOKUP(A182,TaskPlan!A:M,12,FALSE),"")</f>
        <v>Closed</v>
      </c>
      <c r="J182" s="39" t="str">
        <f ca="1">IF(AND(B182="",NOT(A182="")),VLOOKUP(A182,TaskPlan!A:L,2,FALSE),"")</f>
        <v>Friedel</v>
      </c>
      <c r="K182" s="39" t="str">
        <f ca="1">IF(AND(B182="",NOT(A182="")),IF(NOT(LEFT(VLOOKUP(A182,TaskPlan!A:L,3,FALSE),1) = "0"),VLOOKUP(A182,TaskPlan!A:L,3,FALSE),""),"")</f>
        <v/>
      </c>
      <c r="L182" s="55" t="str">
        <f ca="1">IF(AND(B182="",NOT(A182="")),IF(NOT(LEFT(VLOOKUP(A182,TaskPlan!A:L,3,FALSE),1) = "0"),VLOOKUP(A182,TaskPlan!A:M,4,FALSE),""),"")</f>
        <v/>
      </c>
      <c r="M182" s="58" t="str">
        <f ca="1">IF(B182=".",1,IF(AND(B182="",NOT(A182="")),IF(VLOOKUP(A182,TaskPlan!A:L,5,FALSE)&gt;0,VLOOKUP(A182,TaskPlan!A:L,5,FALSE),""),""))</f>
        <v/>
      </c>
      <c r="N182" s="1" t="str">
        <f ca="1">IF(ISNA(VLOOKUP(A182,Projects!B:B,1,FALSE)),"","Yes")</f>
        <v/>
      </c>
    </row>
    <row r="183" spans="1:14" hidden="1" outlineLevel="1">
      <c r="A183" s="43" t="s">
        <v>136</v>
      </c>
      <c r="C183" s="44" t="s">
        <v>135</v>
      </c>
      <c r="D183" s="1" t="s">
        <v>11</v>
      </c>
      <c r="E183" s="26">
        <v>39927</v>
      </c>
      <c r="H183" s="37">
        <f ca="1">IF(AND(B183="",NOT(A183="")),VLOOKUP(A183,TaskPlan!A:M,13,FALSE),"")</f>
        <v>39975</v>
      </c>
      <c r="I183" s="38" t="str">
        <f ca="1">IF(AND(B183="",NOT(A183="")),VLOOKUP(A183,TaskPlan!A:M,12,FALSE),"")</f>
        <v>Closed</v>
      </c>
      <c r="J183" s="39" t="str">
        <f ca="1">IF(AND(B183="",NOT(A183="")),VLOOKUP(A183,TaskPlan!A:L,2,FALSE),"")</f>
        <v>Pramendra</v>
      </c>
      <c r="K183" s="39" t="str">
        <f ca="1">IF(AND(B183="",NOT(A183="")),IF(NOT(LEFT(VLOOKUP(A183,TaskPlan!A:L,3,FALSE),1) = "0"),VLOOKUP(A183,TaskPlan!A:L,3,FALSE),""),"")</f>
        <v/>
      </c>
      <c r="L183" s="55" t="str">
        <f ca="1">IF(AND(B183="",NOT(A183="")),IF(NOT(LEFT(VLOOKUP(A183,TaskPlan!A:L,3,FALSE),1) = "0"),VLOOKUP(A183,TaskPlan!A:M,4,FALSE),""),"")</f>
        <v/>
      </c>
      <c r="M183" s="58" t="str">
        <f ca="1">IF(B183=".",1,IF(AND(B183="",NOT(A183="")),IF(VLOOKUP(A183,TaskPlan!A:L,5,FALSE)&gt;0,VLOOKUP(A183,TaskPlan!A:L,5,FALSE),""),""))</f>
        <v/>
      </c>
      <c r="N183" s="1" t="str">
        <f ca="1">IF(ISNA(VLOOKUP(A183,Projects!B:B,1,FALSE)),"","Yes")</f>
        <v/>
      </c>
    </row>
    <row r="184" spans="1:14" hidden="1" outlineLevel="1">
      <c r="A184" s="43" t="s">
        <v>220</v>
      </c>
      <c r="C184" s="44" t="s">
        <v>221</v>
      </c>
      <c r="D184" s="1" t="s">
        <v>11</v>
      </c>
      <c r="E184" s="26">
        <v>39960</v>
      </c>
      <c r="H184" s="37">
        <f ca="1">IF(AND(B184="",NOT(A184="")),VLOOKUP(A184,TaskPlan!A:M,13,FALSE),"")</f>
        <v>39960</v>
      </c>
      <c r="I184" s="38" t="str">
        <f ca="1">IF(AND(B184="",NOT(A184="")),VLOOKUP(A184,TaskPlan!A:M,12,FALSE),"")</f>
        <v>Closed</v>
      </c>
      <c r="J184" s="39" t="str">
        <f ca="1">IF(AND(B184="",NOT(A184="")),VLOOKUP(A184,TaskPlan!A:L,2,FALSE),"")</f>
        <v>Neil</v>
      </c>
      <c r="K184" s="39" t="str">
        <f ca="1">IF(AND(B184="",NOT(A184="")),IF(NOT(LEFT(VLOOKUP(A184,TaskPlan!A:L,3,FALSE),1) = "0"),VLOOKUP(A184,TaskPlan!A:L,3,FALSE),""),"")</f>
        <v/>
      </c>
      <c r="L184" s="55" t="str">
        <f ca="1">IF(AND(B184="",NOT(A184="")),IF(NOT(LEFT(VLOOKUP(A184,TaskPlan!A:L,3,FALSE),1) = "0"),VLOOKUP(A184,TaskPlan!A:M,4,FALSE),""),"")</f>
        <v/>
      </c>
      <c r="M184" s="58" t="str">
        <f ca="1">IF(B184=".",1,IF(AND(B184="",NOT(A184="")),IF(VLOOKUP(A184,TaskPlan!A:L,5,FALSE)&gt;0,VLOOKUP(A184,TaskPlan!A:L,5,FALSE),""),""))</f>
        <v/>
      </c>
      <c r="N184" s="1" t="str">
        <f ca="1">IF(ISNA(VLOOKUP(A184,Projects!B:B,1,FALSE)),"","Yes")</f>
        <v/>
      </c>
    </row>
    <row r="185" spans="1:14" hidden="1" outlineLevel="1">
      <c r="A185" s="43" t="s">
        <v>278</v>
      </c>
      <c r="C185" s="44" t="s">
        <v>222</v>
      </c>
      <c r="D185" s="1" t="s">
        <v>11</v>
      </c>
      <c r="E185" s="26">
        <v>39960</v>
      </c>
      <c r="H185" s="37">
        <f ca="1">IF(AND(B185="",NOT(A185="")),VLOOKUP(A185,TaskPlan!A:M,13,FALSE),"")</f>
        <v>39972</v>
      </c>
      <c r="I185" s="38" t="str">
        <f ca="1">IF(AND(B185="",NOT(A185="")),VLOOKUP(A185,TaskPlan!A:M,12,FALSE),"")</f>
        <v>Closed</v>
      </c>
      <c r="J185" s="39" t="str">
        <f ca="1">IF(AND(B185="",NOT(A185="")),VLOOKUP(A185,TaskPlan!A:L,2,FALSE),"")</f>
        <v>Pramendra</v>
      </c>
      <c r="K185" s="39" t="str">
        <f ca="1">IF(AND(B185="",NOT(A185="")),IF(NOT(LEFT(VLOOKUP(A185,TaskPlan!A:L,3,FALSE),1) = "0"),VLOOKUP(A185,TaskPlan!A:L,3,FALSE),""),"")</f>
        <v/>
      </c>
      <c r="L185" s="55" t="str">
        <f ca="1">IF(AND(B185="",NOT(A185="")),IF(NOT(LEFT(VLOOKUP(A185,TaskPlan!A:L,3,FALSE),1) = "0"),VLOOKUP(A185,TaskPlan!A:M,4,FALSE),""),"")</f>
        <v/>
      </c>
      <c r="M185" s="58" t="str">
        <f ca="1">IF(B185=".",1,IF(AND(B185="",NOT(A185="")),IF(VLOOKUP(A185,TaskPlan!A:L,5,FALSE)&gt;0,VLOOKUP(A185,TaskPlan!A:L,5,FALSE),""),""))</f>
        <v/>
      </c>
      <c r="N185" s="1" t="str">
        <f ca="1">IF(ISNA(VLOOKUP(A185,Projects!B:B,1,FALSE)),"","Yes")</f>
        <v/>
      </c>
    </row>
    <row r="186" spans="1:14" hidden="1" outlineLevel="1">
      <c r="A186" s="43" t="s">
        <v>279</v>
      </c>
      <c r="C186" s="44" t="s">
        <v>257</v>
      </c>
      <c r="D186" s="1" t="s">
        <v>11</v>
      </c>
      <c r="E186" s="26">
        <v>39975</v>
      </c>
      <c r="H186" s="37">
        <f ca="1">IF(AND(B186="",NOT(A186="")),VLOOKUP(A186,TaskPlan!A:M,13,FALSE),"")</f>
        <v>40008</v>
      </c>
      <c r="I186" s="38" t="str">
        <f ca="1">IF(AND(B186="",NOT(A186="")),VLOOKUP(A186,TaskPlan!A:M,12,FALSE),"")</f>
        <v>Closed</v>
      </c>
      <c r="J186" s="39" t="str">
        <f ca="1">IF(AND(B186="",NOT(A186="")),VLOOKUP(A186,TaskPlan!A:L,2,FALSE),"")</f>
        <v>Pramendra</v>
      </c>
      <c r="K186" s="39" t="str">
        <f ca="1">IF(AND(B186="",NOT(A186="")),IF(NOT(LEFT(VLOOKUP(A186,TaskPlan!A:L,3,FALSE),1) = "0"),VLOOKUP(A186,TaskPlan!A:L,3,FALSE),""),"")</f>
        <v/>
      </c>
      <c r="L186" s="55" t="str">
        <f ca="1">IF(AND(B186="",NOT(A186="")),IF(NOT(LEFT(VLOOKUP(A186,TaskPlan!A:L,3,FALSE),1) = "0"),VLOOKUP(A186,TaskPlan!A:M,4,FALSE),""),"")</f>
        <v/>
      </c>
      <c r="M186" s="58" t="str">
        <f ca="1">IF(B186=".",1,IF(AND(B186="",NOT(A186="")),IF(VLOOKUP(A186,TaskPlan!A:L,5,FALSE)&gt;0,VLOOKUP(A186,TaskPlan!A:L,5,FALSE),""),""))</f>
        <v/>
      </c>
      <c r="N186" s="1" t="str">
        <f ca="1">IF(ISNA(VLOOKUP(A186,Projects!B:B,1,FALSE)),"","Yes")</f>
        <v/>
      </c>
    </row>
    <row r="187" spans="1:14" hidden="1" outlineLevel="1">
      <c r="A187" s="43" t="s">
        <v>280</v>
      </c>
      <c r="C187" s="44" t="s">
        <v>258</v>
      </c>
      <c r="D187" s="1" t="s">
        <v>11</v>
      </c>
      <c r="E187" s="26">
        <v>39975</v>
      </c>
      <c r="H187" s="37">
        <f ca="1">IF(AND(B187="",NOT(A187="")),VLOOKUP(A187,TaskPlan!A:M,13,FALSE),"")</f>
        <v>40008</v>
      </c>
      <c r="I187" s="38" t="str">
        <f ca="1">IF(AND(B187="",NOT(A187="")),VLOOKUP(A187,TaskPlan!A:M,12,FALSE),"")</f>
        <v>Closed</v>
      </c>
      <c r="J187" s="39" t="str">
        <f ca="1">IF(AND(B187="",NOT(A187="")),VLOOKUP(A187,TaskPlan!A:L,2,FALSE),"")</f>
        <v>Pramendra</v>
      </c>
      <c r="K187" s="39" t="str">
        <f ca="1">IF(AND(B187="",NOT(A187="")),IF(NOT(LEFT(VLOOKUP(A187,TaskPlan!A:L,3,FALSE),1) = "0"),VLOOKUP(A187,TaskPlan!A:L,3,FALSE),""),"")</f>
        <v/>
      </c>
      <c r="L187" s="55" t="str">
        <f ca="1">IF(AND(B187="",NOT(A187="")),IF(NOT(LEFT(VLOOKUP(A187,TaskPlan!A:L,3,FALSE),1) = "0"),VLOOKUP(A187,TaskPlan!A:M,4,FALSE),""),"")</f>
        <v/>
      </c>
      <c r="M187" s="58" t="str">
        <f ca="1">IF(B187=".",1,IF(AND(B187="",NOT(A187="")),IF(VLOOKUP(A187,TaskPlan!A:L,5,FALSE)&gt;0,VLOOKUP(A187,TaskPlan!A:L,5,FALSE),""),""))</f>
        <v/>
      </c>
      <c r="N187" s="1" t="str">
        <f ca="1">IF(ISNA(VLOOKUP(A187,Projects!B:B,1,FALSE)),"","Yes")</f>
        <v/>
      </c>
    </row>
    <row r="188" spans="1:14" hidden="1" outlineLevel="1">
      <c r="A188" s="43" t="s">
        <v>317</v>
      </c>
      <c r="C188" s="44" t="s">
        <v>318</v>
      </c>
      <c r="D188" s="1" t="s">
        <v>11</v>
      </c>
      <c r="E188" s="26">
        <v>40008</v>
      </c>
      <c r="H188" s="37">
        <f ca="1">IF(AND(B188="",NOT(A188="")),VLOOKUP(A188,TaskPlan!A:M,13,FALSE),"")</f>
        <v>40025</v>
      </c>
      <c r="I188" s="38" t="str">
        <f ca="1">IF(AND(B188="",NOT(A188="")),VLOOKUP(A188,TaskPlan!A:M,12,FALSE),"")</f>
        <v>Closed</v>
      </c>
      <c r="J188" s="39" t="str">
        <f ca="1">IF(AND(B188="",NOT(A188="")),VLOOKUP(A188,TaskPlan!A:L,2,FALSE),"")</f>
        <v>Pramendra</v>
      </c>
      <c r="K188" s="39" t="str">
        <f ca="1">IF(AND(B188="",NOT(A188="")),IF(NOT(LEFT(VLOOKUP(A188,TaskPlan!A:L,3,FALSE),1) = "0"),VLOOKUP(A188,TaskPlan!A:L,3,FALSE),""),"")</f>
        <v/>
      </c>
      <c r="L188" s="55" t="str">
        <f ca="1">IF(AND(B188="",NOT(A188="")),IF(NOT(LEFT(VLOOKUP(A188,TaskPlan!A:L,3,FALSE),1) = "0"),VLOOKUP(A188,TaskPlan!A:M,4,FALSE),""),"")</f>
        <v/>
      </c>
      <c r="M188" s="58" t="str">
        <f ca="1">IF(B188=".",1,IF(AND(B188="",NOT(A188="")),IF(VLOOKUP(A188,TaskPlan!A:L,5,FALSE)&gt;0,VLOOKUP(A188,TaskPlan!A:L,5,FALSE),""),""))</f>
        <v/>
      </c>
      <c r="N188" s="1" t="str">
        <f ca="1">IF(ISNA(VLOOKUP(A188,Projects!B:B,1,FALSE)),"","Yes")</f>
        <v/>
      </c>
    </row>
    <row r="189" spans="1:14" hidden="1" outlineLevel="1">
      <c r="A189" s="43" t="s">
        <v>320</v>
      </c>
      <c r="C189" s="44" t="s">
        <v>321</v>
      </c>
      <c r="D189" s="1" t="s">
        <v>11</v>
      </c>
      <c r="E189" s="26">
        <v>40008</v>
      </c>
      <c r="H189" s="37">
        <f ca="1">IF(AND(B189="",NOT(A189="")),VLOOKUP(A189,TaskPlan!A:M,13,FALSE),"")</f>
        <v>40025</v>
      </c>
      <c r="I189" s="38" t="str">
        <f ca="1">IF(AND(B189="",NOT(A189="")),VLOOKUP(A189,TaskPlan!A:M,12,FALSE),"")</f>
        <v>Closed</v>
      </c>
      <c r="J189" s="39" t="str">
        <f ca="1">IF(AND(B189="",NOT(A189="")),VLOOKUP(A189,TaskPlan!A:L,2,FALSE),"")</f>
        <v>Pramendra</v>
      </c>
      <c r="K189" s="39" t="str">
        <f ca="1">IF(AND(B189="",NOT(A189="")),IF(NOT(LEFT(VLOOKUP(A189,TaskPlan!A:L,3,FALSE),1) = "0"),VLOOKUP(A189,TaskPlan!A:L,3,FALSE),""),"")</f>
        <v/>
      </c>
      <c r="L189" s="55" t="str">
        <f ca="1">IF(AND(B189="",NOT(A189="")),IF(NOT(LEFT(VLOOKUP(A189,TaskPlan!A:L,3,FALSE),1) = "0"),VLOOKUP(A189,TaskPlan!A:M,4,FALSE),""),"")</f>
        <v/>
      </c>
      <c r="M189" s="58" t="str">
        <f ca="1">IF(B189=".",1,IF(AND(B189="",NOT(A189="")),IF(VLOOKUP(A189,TaskPlan!A:L,5,FALSE)&gt;0,VLOOKUP(A189,TaskPlan!A:L,5,FALSE),""),""))</f>
        <v/>
      </c>
      <c r="N189" s="1" t="str">
        <f ca="1">IF(ISNA(VLOOKUP(A189,Projects!B:B,1,FALSE)),"","Yes")</f>
        <v/>
      </c>
    </row>
    <row r="190" spans="1:14" hidden="1" outlineLevel="1">
      <c r="A190" s="41" t="s">
        <v>109</v>
      </c>
      <c r="C190" s="44" t="s">
        <v>63</v>
      </c>
      <c r="D190" s="1" t="s">
        <v>11</v>
      </c>
      <c r="E190" s="26">
        <v>39924</v>
      </c>
      <c r="H190" s="37">
        <f ca="1">IF(AND(B190="",NOT(A190="")),VLOOKUP(A190,TaskPlan!A:M,13,FALSE),"")</f>
        <v>40532</v>
      </c>
      <c r="I190" s="38" t="str">
        <f ca="1">IF(AND(B190="",NOT(A190="")),VLOOKUP(A190,TaskPlan!A:M,12,FALSE),"")</f>
        <v>Closed</v>
      </c>
      <c r="J190" s="39" t="str">
        <f ca="1">IF(AND(B190="",NOT(A190="")),VLOOKUP(A190,TaskPlan!A:L,2,FALSE),"")</f>
        <v>Ruth</v>
      </c>
      <c r="K190" s="39" t="str">
        <f ca="1">IF(AND(B190="",NOT(A190="")),IF(NOT(LEFT(VLOOKUP(A190,TaskPlan!A:L,3,FALSE),1) = "0"),VLOOKUP(A190,TaskPlan!A:L,3,FALSE),""),"")</f>
        <v/>
      </c>
      <c r="L190" s="55" t="str">
        <f ca="1">IF(AND(B190="",NOT(A190="")),IF(NOT(LEFT(VLOOKUP(A190,TaskPlan!A:L,3,FALSE),1) = "0"),VLOOKUP(A190,TaskPlan!A:M,4,FALSE),""),"")</f>
        <v/>
      </c>
      <c r="M190" s="58" t="str">
        <f ca="1">IF(B190=".",1,IF(AND(B190="",NOT(A190="")),IF(VLOOKUP(A190,TaskPlan!A:L,5,FALSE)&gt;0,VLOOKUP(A190,TaskPlan!A:L,5,FALSE),""),""))</f>
        <v/>
      </c>
      <c r="N190" s="1" t="str">
        <f ca="1">IF(ISNA(VLOOKUP(A190,Projects!B:B,1,FALSE)),"","Yes")</f>
        <v/>
      </c>
    </row>
    <row r="191" spans="1:14" hidden="1" outlineLevel="1">
      <c r="A191" s="41" t="s">
        <v>110</v>
      </c>
      <c r="C191" s="44" t="s">
        <v>64</v>
      </c>
      <c r="D191" s="1" t="s">
        <v>11</v>
      </c>
      <c r="E191" s="26">
        <v>39924</v>
      </c>
      <c r="H191" s="37">
        <f ca="1">IF(AND(B191="",NOT(A191="")),VLOOKUP(A191,TaskPlan!A:M,13,FALSE),"")</f>
        <v>40532</v>
      </c>
      <c r="I191" s="38" t="str">
        <f ca="1">IF(AND(B191="",NOT(A191="")),VLOOKUP(A191,TaskPlan!A:M,12,FALSE),"")</f>
        <v>Closed</v>
      </c>
      <c r="J191" s="39" t="str">
        <f ca="1">IF(AND(B191="",NOT(A191="")),VLOOKUP(A191,TaskPlan!A:L,2,FALSE),"")</f>
        <v>Ruth</v>
      </c>
      <c r="K191" s="39" t="str">
        <f ca="1">IF(AND(B191="",NOT(A191="")),IF(NOT(LEFT(VLOOKUP(A191,TaskPlan!A:L,3,FALSE),1) = "0"),VLOOKUP(A191,TaskPlan!A:L,3,FALSE),""),"")</f>
        <v/>
      </c>
      <c r="L191" s="55" t="str">
        <f ca="1">IF(AND(B191="",NOT(A191="")),IF(NOT(LEFT(VLOOKUP(A191,TaskPlan!A:L,3,FALSE),1) = "0"),VLOOKUP(A191,TaskPlan!A:M,4,FALSE),""),"")</f>
        <v/>
      </c>
      <c r="M191" s="58" t="str">
        <f ca="1">IF(B191=".",1,IF(AND(B191="",NOT(A191="")),IF(VLOOKUP(A191,TaskPlan!A:L,5,FALSE)&gt;0,VLOOKUP(A191,TaskPlan!A:L,5,FALSE),""),""))</f>
        <v/>
      </c>
      <c r="N191" s="1" t="str">
        <f ca="1">IF(ISNA(VLOOKUP(A191,Projects!B:B,1,FALSE)),"","Yes")</f>
        <v/>
      </c>
    </row>
    <row r="192" spans="1:14" hidden="1" outlineLevel="1">
      <c r="A192" s="41" t="s">
        <v>127</v>
      </c>
      <c r="B192" s="7" t="s">
        <v>15</v>
      </c>
      <c r="C192" s="45" t="s">
        <v>227</v>
      </c>
      <c r="E192" s="26"/>
      <c r="H192" s="37" t="str">
        <f ca="1">IF(AND(B192="",NOT(A192="")),VLOOKUP(A192,TaskPlan!A:M,13,FALSE),"")</f>
        <v/>
      </c>
      <c r="I192" s="38" t="str">
        <f ca="1">IF(AND(B192="",NOT(A192="")),VLOOKUP(A192,TaskPlan!A:M,12,FALSE),"")</f>
        <v/>
      </c>
      <c r="J192" s="39" t="str">
        <f ca="1">IF(AND(B192="",NOT(A192="")),VLOOKUP(A192,TaskPlan!A:L,2,FALSE),"")</f>
        <v/>
      </c>
      <c r="K192" s="39" t="str">
        <f ca="1">IF(AND(B192="",NOT(A192="")),IF(NOT(LEFT(VLOOKUP(A192,TaskPlan!A:L,3,FALSE),1) = "0"),VLOOKUP(A192,TaskPlan!A:L,3,FALSE),""),"")</f>
        <v/>
      </c>
      <c r="L192" s="55" t="str">
        <f ca="1">IF(AND(B192="",NOT(A192="")),IF(NOT(LEFT(VLOOKUP(A192,TaskPlan!A:L,3,FALSE),1) = "0"),VLOOKUP(A192,TaskPlan!A:M,4,FALSE),""),"")</f>
        <v/>
      </c>
      <c r="N192" s="1" t="str">
        <f ca="1">IF(ISNA(VLOOKUP(A192,Projects!B:B,1,FALSE)),"","Yes")</f>
        <v/>
      </c>
    </row>
    <row r="193" spans="1:14" hidden="1" outlineLevel="1">
      <c r="A193" s="43" t="s">
        <v>226</v>
      </c>
      <c r="C193" s="44" t="s">
        <v>231</v>
      </c>
      <c r="D193" s="1" t="s">
        <v>11</v>
      </c>
      <c r="E193" s="26">
        <v>39960</v>
      </c>
      <c r="H193" s="37">
        <f ca="1">IF(AND(B193="",NOT(A193="")),VLOOKUP(A193,TaskPlan!A:M,13,FALSE),"")</f>
        <v>39972</v>
      </c>
      <c r="I193" s="38" t="str">
        <f ca="1">IF(AND(B193="",NOT(A193="")),VLOOKUP(A193,TaskPlan!A:M,12,FALSE),"")</f>
        <v>Closed</v>
      </c>
      <c r="J193" s="39" t="str">
        <f ca="1">IF(AND(B193="",NOT(A193="")),VLOOKUP(A193,TaskPlan!A:L,2,FALSE),"")</f>
        <v>Ruth</v>
      </c>
      <c r="K193" s="39" t="str">
        <f ca="1">IF(AND(B193="",NOT(A193="")),IF(NOT(LEFT(VLOOKUP(A193,TaskPlan!A:L,3,FALSE),1) = "0"),VLOOKUP(A193,TaskPlan!A:L,3,FALSE),""),"")</f>
        <v/>
      </c>
      <c r="L193" s="55" t="str">
        <f ca="1">IF(AND(B193="",NOT(A193="")),IF(NOT(LEFT(VLOOKUP(A193,TaskPlan!A:L,3,FALSE),1) = "0"),VLOOKUP(A193,TaskPlan!A:M,4,FALSE),""),"")</f>
        <v/>
      </c>
      <c r="M193" s="58" t="str">
        <f ca="1">IF(B193=".",1,IF(AND(B193="",NOT(A193="")),IF(VLOOKUP(A193,TaskPlan!A:L,5,FALSE)&gt;0,VLOOKUP(A193,TaskPlan!A:L,5,FALSE),""),""))</f>
        <v/>
      </c>
      <c r="N193" s="1" t="str">
        <f ca="1">IF(ISNA(VLOOKUP(A193,Projects!B:B,1,FALSE)),"","Yes")</f>
        <v/>
      </c>
    </row>
    <row r="194" spans="1:14" ht="25.5" hidden="1" outlineLevel="1">
      <c r="A194" s="43" t="s">
        <v>228</v>
      </c>
      <c r="C194" s="44" t="s">
        <v>230</v>
      </c>
      <c r="D194" s="1" t="s">
        <v>11</v>
      </c>
      <c r="E194" s="26">
        <v>39960</v>
      </c>
      <c r="H194" s="37">
        <f ca="1">IF(AND(B194="",NOT(A194="")),VLOOKUP(A194,TaskPlan!A:M,13,FALSE),"")</f>
        <v>39972</v>
      </c>
      <c r="I194" s="38" t="str">
        <f ca="1">IF(AND(B194="",NOT(A194="")),VLOOKUP(A194,TaskPlan!A:M,12,FALSE),"")</f>
        <v>Closed</v>
      </c>
      <c r="J194" s="39" t="str">
        <f ca="1">IF(AND(B194="",NOT(A194="")),VLOOKUP(A194,TaskPlan!A:L,2,FALSE),"")</f>
        <v>Ruth</v>
      </c>
      <c r="K194" s="39" t="str">
        <f ca="1">IF(AND(B194="",NOT(A194="")),IF(NOT(LEFT(VLOOKUP(A194,TaskPlan!A:L,3,FALSE),1) = "0"),VLOOKUP(A194,TaskPlan!A:L,3,FALSE),""),"")</f>
        <v/>
      </c>
      <c r="L194" s="55" t="str">
        <f ca="1">IF(AND(B194="",NOT(A194="")),IF(NOT(LEFT(VLOOKUP(A194,TaskPlan!A:L,3,FALSE),1) = "0"),VLOOKUP(A194,TaskPlan!A:M,4,FALSE),""),"")</f>
        <v/>
      </c>
      <c r="M194" s="58" t="str">
        <f ca="1">IF(B194=".",1,IF(AND(B194="",NOT(A194="")),IF(VLOOKUP(A194,TaskPlan!A:L,5,FALSE)&gt;0,VLOOKUP(A194,TaskPlan!A:L,5,FALSE),""),""))</f>
        <v/>
      </c>
      <c r="N194" s="1" t="str">
        <f ca="1">IF(ISNA(VLOOKUP(A194,Projects!B:B,1,FALSE)),"","Yes")</f>
        <v/>
      </c>
    </row>
    <row r="195" spans="1:14" hidden="1" outlineLevel="1">
      <c r="A195" s="43" t="s">
        <v>250</v>
      </c>
      <c r="C195" s="44" t="s">
        <v>1062</v>
      </c>
      <c r="D195" s="1" t="s">
        <v>20</v>
      </c>
      <c r="E195" s="26">
        <v>40283</v>
      </c>
      <c r="F195" s="25">
        <v>5</v>
      </c>
      <c r="G195" s="28" t="s">
        <v>1099</v>
      </c>
      <c r="H195" s="37">
        <f ca="1">IF(AND(B195="",NOT(A195="")),VLOOKUP(A195,TaskPlan!A:M,13,FALSE),"")</f>
        <v>40394</v>
      </c>
      <c r="I195" s="38" t="str">
        <f ca="1">IF(AND(B195="",NOT(A195="")),VLOOKUP(A195,TaskPlan!A:M,12,FALSE),"")</f>
        <v>Cancelled</v>
      </c>
      <c r="J195" s="39" t="str">
        <f ca="1">IF(AND(B195="",NOT(A195="")),VLOOKUP(A195,TaskPlan!A:L,2,FALSE),"")</f>
        <v>Paresh</v>
      </c>
      <c r="K195" s="39" t="str">
        <f ca="1">IF(AND(B195="",NOT(A195="")),IF(NOT(LEFT(VLOOKUP(A195,TaskPlan!A:L,3,FALSE),1) = "0"),VLOOKUP(A195,TaskPlan!A:L,3,FALSE),""),"")</f>
        <v/>
      </c>
      <c r="L195" s="55" t="str">
        <f ca="1">IF(AND(B195="",NOT(A195="")),IF(NOT(LEFT(VLOOKUP(A195,TaskPlan!A:L,3,FALSE),1) = "0"),VLOOKUP(A195,TaskPlan!A:M,4,FALSE),""),"")</f>
        <v/>
      </c>
      <c r="M195" s="58" t="str">
        <f ca="1">IF(B195=".",1,IF(AND(B195="",NOT(A195="")),IF(VLOOKUP(A195,TaskPlan!A:L,5,FALSE)&gt;0,VLOOKUP(A195,TaskPlan!A:L,5,FALSE),""),""))</f>
        <v/>
      </c>
      <c r="N195" s="1" t="str">
        <f ca="1">IF(ISNA(VLOOKUP(A195,Projects!B:B,1,FALSE)),"","Yes")</f>
        <v/>
      </c>
    </row>
    <row r="196" spans="1:14" hidden="1" outlineLevel="1">
      <c r="A196" s="43" t="s">
        <v>261</v>
      </c>
      <c r="C196" s="44" t="s">
        <v>262</v>
      </c>
      <c r="D196" s="1" t="s">
        <v>11</v>
      </c>
      <c r="E196" s="26">
        <v>39975</v>
      </c>
      <c r="H196" s="37">
        <f ca="1">IF(AND(B196="",NOT(A196="")),VLOOKUP(A196,TaskPlan!A:M,13,FALSE),"")</f>
        <v>40008</v>
      </c>
      <c r="I196" s="38" t="str">
        <f ca="1">IF(AND(B196="",NOT(A196="")),VLOOKUP(A196,TaskPlan!A:M,12,FALSE),"")</f>
        <v>Closed</v>
      </c>
      <c r="J196" s="39" t="str">
        <f ca="1">IF(AND(B196="",NOT(A196="")),VLOOKUP(A196,TaskPlan!A:L,2,FALSE),"")</f>
        <v>Ruth</v>
      </c>
      <c r="K196" s="39" t="str">
        <f ca="1">IF(AND(B196="",NOT(A196="")),IF(NOT(LEFT(VLOOKUP(A196,TaskPlan!A:L,3,FALSE),1) = "0"),VLOOKUP(A196,TaskPlan!A:L,3,FALSE),""),"")</f>
        <v/>
      </c>
      <c r="L196" s="55" t="str">
        <f ca="1">IF(AND(B196="",NOT(A196="")),IF(NOT(LEFT(VLOOKUP(A196,TaskPlan!A:L,3,FALSE),1) = "0"),VLOOKUP(A196,TaskPlan!A:M,4,FALSE),""),"")</f>
        <v/>
      </c>
      <c r="M196" s="58" t="str">
        <f ca="1">IF(B196=".",1,IF(AND(B196="",NOT(A196="")),IF(VLOOKUP(A196,TaskPlan!A:L,5,FALSE)&gt;0,VLOOKUP(A196,TaskPlan!A:L,5,FALSE),""),""))</f>
        <v/>
      </c>
      <c r="N196" s="1" t="str">
        <f ca="1">IF(ISNA(VLOOKUP(A196,Projects!B:B,1,FALSE)),"","Yes")</f>
        <v/>
      </c>
    </row>
    <row r="197" spans="1:14" hidden="1" outlineLevel="1">
      <c r="A197" s="43" t="s">
        <v>323</v>
      </c>
      <c r="C197" s="44" t="s">
        <v>322</v>
      </c>
      <c r="D197" s="1" t="s">
        <v>11</v>
      </c>
      <c r="E197" s="26">
        <v>40008</v>
      </c>
      <c r="H197" s="37">
        <f ca="1">IF(AND(B197="",NOT(A197="")),VLOOKUP(A197,TaskPlan!A:M,13,FALSE),"")</f>
        <v>40025</v>
      </c>
      <c r="I197" s="38" t="str">
        <f ca="1">IF(AND(B197="",NOT(A197="")),VLOOKUP(A197,TaskPlan!A:M,12,FALSE),"")</f>
        <v>Closed</v>
      </c>
      <c r="J197" s="39" t="str">
        <f ca="1">IF(AND(B197="",NOT(A197="")),VLOOKUP(A197,TaskPlan!A:L,2,FALSE),"")</f>
        <v>Pramendra</v>
      </c>
      <c r="K197" s="39" t="str">
        <f ca="1">IF(AND(B197="",NOT(A197="")),IF(NOT(LEFT(VLOOKUP(A197,TaskPlan!A:L,3,FALSE),1) = "0"),VLOOKUP(A197,TaskPlan!A:L,3,FALSE),""),"")</f>
        <v/>
      </c>
      <c r="L197" s="55" t="str">
        <f ca="1">IF(AND(B197="",NOT(A197="")),IF(NOT(LEFT(VLOOKUP(A197,TaskPlan!A:L,3,FALSE),1) = "0"),VLOOKUP(A197,TaskPlan!A:M,4,FALSE),""),"")</f>
        <v/>
      </c>
      <c r="M197" s="58" t="str">
        <f ca="1">IF(B197=".",1,IF(AND(B197="",NOT(A197="")),IF(VLOOKUP(A197,TaskPlan!A:L,5,FALSE)&gt;0,VLOOKUP(A197,TaskPlan!A:L,5,FALSE),""),""))</f>
        <v/>
      </c>
      <c r="N197" s="1" t="str">
        <f ca="1">IF(ISNA(VLOOKUP(A197,Projects!B:B,1,FALSE)),"","Yes")</f>
        <v/>
      </c>
    </row>
    <row r="198" spans="1:14" hidden="1" outlineLevel="1">
      <c r="A198" s="43" t="s">
        <v>371</v>
      </c>
      <c r="C198" s="44" t="s">
        <v>372</v>
      </c>
      <c r="D198" s="1" t="s">
        <v>11</v>
      </c>
      <c r="E198" s="26">
        <v>40028</v>
      </c>
      <c r="H198" s="37">
        <f ca="1">IF(AND(B198="",NOT(A198="")),VLOOKUP(A198,TaskPlan!A:M,13,FALSE),"")</f>
        <v>40086</v>
      </c>
      <c r="I198" s="38" t="str">
        <f ca="1">IF(AND(B198="",NOT(A198="")),VLOOKUP(A198,TaskPlan!A:M,12,FALSE),"")</f>
        <v>Closed</v>
      </c>
      <c r="J198" s="39" t="str">
        <f ca="1">IF(AND(B198="",NOT(A198="")),VLOOKUP(A198,TaskPlan!A:L,2,FALSE),"")</f>
        <v>Pramendra</v>
      </c>
      <c r="K198" s="39" t="str">
        <f ca="1">IF(AND(B198="",NOT(A198="")),IF(NOT(LEFT(VLOOKUP(A198,TaskPlan!A:L,3,FALSE),1) = "0"),VLOOKUP(A198,TaskPlan!A:L,3,FALSE),""),"")</f>
        <v/>
      </c>
      <c r="L198" s="55" t="str">
        <f ca="1">IF(AND(B198="",NOT(A198="")),IF(NOT(LEFT(VLOOKUP(A198,TaskPlan!A:L,3,FALSE),1) = "0"),VLOOKUP(A198,TaskPlan!A:M,4,FALSE),""),"")</f>
        <v/>
      </c>
      <c r="M198" s="58" t="str">
        <f ca="1">IF(B198=".",1,IF(AND(B198="",NOT(A198="")),IF(VLOOKUP(A198,TaskPlan!A:L,5,FALSE)&gt;0,VLOOKUP(A198,TaskPlan!A:L,5,FALSE),""),""))</f>
        <v/>
      </c>
      <c r="N198" s="1" t="str">
        <f ca="1">IF(ISNA(VLOOKUP(A198,Projects!B:B,1,FALSE)),"","Yes")</f>
        <v/>
      </c>
    </row>
    <row r="199" spans="1:14" hidden="1" outlineLevel="1">
      <c r="A199" s="43" t="s">
        <v>629</v>
      </c>
      <c r="C199" s="44" t="s">
        <v>630</v>
      </c>
      <c r="D199" s="1" t="s">
        <v>11</v>
      </c>
      <c r="E199" s="26">
        <v>40114</v>
      </c>
      <c r="F199" s="25">
        <v>2</v>
      </c>
      <c r="G199" s="28" t="s">
        <v>1099</v>
      </c>
      <c r="H199" s="37">
        <f ca="1">IF(AND(B199="",NOT(A199="")),VLOOKUP(A199,TaskPlan!A:M,13,FALSE),"")</f>
        <v>40283</v>
      </c>
      <c r="I199" s="38" t="str">
        <f ca="1">IF(AND(B199="",NOT(A199="")),VLOOKUP(A199,TaskPlan!A:M,12,FALSE),"")</f>
        <v>Not Started</v>
      </c>
      <c r="J199" s="39" t="str">
        <f ca="1">IF(AND(B199="",NOT(A199="")),VLOOKUP(A199,TaskPlan!A:L,2,FALSE),"")</f>
        <v>Unassigned</v>
      </c>
      <c r="K199" s="39" t="str">
        <f ca="1">IF(AND(B199="",NOT(A199="")),IF(NOT(LEFT(VLOOKUP(A199,TaskPlan!A:L,3,FALSE),1) = "0"),VLOOKUP(A199,TaskPlan!A:L,3,FALSE),""),"")</f>
        <v>1-LOW</v>
      </c>
      <c r="L199" s="55">
        <f ca="1">IF(AND(B199="",NOT(A199="")),IF(NOT(LEFT(VLOOKUP(A199,TaskPlan!A:L,3,FALSE),1) = "0"),VLOOKUP(A199,TaskPlan!A:M,4,FALSE),""),"")</f>
        <v>0</v>
      </c>
      <c r="M199" s="58" t="str">
        <f ca="1">IF(B199=".",1,IF(AND(B199="",NOT(A199="")),IF(VLOOKUP(A199,TaskPlan!A:L,5,FALSE)&gt;0,VLOOKUP(A199,TaskPlan!A:L,5,FALSE),""),""))</f>
        <v/>
      </c>
      <c r="N199" s="1" t="str">
        <f ca="1">IF(ISNA(VLOOKUP(A199,Projects!B:B,1,FALSE)),"","Yes")</f>
        <v/>
      </c>
    </row>
    <row r="200" spans="1:14" hidden="1" outlineLevel="1">
      <c r="A200" s="43" t="s">
        <v>141</v>
      </c>
      <c r="B200" s="7" t="s">
        <v>15</v>
      </c>
      <c r="C200" s="45" t="s">
        <v>142</v>
      </c>
      <c r="E200" s="26"/>
      <c r="H200" s="37" t="str">
        <f ca="1">IF(AND(B200="",NOT(A200="")),VLOOKUP(A200,TaskPlan!A:M,13,FALSE),"")</f>
        <v/>
      </c>
      <c r="I200" s="38" t="str">
        <f ca="1">IF(AND(B200="",NOT(A200="")),VLOOKUP(A200,TaskPlan!A:M,12,FALSE),"")</f>
        <v/>
      </c>
      <c r="J200" s="39" t="str">
        <f ca="1">IF(AND(B200="",NOT(A200="")),VLOOKUP(A200,TaskPlan!A:L,2,FALSE),"")</f>
        <v/>
      </c>
      <c r="K200" s="39" t="str">
        <f ca="1">IF(AND(B200="",NOT(A200="")),IF(NOT(LEFT(VLOOKUP(A200,TaskPlan!A:L,3,FALSE),1) = "0"),VLOOKUP(A200,TaskPlan!A:L,3,FALSE),""),"")</f>
        <v/>
      </c>
      <c r="L200" s="55" t="str">
        <f ca="1">IF(AND(B200="",NOT(A200="")),IF(NOT(LEFT(VLOOKUP(A200,TaskPlan!A:L,3,FALSE),1) = "0"),VLOOKUP(A200,TaskPlan!A:M,4,FALSE),""),"")</f>
        <v/>
      </c>
      <c r="N200" s="1" t="str">
        <f ca="1">IF(ISNA(VLOOKUP(A200,Projects!B:B,1,FALSE)),"","Yes")</f>
        <v/>
      </c>
    </row>
    <row r="201" spans="1:14" hidden="1" outlineLevel="1">
      <c r="A201" s="43" t="s">
        <v>160</v>
      </c>
      <c r="C201" s="44" t="s">
        <v>177</v>
      </c>
      <c r="D201" s="7" t="s">
        <v>11</v>
      </c>
      <c r="E201" s="26">
        <v>39945</v>
      </c>
      <c r="H201" s="37">
        <f ca="1">IF(AND(B201="",NOT(A201="")),VLOOKUP(A201,TaskPlan!A:M,13,FALSE),"")</f>
        <v>39966</v>
      </c>
      <c r="I201" s="38" t="str">
        <f ca="1">IF(AND(B201="",NOT(A201="")),VLOOKUP(A201,TaskPlan!A:M,12,FALSE),"")</f>
        <v>Closed</v>
      </c>
      <c r="J201" s="39" t="str">
        <f ca="1">IF(AND(B201="",NOT(A201="")),VLOOKUP(A201,TaskPlan!A:L,2,FALSE),"")</f>
        <v>Pramendra</v>
      </c>
      <c r="K201" s="39" t="str">
        <f ca="1">IF(AND(B201="",NOT(A201="")),IF(NOT(LEFT(VLOOKUP(A201,TaskPlan!A:L,3,FALSE),1) = "0"),VLOOKUP(A201,TaskPlan!A:L,3,FALSE),""),"")</f>
        <v/>
      </c>
      <c r="L201" s="55" t="str">
        <f ca="1">IF(AND(B201="",NOT(A201="")),IF(NOT(LEFT(VLOOKUP(A201,TaskPlan!A:L,3,FALSE),1) = "0"),VLOOKUP(A201,TaskPlan!A:M,4,FALSE),""),"")</f>
        <v/>
      </c>
      <c r="M201" s="58" t="str">
        <f ca="1">IF(B201=".",1,IF(AND(B201="",NOT(A201="")),IF(VLOOKUP(A201,TaskPlan!A:L,5,FALSE)&gt;0,VLOOKUP(A201,TaskPlan!A:L,5,FALSE),""),""))</f>
        <v/>
      </c>
      <c r="N201" s="1" t="str">
        <f ca="1">IF(ISNA(VLOOKUP(A201,Projects!B:B,1,FALSE)),"","Yes")</f>
        <v/>
      </c>
    </row>
    <row r="202" spans="1:14" hidden="1" outlineLevel="1">
      <c r="A202" s="43" t="s">
        <v>161</v>
      </c>
      <c r="C202" s="44" t="s">
        <v>260</v>
      </c>
      <c r="D202" s="7" t="s">
        <v>11</v>
      </c>
      <c r="E202" s="26">
        <v>39975</v>
      </c>
      <c r="H202" s="37">
        <f ca="1">IF(AND(B202="",NOT(A202="")),VLOOKUP(A202,TaskPlan!A:M,13,FALSE),"")</f>
        <v>39983</v>
      </c>
      <c r="I202" s="38" t="str">
        <f ca="1">IF(AND(B202="",NOT(A202="")),VLOOKUP(A202,TaskPlan!A:M,12,FALSE),"")</f>
        <v>Closed</v>
      </c>
      <c r="J202" s="39" t="str">
        <f ca="1">IF(AND(B202="",NOT(A202="")),VLOOKUP(A202,TaskPlan!A:L,2,FALSE),"")</f>
        <v>Ruth</v>
      </c>
      <c r="K202" s="39" t="str">
        <f ca="1">IF(AND(B202="",NOT(A202="")),IF(NOT(LEFT(VLOOKUP(A202,TaskPlan!A:L,3,FALSE),1) = "0"),VLOOKUP(A202,TaskPlan!A:L,3,FALSE),""),"")</f>
        <v/>
      </c>
      <c r="L202" s="55" t="str">
        <f ca="1">IF(AND(B202="",NOT(A202="")),IF(NOT(LEFT(VLOOKUP(A202,TaskPlan!A:L,3,FALSE),1) = "0"),VLOOKUP(A202,TaskPlan!A:M,4,FALSE),""),"")</f>
        <v/>
      </c>
      <c r="M202" s="58" t="str">
        <f ca="1">IF(B202=".",1,IF(AND(B202="",NOT(A202="")),IF(VLOOKUP(A202,TaskPlan!A:L,5,FALSE)&gt;0,VLOOKUP(A202,TaskPlan!A:L,5,FALSE),""),""))</f>
        <v/>
      </c>
      <c r="N202" s="1" t="str">
        <f ca="1">IF(ISNA(VLOOKUP(A202,Projects!B:B,1,FALSE)),"","Yes")</f>
        <v/>
      </c>
    </row>
    <row r="203" spans="1:14" hidden="1" outlineLevel="1">
      <c r="A203" s="43" t="s">
        <v>162</v>
      </c>
      <c r="C203" s="44" t="s">
        <v>178</v>
      </c>
      <c r="D203" s="7" t="s">
        <v>11</v>
      </c>
      <c r="E203" s="26">
        <v>39975</v>
      </c>
      <c r="H203" s="37">
        <f ca="1">IF(AND(B203="",NOT(A203="")),VLOOKUP(A203,TaskPlan!A:M,13,FALSE),"")</f>
        <v>39983</v>
      </c>
      <c r="I203" s="38" t="str">
        <f ca="1">IF(AND(B203="",NOT(A203="")),VLOOKUP(A203,TaskPlan!A:M,12,FALSE),"")</f>
        <v>Closed</v>
      </c>
      <c r="J203" s="39" t="str">
        <f ca="1">IF(AND(B203="",NOT(A203="")),VLOOKUP(A203,TaskPlan!A:L,2,FALSE),"")</f>
        <v>Pramendra</v>
      </c>
      <c r="K203" s="39" t="str">
        <f ca="1">IF(AND(B203="",NOT(A203="")),IF(NOT(LEFT(VLOOKUP(A203,TaskPlan!A:L,3,FALSE),1) = "0"),VLOOKUP(A203,TaskPlan!A:L,3,FALSE),""),"")</f>
        <v/>
      </c>
      <c r="L203" s="55" t="str">
        <f ca="1">IF(AND(B203="",NOT(A203="")),IF(NOT(LEFT(VLOOKUP(A203,TaskPlan!A:L,3,FALSE),1) = "0"),VLOOKUP(A203,TaskPlan!A:M,4,FALSE),""),"")</f>
        <v/>
      </c>
      <c r="M203" s="58" t="str">
        <f ca="1">IF(B203=".",1,IF(AND(B203="",NOT(A203="")),IF(VLOOKUP(A203,TaskPlan!A:L,5,FALSE)&gt;0,VLOOKUP(A203,TaskPlan!A:L,5,FALSE),""),""))</f>
        <v/>
      </c>
      <c r="N203" s="1" t="str">
        <f ca="1">IF(ISNA(VLOOKUP(A203,Projects!B:B,1,FALSE)),"","Yes")</f>
        <v/>
      </c>
    </row>
    <row r="204" spans="1:14" hidden="1" outlineLevel="1">
      <c r="A204" s="43" t="s">
        <v>163</v>
      </c>
      <c r="C204" s="44" t="s">
        <v>179</v>
      </c>
      <c r="D204" s="7" t="s">
        <v>11</v>
      </c>
      <c r="E204" s="26">
        <v>39945</v>
      </c>
      <c r="H204" s="37">
        <f ca="1">IF(AND(B204="",NOT(A204="")),VLOOKUP(A204,TaskPlan!A:M,13,FALSE),"")</f>
        <v>39983</v>
      </c>
      <c r="I204" s="38" t="str">
        <f ca="1">IF(AND(B204="",NOT(A204="")),VLOOKUP(A204,TaskPlan!A:M,12,FALSE),"")</f>
        <v>Closed</v>
      </c>
      <c r="J204" s="39" t="str">
        <f ca="1">IF(AND(B204="",NOT(A204="")),VLOOKUP(A204,TaskPlan!A:L,2,FALSE),"")</f>
        <v>Ruth</v>
      </c>
      <c r="K204" s="39" t="str">
        <f ca="1">IF(AND(B204="",NOT(A204="")),IF(NOT(LEFT(VLOOKUP(A204,TaskPlan!A:L,3,FALSE),1) = "0"),VLOOKUP(A204,TaskPlan!A:L,3,FALSE),""),"")</f>
        <v/>
      </c>
      <c r="L204" s="55" t="str">
        <f ca="1">IF(AND(B204="",NOT(A204="")),IF(NOT(LEFT(VLOOKUP(A204,TaskPlan!A:L,3,FALSE),1) = "0"),VLOOKUP(A204,TaskPlan!A:M,4,FALSE),""),"")</f>
        <v/>
      </c>
      <c r="M204" s="58" t="str">
        <f ca="1">IF(B204=".",1,IF(AND(B204="",NOT(A204="")),IF(VLOOKUP(A204,TaskPlan!A:L,5,FALSE)&gt;0,VLOOKUP(A204,TaskPlan!A:L,5,FALSE),""),""))</f>
        <v/>
      </c>
      <c r="N204" s="1" t="str">
        <f ca="1">IF(ISNA(VLOOKUP(A204,Projects!B:B,1,FALSE)),"","Yes")</f>
        <v/>
      </c>
    </row>
    <row r="205" spans="1:14" hidden="1" outlineLevel="1">
      <c r="A205" s="43" t="s">
        <v>259</v>
      </c>
      <c r="C205" s="44" t="s">
        <v>324</v>
      </c>
      <c r="D205" s="7" t="s">
        <v>11</v>
      </c>
      <c r="E205" s="26">
        <v>40008</v>
      </c>
      <c r="H205" s="37">
        <f ca="1">IF(AND(B205="",NOT(A205="")),VLOOKUP(A205,TaskPlan!A:M,13,FALSE),"")</f>
        <v>40025</v>
      </c>
      <c r="I205" s="38" t="str">
        <f ca="1">IF(AND(B205="",NOT(A205="")),VLOOKUP(A205,TaskPlan!A:M,12,FALSE),"")</f>
        <v>Closed</v>
      </c>
      <c r="J205" s="39" t="str">
        <f ca="1">IF(AND(B205="",NOT(A205="")),VLOOKUP(A205,TaskPlan!A:L,2,FALSE),"")</f>
        <v>Ruth</v>
      </c>
      <c r="K205" s="39" t="str">
        <f ca="1">IF(AND(B205="",NOT(A205="")),IF(NOT(LEFT(VLOOKUP(A205,TaskPlan!A:L,3,FALSE),1) = "0"),VLOOKUP(A205,TaskPlan!A:L,3,FALSE),""),"")</f>
        <v/>
      </c>
      <c r="L205" s="55" t="str">
        <f ca="1">IF(AND(B205="",NOT(A205="")),IF(NOT(LEFT(VLOOKUP(A205,TaskPlan!A:L,3,FALSE),1) = "0"),VLOOKUP(A205,TaskPlan!A:M,4,FALSE),""),"")</f>
        <v/>
      </c>
      <c r="M205" s="58" t="str">
        <f ca="1">IF(B205=".",1,IF(AND(B205="",NOT(A205="")),IF(VLOOKUP(A205,TaskPlan!A:L,5,FALSE)&gt;0,VLOOKUP(A205,TaskPlan!A:L,5,FALSE),""),""))</f>
        <v/>
      </c>
      <c r="N205" s="1" t="str">
        <f ca="1">IF(ISNA(VLOOKUP(A205,Projects!B:B,1,FALSE)),"","Yes")</f>
        <v/>
      </c>
    </row>
    <row r="206" spans="1:14" hidden="1" outlineLevel="1">
      <c r="A206" s="46" t="s">
        <v>325</v>
      </c>
      <c r="C206" s="44" t="s">
        <v>738</v>
      </c>
      <c r="D206" s="1" t="s">
        <v>20</v>
      </c>
      <c r="E206" s="26">
        <v>40148</v>
      </c>
      <c r="H206" s="37">
        <f ca="1">IF(AND(B206="",NOT(A206="")),VLOOKUP(A206,TaskPlan!A:M,13,FALSE),"")</f>
        <v>40025</v>
      </c>
      <c r="I206" s="38" t="str">
        <f ca="1">IF(AND(B206="",NOT(A206="")),VLOOKUP(A206,TaskPlan!A:M,12,FALSE),"")</f>
        <v>Closed</v>
      </c>
      <c r="J206" s="39" t="str">
        <f ca="1">IF(AND(B206="",NOT(A206="")),VLOOKUP(A206,TaskPlan!A:L,2,FALSE),"")</f>
        <v>Shubh</v>
      </c>
      <c r="K206" s="39" t="str">
        <f ca="1">IF(AND(B206="",NOT(A206="")),IF(NOT(LEFT(VLOOKUP(A206,TaskPlan!A:L,3,FALSE),1) = "0"),VLOOKUP(A206,TaskPlan!A:L,3,FALSE),""),"")</f>
        <v/>
      </c>
      <c r="L206" s="55" t="str">
        <f ca="1">IF(AND(B206="",NOT(A206="")),IF(NOT(LEFT(VLOOKUP(A206,TaskPlan!A:L,3,FALSE),1) = "0"),VLOOKUP(A206,TaskPlan!A:M,4,FALSE),""),"")</f>
        <v/>
      </c>
      <c r="M206" s="58" t="str">
        <f ca="1">IF(B206=".",1,IF(AND(B206="",NOT(A206="")),IF(VLOOKUP(A206,TaskPlan!A:L,5,FALSE)&gt;0,VLOOKUP(A206,TaskPlan!A:L,5,FALSE),""),""))</f>
        <v/>
      </c>
      <c r="N206" s="1" t="str">
        <f ca="1">IF(ISNA(VLOOKUP(A206,Projects!B:B,1,FALSE)),"","Yes")</f>
        <v/>
      </c>
    </row>
    <row r="207" spans="1:14" hidden="1" outlineLevel="1">
      <c r="A207" s="43" t="s">
        <v>344</v>
      </c>
      <c r="C207" s="44" t="s">
        <v>345</v>
      </c>
      <c r="D207" s="7" t="s">
        <v>11</v>
      </c>
      <c r="E207" s="26">
        <v>40025</v>
      </c>
      <c r="H207" s="37">
        <f ca="1">IF(AND(B207="",NOT(A207="")),VLOOKUP(A207,TaskPlan!A:M,13,FALSE),"")</f>
        <v>40086</v>
      </c>
      <c r="I207" s="38" t="str">
        <f ca="1">IF(AND(B207="",NOT(A207="")),VLOOKUP(A207,TaskPlan!A:M,12,FALSE),"")</f>
        <v>Closed</v>
      </c>
      <c r="J207" s="39" t="str">
        <f ca="1">IF(AND(B207="",NOT(A207="")),VLOOKUP(A207,TaskPlan!A:L,2,FALSE),"")</f>
        <v>Pramendra</v>
      </c>
      <c r="K207" s="39" t="str">
        <f ca="1">IF(AND(B207="",NOT(A207="")),IF(NOT(LEFT(VLOOKUP(A207,TaskPlan!A:L,3,FALSE),1) = "0"),VLOOKUP(A207,TaskPlan!A:L,3,FALSE),""),"")</f>
        <v/>
      </c>
      <c r="L207" s="55" t="str">
        <f ca="1">IF(AND(B207="",NOT(A207="")),IF(NOT(LEFT(VLOOKUP(A207,TaskPlan!A:L,3,FALSE),1) = "0"),VLOOKUP(A207,TaskPlan!A:M,4,FALSE),""),"")</f>
        <v/>
      </c>
      <c r="M207" s="58" t="str">
        <f ca="1">IF(B207=".",1,IF(AND(B207="",NOT(A207="")),IF(VLOOKUP(A207,TaskPlan!A:L,5,FALSE)&gt;0,VLOOKUP(A207,TaskPlan!A:L,5,FALSE),""),""))</f>
        <v/>
      </c>
      <c r="N207" s="1" t="str">
        <f ca="1">IF(ISNA(VLOOKUP(A207,Projects!B:B,1,FALSE)),"","Yes")</f>
        <v/>
      </c>
    </row>
    <row r="208" spans="1:14" hidden="1" outlineLevel="1">
      <c r="A208" s="43" t="s">
        <v>367</v>
      </c>
      <c r="C208" s="44" t="s">
        <v>368</v>
      </c>
      <c r="D208" s="1" t="s">
        <v>20</v>
      </c>
      <c r="E208" s="26">
        <v>40028</v>
      </c>
      <c r="H208" s="37">
        <f ca="1">IF(AND(B208="",NOT(A208="")),VLOOKUP(A208,TaskPlan!A:M,13,FALSE),"")</f>
        <v>40086</v>
      </c>
      <c r="I208" s="38" t="str">
        <f ca="1">IF(AND(B208="",NOT(A208="")),VLOOKUP(A208,TaskPlan!A:M,12,FALSE),"")</f>
        <v>Closed</v>
      </c>
      <c r="J208" s="39" t="str">
        <f ca="1">IF(AND(B208="",NOT(A208="")),VLOOKUP(A208,TaskPlan!A:L,2,FALSE),"")</f>
        <v>Pramendra</v>
      </c>
      <c r="K208" s="39" t="str">
        <f ca="1">IF(AND(B208="",NOT(A208="")),IF(NOT(LEFT(VLOOKUP(A208,TaskPlan!A:L,3,FALSE),1) = "0"),VLOOKUP(A208,TaskPlan!A:L,3,FALSE),""),"")</f>
        <v/>
      </c>
      <c r="L208" s="55" t="str">
        <f ca="1">IF(AND(B208="",NOT(A208="")),IF(NOT(LEFT(VLOOKUP(A208,TaskPlan!A:L,3,FALSE),1) = "0"),VLOOKUP(A208,TaskPlan!A:M,4,FALSE),""),"")</f>
        <v/>
      </c>
      <c r="M208" s="58" t="str">
        <f ca="1">IF(B208=".",1,IF(AND(B208="",NOT(A208="")),IF(VLOOKUP(A208,TaskPlan!A:L,5,FALSE)&gt;0,VLOOKUP(A208,TaskPlan!A:L,5,FALSE),""),""))</f>
        <v/>
      </c>
      <c r="N208" s="1" t="str">
        <f ca="1">IF(ISNA(VLOOKUP(A208,Projects!B:B,1,FALSE)),"","Yes")</f>
        <v/>
      </c>
    </row>
    <row r="209" spans="1:14" hidden="1" outlineLevel="1">
      <c r="A209" s="43" t="s">
        <v>380</v>
      </c>
      <c r="C209" s="44" t="s">
        <v>739</v>
      </c>
      <c r="D209" s="1" t="s">
        <v>20</v>
      </c>
      <c r="E209" s="26">
        <v>40029</v>
      </c>
      <c r="H209" s="37">
        <f ca="1">IF(AND(B209="",NOT(A209="")),VLOOKUP(A209,TaskPlan!A:M,13,FALSE),"")</f>
        <v>40086</v>
      </c>
      <c r="I209" s="38" t="str">
        <f ca="1">IF(AND(B209="",NOT(A209="")),VLOOKUP(A209,TaskPlan!A:M,12,FALSE),"")</f>
        <v>Closed</v>
      </c>
      <c r="J209" s="39" t="str">
        <f ca="1">IF(AND(B209="",NOT(A209="")),VLOOKUP(A209,TaskPlan!A:L,2,FALSE),"")</f>
        <v>Pramendra</v>
      </c>
      <c r="K209" s="39" t="str">
        <f ca="1">IF(AND(B209="",NOT(A209="")),IF(NOT(LEFT(VLOOKUP(A209,TaskPlan!A:L,3,FALSE),1) = "0"),VLOOKUP(A209,TaskPlan!A:L,3,FALSE),""),"")</f>
        <v/>
      </c>
      <c r="L209" s="55" t="str">
        <f ca="1">IF(AND(B209="",NOT(A209="")),IF(NOT(LEFT(VLOOKUP(A209,TaskPlan!A:L,3,FALSE),1) = "0"),VLOOKUP(A209,TaskPlan!A:M,4,FALSE),""),"")</f>
        <v/>
      </c>
      <c r="M209" s="58" t="str">
        <f ca="1">IF(B209=".",1,IF(AND(B209="",NOT(A209="")),IF(VLOOKUP(A209,TaskPlan!A:L,5,FALSE)&gt;0,VLOOKUP(A209,TaskPlan!A:L,5,FALSE),""),""))</f>
        <v/>
      </c>
      <c r="N209" s="1" t="str">
        <f ca="1">IF(ISNA(VLOOKUP(A209,Projects!B:B,1,FALSE)),"","Yes")</f>
        <v/>
      </c>
    </row>
    <row r="210" spans="1:14" hidden="1" outlineLevel="1">
      <c r="A210" s="43" t="s">
        <v>625</v>
      </c>
      <c r="B210" s="7" t="s">
        <v>15</v>
      </c>
      <c r="C210" s="45" t="s">
        <v>626</v>
      </c>
      <c r="E210" s="26"/>
      <c r="H210" s="37" t="str">
        <f ca="1">IF(AND(B210="",NOT(A210="")),VLOOKUP(A210,TaskPlan!A:M,13,FALSE),"")</f>
        <v/>
      </c>
      <c r="I210" s="38" t="str">
        <f ca="1">IF(AND(B210="",NOT(A210="")),VLOOKUP(A210,TaskPlan!A:M,12,FALSE),"")</f>
        <v/>
      </c>
      <c r="J210" s="39" t="str">
        <f ca="1">IF(AND(B210="",NOT(A210="")),VLOOKUP(A210,TaskPlan!A:L,2,FALSE),"")</f>
        <v/>
      </c>
      <c r="K210" s="39" t="str">
        <f ca="1">IF(AND(B210="",NOT(A210="")),IF(NOT(LEFT(VLOOKUP(A210,TaskPlan!A:L,3,FALSE),1) = "0"),VLOOKUP(A210,TaskPlan!A:L,3,FALSE),""),"")</f>
        <v/>
      </c>
      <c r="L210" s="55" t="str">
        <f ca="1">IF(AND(B210="",NOT(A210="")),IF(NOT(LEFT(VLOOKUP(A210,TaskPlan!A:L,3,FALSE),1) = "0"),VLOOKUP(A210,TaskPlan!A:M,4,FALSE),""),"")</f>
        <v/>
      </c>
      <c r="M210" s="58">
        <f ca="1">IF(B210=".",1,IF(AND(B210="",NOT(A210="")),IF(VLOOKUP(A210,TaskPlan!A:L,5,FALSE)&gt;0,VLOOKUP(A210,TaskPlan!A:L,5,FALSE),""),""))</f>
        <v>1</v>
      </c>
      <c r="N210" s="1" t="str">
        <f ca="1">IF(ISNA(VLOOKUP(A210,Projects!B:B,1,FALSE)),"","Yes")</f>
        <v/>
      </c>
    </row>
    <row r="211" spans="1:14" hidden="1" outlineLevel="1">
      <c r="A211" s="43" t="s">
        <v>627</v>
      </c>
      <c r="C211" s="44" t="s">
        <v>628</v>
      </c>
      <c r="D211" s="1" t="s">
        <v>20</v>
      </c>
      <c r="E211" s="26">
        <v>40114</v>
      </c>
      <c r="F211" s="25">
        <v>4</v>
      </c>
      <c r="G211" s="28" t="s">
        <v>1100</v>
      </c>
      <c r="H211" s="37">
        <f ca="1">IF(AND(B211="",NOT(A211="")),VLOOKUP(A211,TaskPlan!A:M,13,FALSE),"")</f>
        <v>40567</v>
      </c>
      <c r="I211" s="38" t="str">
        <f ca="1">IF(AND(B211="",NOT(A211="")),VLOOKUP(A211,TaskPlan!A:M,12,FALSE),"")</f>
        <v>Closed</v>
      </c>
      <c r="J211" s="39" t="str">
        <f ca="1">IF(AND(B211="",NOT(A211="")),VLOOKUP(A211,TaskPlan!A:L,2,FALSE),"")</f>
        <v>Zhuu</v>
      </c>
      <c r="K211" s="39" t="str">
        <f ca="1">IF(AND(B211="",NOT(A211="")),IF(NOT(LEFT(VLOOKUP(A211,TaskPlan!A:L,3,FALSE),1) = "0"),VLOOKUP(A211,TaskPlan!A:L,3,FALSE),""),"")</f>
        <v/>
      </c>
      <c r="L211" s="55" t="str">
        <f ca="1">IF(AND(B211="",NOT(A211="")),IF(NOT(LEFT(VLOOKUP(A211,TaskPlan!A:L,3,FALSE),1) = "0"),VLOOKUP(A211,TaskPlan!A:M,4,FALSE),""),"")</f>
        <v/>
      </c>
      <c r="M211" s="58" t="str">
        <f ca="1">IF(B211=".",1,IF(AND(B211="",NOT(A211="")),IF(VLOOKUP(A211,TaskPlan!A:L,5,FALSE)&gt;0,VLOOKUP(A211,TaskPlan!A:L,5,FALSE),""),""))</f>
        <v/>
      </c>
      <c r="N211" s="1" t="str">
        <f ca="1">IF(ISNA(VLOOKUP(A211,Projects!B:B,1,FALSE)),"","Yes")</f>
        <v/>
      </c>
    </row>
    <row r="212" spans="1:14" hidden="1" outlineLevel="1">
      <c r="A212" s="43" t="s">
        <v>642</v>
      </c>
      <c r="B212" s="1" t="s">
        <v>15</v>
      </c>
      <c r="C212" s="45" t="s">
        <v>202</v>
      </c>
      <c r="E212" s="26"/>
      <c r="H212" s="37" t="str">
        <f ca="1">IF(AND(B212="",NOT(A212="")),VLOOKUP(A212,TaskPlan!A:M,13,FALSE),"")</f>
        <v/>
      </c>
      <c r="I212" s="38" t="str">
        <f ca="1">IF(AND(B212="",NOT(A212="")),VLOOKUP(A212,TaskPlan!A:M,12,FALSE),"")</f>
        <v/>
      </c>
      <c r="L212" s="55" t="str">
        <f ca="1">IF(AND(B212="",NOT(A212="")),IF(NOT(LEFT(VLOOKUP(A212,TaskPlan!A:L,3,FALSE),1) = "0"),VLOOKUP(A212,TaskPlan!A:M,4,FALSE),""),"")</f>
        <v/>
      </c>
      <c r="M212" s="58">
        <f ca="1">IF(B212=".",1,IF(AND(B212="",NOT(A212="")),IF(VLOOKUP(A212,TaskPlan!A:L,5,FALSE)&gt;0,VLOOKUP(A212,TaskPlan!A:L,5,FALSE),""),""))</f>
        <v>1</v>
      </c>
      <c r="N212" s="1" t="str">
        <f ca="1">IF(ISNA(VLOOKUP(A212,Projects!B:B,1,FALSE)),"","Yes")</f>
        <v/>
      </c>
    </row>
    <row r="213" spans="1:14" hidden="1" outlineLevel="1">
      <c r="A213" s="43" t="s">
        <v>1214</v>
      </c>
      <c r="C213" s="44" t="s">
        <v>643</v>
      </c>
      <c r="D213" s="7" t="s">
        <v>11</v>
      </c>
      <c r="E213" s="26">
        <v>40119</v>
      </c>
      <c r="F213" s="25">
        <v>2</v>
      </c>
      <c r="G213" s="28" t="s">
        <v>1213</v>
      </c>
      <c r="H213" s="37">
        <f ca="1">IF(AND(B213="",NOT(A213="")),VLOOKUP(A213,TaskPlan!A:M,13,FALSE),"")</f>
        <v>40367</v>
      </c>
      <c r="I213" s="38" t="str">
        <f ca="1">IF(AND(B213="",NOT(A213="")),VLOOKUP(A213,TaskPlan!A:M,12,FALSE),"")</f>
        <v>Closed</v>
      </c>
      <c r="J213" s="39" t="str">
        <f ca="1">IF(AND(B213="",NOT(A213="")),VLOOKUP(A213,TaskPlan!A:J,2,FALSE),"")</f>
        <v>Ruth</v>
      </c>
      <c r="K213" s="39" t="str">
        <f ca="1">IF(AND(B213="",NOT(A213="")),IF(NOT(LEFT(VLOOKUP(A213,TaskPlan!A:J,3,FALSE),1) = "0"),VLOOKUP(A213,TaskPlan!A:J,3,FALSE),""),"")</f>
        <v/>
      </c>
      <c r="L213" s="55" t="str">
        <f ca="1">IF(AND(B213="",NOT(A213="")),IF(NOT(LEFT(VLOOKUP(A213,TaskPlan!A:L,3,FALSE),1) = "0"),VLOOKUP(A213,TaskPlan!A:M,4,FALSE),""),"")</f>
        <v/>
      </c>
      <c r="M213" s="58" t="str">
        <f ca="1">IF(B213=".",1,IF(AND(B213="",NOT(A213="")),IF(VLOOKUP(A213,TaskPlan!A:L,5,FALSE)&gt;0,VLOOKUP(A213,TaskPlan!A:L,5,FALSE),""),""))</f>
        <v/>
      </c>
      <c r="N213" s="1" t="str">
        <f ca="1">IF(ISNA(VLOOKUP(A213,Projects!B:B,1,FALSE)),"","Yes")</f>
        <v>Yes</v>
      </c>
    </row>
    <row r="214" spans="1:14" hidden="1" outlineLevel="1">
      <c r="A214" s="43" t="s">
        <v>644</v>
      </c>
      <c r="C214" s="44" t="s">
        <v>645</v>
      </c>
      <c r="D214" s="7" t="s">
        <v>326</v>
      </c>
      <c r="E214" s="26">
        <v>40120</v>
      </c>
      <c r="F214" s="25">
        <v>0.5</v>
      </c>
      <c r="H214" s="37">
        <f ca="1">IF(AND(B214="",NOT(A214="")),VLOOKUP(A214,TaskPlan!A:M,13,FALSE),"")</f>
        <v>40126</v>
      </c>
      <c r="I214" s="38" t="str">
        <f ca="1">IF(AND(B214="",NOT(A214="")),VLOOKUP(A214,TaskPlan!A:M,12,FALSE),"")</f>
        <v>Closed</v>
      </c>
      <c r="J214" s="39" t="str">
        <f ca="1">IF(AND(B214="",NOT(A214="")),VLOOKUP(A214,TaskPlan!A:L,2,FALSE),"")</f>
        <v>Pramendra</v>
      </c>
      <c r="K214" s="39" t="str">
        <f ca="1">IF(AND(B214="",NOT(A214="")),IF(NOT(LEFT(VLOOKUP(A214,TaskPlan!A:L,3,FALSE),1) = "0"),VLOOKUP(A214,TaskPlan!A:L,3,FALSE),""),"")</f>
        <v/>
      </c>
      <c r="L214" s="55" t="str">
        <f ca="1">IF(AND(B214="",NOT(A214="")),IF(NOT(LEFT(VLOOKUP(A214,TaskPlan!A:L,3,FALSE),1) = "0"),VLOOKUP(A214,TaskPlan!A:M,4,FALSE),""),"")</f>
        <v/>
      </c>
      <c r="M214" s="58" t="str">
        <f ca="1">IF(B214=".",1,IF(AND(B214="",NOT(A214="")),IF(VLOOKUP(A214,TaskPlan!A:L,5,FALSE)&gt;0,VLOOKUP(A214,TaskPlan!A:L,5,FALSE),""),""))</f>
        <v/>
      </c>
      <c r="N214" s="1" t="str">
        <f ca="1">IF(ISNA(VLOOKUP(A214,Projects!B:B,1,FALSE)),"","Yes")</f>
        <v/>
      </c>
    </row>
    <row r="215" spans="1:14" ht="25.5" hidden="1" outlineLevel="1">
      <c r="A215" s="43" t="s">
        <v>1215</v>
      </c>
      <c r="C215" s="44" t="s">
        <v>662</v>
      </c>
      <c r="D215" s="7" t="s">
        <v>11</v>
      </c>
      <c r="E215" s="26">
        <v>40126</v>
      </c>
      <c r="F215" s="25">
        <v>3</v>
      </c>
      <c r="G215" s="25" t="s">
        <v>1098</v>
      </c>
      <c r="H215" s="37">
        <f ca="1">IF(AND(B215="",NOT(A215="")),VLOOKUP(A215,TaskPlan!A:M,13,FALSE),"")</f>
        <v>40367</v>
      </c>
      <c r="I215" s="38" t="str">
        <f ca="1">IF(AND(B215="",NOT(A215="")),VLOOKUP(A215,TaskPlan!A:M,12,FALSE),"")</f>
        <v>Closed</v>
      </c>
      <c r="J215" s="39" t="str">
        <f ca="1">IF(AND(B215="",NOT(A215="")),VLOOKUP(A215,TaskPlan!A:L,2,FALSE),"")</f>
        <v>Ruth</v>
      </c>
      <c r="K215" s="39" t="str">
        <f ca="1">IF(AND(B215="",NOT(A215="")),IF(NOT(LEFT(VLOOKUP(A215,TaskPlan!A:L,3,FALSE),1) = "0"),VLOOKUP(A215,TaskPlan!A:L,3,FALSE),""),"")</f>
        <v/>
      </c>
      <c r="L215" s="55" t="str">
        <f ca="1">IF(AND(B215="",NOT(A215="")),IF(NOT(LEFT(VLOOKUP(A215,TaskPlan!A:L,3,FALSE),1) = "0"),VLOOKUP(A215,TaskPlan!A:M,4,FALSE),""),"")</f>
        <v/>
      </c>
      <c r="M215" s="58" t="str">
        <f ca="1">IF(B215=".",1,IF(AND(B215="",NOT(A215="")),IF(VLOOKUP(A215,TaskPlan!A:L,5,FALSE)&gt;0,VLOOKUP(A215,TaskPlan!A:L,5,FALSE),""),""))</f>
        <v/>
      </c>
      <c r="N215" s="1" t="str">
        <f ca="1">IF(ISNA(VLOOKUP(A215,Projects!B:B,1,FALSE)),"","Yes")</f>
        <v>Yes</v>
      </c>
    </row>
    <row r="216" spans="1:14" hidden="1" outlineLevel="1">
      <c r="A216" s="43" t="s">
        <v>757</v>
      </c>
      <c r="C216" s="44" t="s">
        <v>758</v>
      </c>
      <c r="D216" s="7" t="s">
        <v>759</v>
      </c>
      <c r="E216" s="26">
        <v>40149</v>
      </c>
      <c r="H216" s="37">
        <f ca="1">IF(AND(B216="",NOT(A216="")),VLOOKUP(A216,TaskPlan!A:M,13,FALSE),"")</f>
        <v>40157</v>
      </c>
      <c r="I216" s="38" t="str">
        <f ca="1">IF(AND(B216="",NOT(A216="")),VLOOKUP(A216,TaskPlan!A:M,12,FALSE),"")</f>
        <v>Closed</v>
      </c>
      <c r="J216" s="39" t="str">
        <f ca="1">IF(AND(B216="",NOT(A216="")),VLOOKUP(A216,TaskPlan!A:L,2,FALSE),"")</f>
        <v>Ruth</v>
      </c>
      <c r="K216" s="39" t="str">
        <f ca="1">IF(AND(B216="",NOT(A216="")),IF(NOT(LEFT(VLOOKUP(A216,TaskPlan!A:L,3,FALSE),1) = "0"),VLOOKUP(A216,TaskPlan!A:L,3,FALSE),""),"")</f>
        <v/>
      </c>
      <c r="L216" s="55" t="str">
        <f ca="1">IF(AND(B216="",NOT(A216="")),IF(NOT(LEFT(VLOOKUP(A216,TaskPlan!A:L,3,FALSE),1) = "0"),VLOOKUP(A216,TaskPlan!A:M,4,FALSE),""),"")</f>
        <v/>
      </c>
      <c r="M216" s="58" t="str">
        <f ca="1">IF(B216=".",1,IF(AND(B216="",NOT(A216="")),IF(VLOOKUP(A216,TaskPlan!A:L,5,FALSE)&gt;0,VLOOKUP(A216,TaskPlan!A:L,5,FALSE),""),""))</f>
        <v/>
      </c>
      <c r="N216" s="1" t="str">
        <f ca="1">IF(ISNA(VLOOKUP(A216,Projects!B:B,1,FALSE)),"","Yes")</f>
        <v/>
      </c>
    </row>
    <row r="217" spans="1:14" hidden="1" outlineLevel="1">
      <c r="A217" s="43" t="s">
        <v>1216</v>
      </c>
      <c r="C217" s="44" t="s">
        <v>794</v>
      </c>
      <c r="D217" s="7" t="s">
        <v>11</v>
      </c>
      <c r="E217" s="26">
        <v>40157</v>
      </c>
      <c r="F217" s="25">
        <v>2</v>
      </c>
      <c r="G217" s="28" t="s">
        <v>1213</v>
      </c>
      <c r="H217" s="37">
        <f ca="1">IF(AND(B217="",NOT(A217="")),VLOOKUP(A217,TaskPlan!A:M,13,FALSE),"")</f>
        <v>40373</v>
      </c>
      <c r="I217" s="38" t="str">
        <f ca="1">IF(AND(B217="",NOT(A217="")),VLOOKUP(A217,TaskPlan!A:M,12,FALSE),"")</f>
        <v>Closed</v>
      </c>
      <c r="J217" s="39" t="str">
        <f ca="1">IF(AND(B217="",NOT(A217="")),VLOOKUP(A217,TaskPlan!A:L,2,FALSE),"")</f>
        <v>Ruth</v>
      </c>
      <c r="K217" s="39" t="str">
        <f ca="1">IF(AND(B217="",NOT(A217="")),IF(NOT(LEFT(VLOOKUP(A217,TaskPlan!A:L,3,FALSE),1) = "0"),VLOOKUP(A217,TaskPlan!A:L,3,FALSE),""),"")</f>
        <v/>
      </c>
      <c r="L217" s="55" t="str">
        <f ca="1">IF(AND(B217="",NOT(A217="")),IF(NOT(LEFT(VLOOKUP(A217,TaskPlan!A:L,3,FALSE),1) = "0"),VLOOKUP(A217,TaskPlan!A:M,4,FALSE),""),"")</f>
        <v/>
      </c>
      <c r="M217" s="58" t="str">
        <f ca="1">IF(B217=".",1,IF(AND(B217="",NOT(A217="")),IF(VLOOKUP(A217,TaskPlan!A:L,5,FALSE)&gt;0,VLOOKUP(A217,TaskPlan!A:L,5,FALSE),""),""))</f>
        <v/>
      </c>
      <c r="N217" s="1" t="str">
        <f ca="1">IF(ISNA(VLOOKUP(A217,Projects!B:B,1,FALSE)),"","Yes")</f>
        <v>Yes</v>
      </c>
    </row>
    <row r="218" spans="1:14" hidden="1" outlineLevel="1">
      <c r="A218" s="43" t="s">
        <v>797</v>
      </c>
      <c r="C218" s="44" t="s">
        <v>798</v>
      </c>
      <c r="D218" s="7" t="s">
        <v>11</v>
      </c>
      <c r="E218" s="26">
        <v>40163</v>
      </c>
      <c r="F218" s="25">
        <v>4</v>
      </c>
      <c r="H218" s="37">
        <f ca="1">IF(AND(B218="",NOT(A218="")),VLOOKUP(A218,TaskPlan!A:M,13,FALSE),"")</f>
        <v>40200</v>
      </c>
      <c r="I218" s="38" t="str">
        <f ca="1">IF(AND(B218="",NOT(A218="")),VLOOKUP(A218,TaskPlan!A:M,12,FALSE),"")</f>
        <v>Closed</v>
      </c>
      <c r="J218" s="39" t="str">
        <f ca="1">IF(AND(B218="",NOT(A218="")),VLOOKUP(A218,TaskPlan!A:L,2,FALSE),"")</f>
        <v>Pramendra</v>
      </c>
      <c r="K218" s="39" t="str">
        <f ca="1">IF(AND(B218="",NOT(A218="")),IF(NOT(LEFT(VLOOKUP(A218,TaskPlan!A:L,3,FALSE),1) = "0"),VLOOKUP(A218,TaskPlan!A:L,3,FALSE),""),"")</f>
        <v/>
      </c>
      <c r="L218" s="55" t="str">
        <f ca="1">IF(AND(B218="",NOT(A218="")),IF(NOT(LEFT(VLOOKUP(A218,TaskPlan!A:L,3,FALSE),1) = "0"),VLOOKUP(A218,TaskPlan!A:M,4,FALSE),""),"")</f>
        <v/>
      </c>
      <c r="M218" s="58" t="str">
        <f ca="1">IF(B218=".",1,IF(AND(B218="",NOT(A218="")),IF(VLOOKUP(A218,TaskPlan!A:L,5,FALSE)&gt;0,VLOOKUP(A218,TaskPlan!A:L,5,FALSE),""),""))</f>
        <v/>
      </c>
      <c r="N218" s="1" t="str">
        <f ca="1">IF(ISNA(VLOOKUP(A218,Projects!B:B,1,FALSE)),"","Yes")</f>
        <v/>
      </c>
    </row>
    <row r="219" spans="1:14" hidden="1" outlineLevel="1">
      <c r="A219" s="43" t="s">
        <v>801</v>
      </c>
      <c r="C219" s="44" t="s">
        <v>802</v>
      </c>
      <c r="D219" s="7" t="s">
        <v>759</v>
      </c>
      <c r="E219" s="26">
        <v>40168</v>
      </c>
      <c r="F219" s="25">
        <v>2</v>
      </c>
      <c r="H219" s="37">
        <f ca="1">IF(AND(B219="",NOT(A219="")),VLOOKUP(A219,TaskPlan!A:M,13,FALSE),"")</f>
        <v>40235</v>
      </c>
      <c r="I219" s="38" t="str">
        <f ca="1">IF(AND(B219="",NOT(A219="")),VLOOKUP(A219,TaskPlan!A:M,12,FALSE),"")</f>
        <v>Closed</v>
      </c>
      <c r="J219" s="39" t="str">
        <f ca="1">IF(AND(B219="",NOT(A219="")),VLOOKUP(A219,TaskPlan!A:L,2,FALSE),"")</f>
        <v>Ruth</v>
      </c>
      <c r="K219" s="39" t="str">
        <f ca="1">IF(AND(B219="",NOT(A219="")),IF(NOT(LEFT(VLOOKUP(A219,TaskPlan!A:L,3,FALSE),1) = "0"),VLOOKUP(A219,TaskPlan!A:L,3,FALSE),""),"")</f>
        <v/>
      </c>
      <c r="L219" s="55" t="str">
        <f ca="1">IF(AND(B219="",NOT(A219="")),IF(NOT(LEFT(VLOOKUP(A219,TaskPlan!A:L,3,FALSE),1) = "0"),VLOOKUP(A219,TaskPlan!A:M,4,FALSE),""),"")</f>
        <v/>
      </c>
      <c r="M219" s="58" t="str">
        <f ca="1">IF(B219=".",1,IF(AND(B219="",NOT(A219="")),IF(VLOOKUP(A219,TaskPlan!A:L,5,FALSE)&gt;0,VLOOKUP(A219,TaskPlan!A:L,5,FALSE),""),""))</f>
        <v/>
      </c>
      <c r="N219" s="1" t="str">
        <f ca="1">IF(ISNA(VLOOKUP(A219,Projects!B:B,1,FALSE)),"","Yes")</f>
        <v/>
      </c>
    </row>
    <row r="220" spans="1:14" hidden="1" outlineLevel="1">
      <c r="A220" s="43" t="s">
        <v>1217</v>
      </c>
      <c r="C220" s="44" t="s">
        <v>960</v>
      </c>
      <c r="D220" s="7" t="s">
        <v>759</v>
      </c>
      <c r="E220" s="26">
        <v>40242</v>
      </c>
      <c r="F220" s="25">
        <v>2</v>
      </c>
      <c r="G220" s="25" t="s">
        <v>1099</v>
      </c>
      <c r="H220" s="37">
        <f ca="1">IF(AND(B220="",NOT(A220="")),VLOOKUP(A220,TaskPlan!A:M,13,FALSE),"")</f>
        <v>40373</v>
      </c>
      <c r="I220" s="38" t="str">
        <f ca="1">IF(AND(B220="",NOT(A220="")),VLOOKUP(A220,TaskPlan!A:M,12,FALSE),"")</f>
        <v>Closed</v>
      </c>
      <c r="J220" s="39" t="str">
        <f ca="1">IF(AND(B220="",NOT(A220="")),VLOOKUP(A220,TaskPlan!A:L,2,FALSE),"")</f>
        <v>Ruth</v>
      </c>
      <c r="K220" s="39" t="str">
        <f ca="1">IF(AND(B220="",NOT(A220="")),IF(NOT(LEFT(VLOOKUP(A220,TaskPlan!A:L,3,FALSE),1) = "0"),VLOOKUP(A220,TaskPlan!A:L,3,FALSE),""),"")</f>
        <v/>
      </c>
      <c r="L220" s="55" t="str">
        <f ca="1">IF(AND(B220="",NOT(A220="")),IF(NOT(LEFT(VLOOKUP(A220,TaskPlan!A:L,3,FALSE),1) = "0"),VLOOKUP(A220,TaskPlan!A:M,4,FALSE),""),"")</f>
        <v/>
      </c>
      <c r="M220" s="58" t="str">
        <f ca="1">IF(B220=".",1,IF(AND(B220="",NOT(A220="")),IF(VLOOKUP(A220,TaskPlan!A:L,5,FALSE)&gt;0,VLOOKUP(A220,TaskPlan!A:L,5,FALSE),""),""))</f>
        <v/>
      </c>
      <c r="N220" s="1" t="str">
        <f ca="1">IF(ISNA(VLOOKUP(A220,Projects!B:B,1,FALSE)),"","Yes")</f>
        <v>Yes</v>
      </c>
    </row>
    <row r="221" spans="1:14" hidden="1" outlineLevel="1">
      <c r="A221" s="43" t="s">
        <v>1218</v>
      </c>
      <c r="C221" s="44" t="s">
        <v>1084</v>
      </c>
      <c r="D221" s="7" t="s">
        <v>759</v>
      </c>
      <c r="E221" s="26">
        <v>40287</v>
      </c>
      <c r="F221" s="25">
        <v>3</v>
      </c>
      <c r="G221" s="25" t="s">
        <v>1099</v>
      </c>
      <c r="H221" s="37">
        <f ca="1">IF(AND(B221="",NOT(A221="")),VLOOKUP(A221,TaskPlan!A:M,13,FALSE),"")</f>
        <v>40490</v>
      </c>
      <c r="I221" s="38" t="str">
        <f ca="1">IF(AND(B221="",NOT(A221="")),VLOOKUP(A221,TaskPlan!A:M,12,FALSE),"")</f>
        <v>Closed</v>
      </c>
      <c r="J221" s="39" t="str">
        <f ca="1">IF(AND(B221="",NOT(A221="")),VLOOKUP(A221,TaskPlan!A:L,2,FALSE),"")</f>
        <v>Ruth</v>
      </c>
      <c r="K221" s="39" t="str">
        <f ca="1">IF(AND(B221="",NOT(A221="")),IF(NOT(LEFT(VLOOKUP(A221,TaskPlan!A:L,3,FALSE),1) = "0"),VLOOKUP(A221,TaskPlan!A:L,3,FALSE),""),"")</f>
        <v/>
      </c>
      <c r="L221" s="55" t="str">
        <f ca="1">IF(AND(B221="",NOT(A221="")),IF(NOT(LEFT(VLOOKUP(A221,TaskPlan!A:L,3,FALSE),1) = "0"),VLOOKUP(A221,TaskPlan!A:M,4,FALSE),""),"")</f>
        <v/>
      </c>
      <c r="N221" s="1" t="str">
        <f ca="1">IF(ISNA(VLOOKUP(A221,Projects!B:B,1,FALSE)),"","Yes")</f>
        <v>Yes</v>
      </c>
    </row>
    <row r="222" spans="1:14" hidden="1" outlineLevel="1">
      <c r="A222" s="43" t="s">
        <v>1085</v>
      </c>
      <c r="C222" s="44" t="s">
        <v>1086</v>
      </c>
      <c r="D222" s="7" t="s">
        <v>759</v>
      </c>
      <c r="E222" s="26">
        <v>40287</v>
      </c>
      <c r="F222" s="25">
        <v>2</v>
      </c>
      <c r="G222" s="25" t="s">
        <v>1099</v>
      </c>
      <c r="H222" s="37">
        <f ca="1">IF(AND(B222="",NOT(A222="")),VLOOKUP(A222,TaskPlan!A:M,13,FALSE),"")</f>
        <v>40353</v>
      </c>
      <c r="I222" s="38" t="str">
        <f ca="1">IF(AND(B222="",NOT(A222="")),VLOOKUP(A222,TaskPlan!A:M,12,FALSE),"")</f>
        <v>Closed</v>
      </c>
      <c r="J222" s="39" t="str">
        <f ca="1">IF(AND(B222="",NOT(A222="")),VLOOKUP(A222,TaskPlan!A:L,2,FALSE),"")</f>
        <v>Ruth</v>
      </c>
      <c r="K222" s="39" t="str">
        <f ca="1">IF(AND(B222="",NOT(A222="")),IF(NOT(LEFT(VLOOKUP(A222,TaskPlan!A:L,3,FALSE),1) = "0"),VLOOKUP(A222,TaskPlan!A:L,3,FALSE),""),"")</f>
        <v/>
      </c>
      <c r="L222" s="55" t="str">
        <f ca="1">IF(AND(B222="",NOT(A222="")),IF(NOT(LEFT(VLOOKUP(A222,TaskPlan!A:L,3,FALSE),1) = "0"),VLOOKUP(A222,TaskPlan!A:M,4,FALSE),""),"")</f>
        <v/>
      </c>
      <c r="N222" s="1" t="str">
        <f ca="1">IF(ISNA(VLOOKUP(A222,Projects!B:B,1,FALSE)),"","Yes")</f>
        <v/>
      </c>
    </row>
    <row r="223" spans="1:14" hidden="1" outlineLevel="1">
      <c r="A223" s="43" t="s">
        <v>1125</v>
      </c>
      <c r="C223" s="44" t="s">
        <v>1126</v>
      </c>
      <c r="D223" s="7" t="s">
        <v>759</v>
      </c>
      <c r="E223" s="26">
        <v>40304</v>
      </c>
      <c r="F223" s="25">
        <v>2</v>
      </c>
      <c r="G223" s="25" t="s">
        <v>1099</v>
      </c>
      <c r="H223" s="37">
        <f ca="1">IF(AND(B223="",NOT(A223="")),VLOOKUP(A223,TaskPlan!A:M,13,FALSE),"")</f>
        <v>40388</v>
      </c>
      <c r="I223" s="38" t="str">
        <f ca="1">IF(AND(B223="",NOT(A223="")),VLOOKUP(A223,TaskPlan!A:M,12,FALSE),"")</f>
        <v>Closed</v>
      </c>
      <c r="J223" s="39" t="str">
        <f ca="1">IF(AND(B223="",NOT(A223="")),VLOOKUP(A223,TaskPlan!A:L,2,FALSE),"")</f>
        <v>Ruth</v>
      </c>
      <c r="K223" s="39" t="str">
        <f ca="1">IF(AND(B223="",NOT(A223="")),IF(NOT(LEFT(VLOOKUP(A223,TaskPlan!A:L,3,FALSE),1) = "0"),VLOOKUP(A223,TaskPlan!A:L,3,FALSE),""),"")</f>
        <v/>
      </c>
      <c r="L223" s="55" t="str">
        <f ca="1">IF(AND(B223="",NOT(A223="")),IF(NOT(LEFT(VLOOKUP(A223,TaskPlan!A:L,3,FALSE),1) = "0"),VLOOKUP(A223,TaskPlan!A:M,4,FALSE),""),"")</f>
        <v/>
      </c>
      <c r="N223" s="1" t="str">
        <f ca="1">IF(ISNA(VLOOKUP(A223,Projects!B:B,1,FALSE)),"","Yes")</f>
        <v>Yes</v>
      </c>
    </row>
    <row r="224" spans="1:14" hidden="1" outlineLevel="1">
      <c r="A224" s="43" t="s">
        <v>1127</v>
      </c>
      <c r="C224" s="44" t="s">
        <v>1128</v>
      </c>
      <c r="D224" s="7" t="s">
        <v>759</v>
      </c>
      <c r="E224" s="26">
        <v>40304</v>
      </c>
      <c r="F224" s="25">
        <v>2</v>
      </c>
      <c r="G224" s="25" t="s">
        <v>1099</v>
      </c>
      <c r="H224" s="37">
        <f ca="1">IF(AND(B224="",NOT(A224="")),VLOOKUP(A224,TaskPlan!A:M,13,FALSE),"")</f>
        <v>40373</v>
      </c>
      <c r="I224" s="38" t="str">
        <f ca="1">IF(AND(B224="",NOT(A224="")),VLOOKUP(A224,TaskPlan!A:M,12,FALSE),"")</f>
        <v>Closed</v>
      </c>
      <c r="J224" s="39" t="str">
        <f ca="1">IF(AND(B224="",NOT(A224="")),VLOOKUP(A224,TaskPlan!A:L,2,FALSE),"")</f>
        <v>Ruth</v>
      </c>
      <c r="K224" s="39" t="str">
        <f ca="1">IF(AND(B224="",NOT(A224="")),IF(NOT(LEFT(VLOOKUP(A224,TaskPlan!A:L,3,FALSE),1) = "0"),VLOOKUP(A224,TaskPlan!A:L,3,FALSE),""),"")</f>
        <v/>
      </c>
      <c r="L224" s="55" t="str">
        <f ca="1">IF(AND(B224="",NOT(A224="")),IF(NOT(LEFT(VLOOKUP(A224,TaskPlan!A:L,3,FALSE),1) = "0"),VLOOKUP(A224,TaskPlan!A:M,4,FALSE),""),"")</f>
        <v/>
      </c>
      <c r="N224" s="1" t="str">
        <f ca="1">IF(ISNA(VLOOKUP(A224,Projects!B:B,1,FALSE)),"","Yes")</f>
        <v>Yes</v>
      </c>
    </row>
    <row r="225" spans="1:14" hidden="1" outlineLevel="1">
      <c r="A225" s="43" t="s">
        <v>1129</v>
      </c>
      <c r="C225" s="44" t="s">
        <v>1130</v>
      </c>
      <c r="D225" s="7" t="s">
        <v>759</v>
      </c>
      <c r="E225" s="26">
        <v>40304</v>
      </c>
      <c r="F225" s="25">
        <v>2</v>
      </c>
      <c r="G225" s="25" t="s">
        <v>1099</v>
      </c>
      <c r="H225" s="37">
        <f ca="1">IF(AND(B225="",NOT(A225="")),VLOOKUP(A225,TaskPlan!A:M,13,FALSE),"")</f>
        <v>40373</v>
      </c>
      <c r="I225" s="38" t="str">
        <f ca="1">IF(AND(B225="",NOT(A225="")),VLOOKUP(A225,TaskPlan!A:M,12,FALSE),"")</f>
        <v>Closed</v>
      </c>
      <c r="J225" s="39" t="str">
        <f ca="1">IF(AND(B225="",NOT(A225="")),VLOOKUP(A225,TaskPlan!A:L,2,FALSE),"")</f>
        <v>Ruth</v>
      </c>
      <c r="K225" s="39" t="str">
        <f ca="1">IF(AND(B225="",NOT(A225="")),IF(NOT(LEFT(VLOOKUP(A225,TaskPlan!A:L,3,FALSE),1) = "0"),VLOOKUP(A225,TaskPlan!A:L,3,FALSE),""),"")</f>
        <v/>
      </c>
      <c r="L225" s="55" t="str">
        <f ca="1">IF(AND(B225="",NOT(A225="")),IF(NOT(LEFT(VLOOKUP(A225,TaskPlan!A:L,3,FALSE),1) = "0"),VLOOKUP(A225,TaskPlan!A:M,4,FALSE),""),"")</f>
        <v/>
      </c>
      <c r="N225" s="1" t="str">
        <f ca="1">IF(ISNA(VLOOKUP(A225,Projects!B:B,1,FALSE)),"","Yes")</f>
        <v>Yes</v>
      </c>
    </row>
    <row r="226" spans="1:14" hidden="1" outlineLevel="1">
      <c r="A226" s="43" t="s">
        <v>1131</v>
      </c>
      <c r="C226" s="44" t="s">
        <v>1132</v>
      </c>
      <c r="D226" s="7" t="s">
        <v>759</v>
      </c>
      <c r="E226" s="26">
        <v>40304</v>
      </c>
      <c r="F226" s="25">
        <v>3</v>
      </c>
      <c r="G226" s="25" t="s">
        <v>1099</v>
      </c>
      <c r="H226" s="37">
        <f ca="1">IF(AND(B226="",NOT(A226="")),VLOOKUP(A226,TaskPlan!A:M,13,FALSE),"")</f>
        <v>40373</v>
      </c>
      <c r="I226" s="38" t="str">
        <f ca="1">IF(AND(B226="",NOT(A226="")),VLOOKUP(A226,TaskPlan!A:M,12,FALSE),"")</f>
        <v>Closed</v>
      </c>
      <c r="J226" s="39" t="str">
        <f ca="1">IF(AND(B226="",NOT(A226="")),VLOOKUP(A226,TaskPlan!A:L,2,FALSE),"")</f>
        <v>Ruth</v>
      </c>
      <c r="K226" s="39" t="str">
        <f ca="1">IF(AND(B226="",NOT(A226="")),IF(NOT(LEFT(VLOOKUP(A226,TaskPlan!A:L,3,FALSE),1) = "0"),VLOOKUP(A226,TaskPlan!A:L,3,FALSE),""),"")</f>
        <v/>
      </c>
      <c r="L226" s="55" t="str">
        <f ca="1">IF(AND(B226="",NOT(A226="")),IF(NOT(LEFT(VLOOKUP(A226,TaskPlan!A:L,3,FALSE),1) = "0"),VLOOKUP(A226,TaskPlan!A:M,4,FALSE),""),"")</f>
        <v/>
      </c>
      <c r="N226" s="1" t="str">
        <f ca="1">IF(ISNA(VLOOKUP(A226,Projects!B:B,1,FALSE)),"","Yes")</f>
        <v>Yes</v>
      </c>
    </row>
    <row r="227" spans="1:14" hidden="1" outlineLevel="1">
      <c r="A227" s="43" t="s">
        <v>1133</v>
      </c>
      <c r="C227" s="44" t="s">
        <v>1134</v>
      </c>
      <c r="D227" s="7" t="s">
        <v>759</v>
      </c>
      <c r="E227" s="26">
        <v>40304</v>
      </c>
      <c r="F227" s="25">
        <v>3</v>
      </c>
      <c r="G227" s="25" t="s">
        <v>1099</v>
      </c>
      <c r="H227" s="37">
        <f ca="1">IF(AND(B227="",NOT(A227="")),VLOOKUP(A227,TaskPlan!A:M,13,FALSE),"")</f>
        <v>40368</v>
      </c>
      <c r="I227" s="38" t="str">
        <f ca="1">IF(AND(B227="",NOT(A227="")),VLOOKUP(A227,TaskPlan!A:M,12,FALSE),"")</f>
        <v>Closed</v>
      </c>
      <c r="J227" s="39" t="str">
        <f ca="1">IF(AND(B227="",NOT(A227="")),VLOOKUP(A227,TaskPlan!A:L,2,FALSE),"")</f>
        <v>Ruth</v>
      </c>
      <c r="K227" s="39" t="str">
        <f ca="1">IF(AND(B227="",NOT(A227="")),IF(NOT(LEFT(VLOOKUP(A227,TaskPlan!A:L,3,FALSE),1) = "0"),VLOOKUP(A227,TaskPlan!A:L,3,FALSE),""),"")</f>
        <v/>
      </c>
      <c r="L227" s="55" t="str">
        <f ca="1">IF(AND(B227="",NOT(A227="")),IF(NOT(LEFT(VLOOKUP(A227,TaskPlan!A:L,3,FALSE),1) = "0"),VLOOKUP(A227,TaskPlan!A:M,4,FALSE),""),"")</f>
        <v/>
      </c>
      <c r="N227" s="1" t="str">
        <f ca="1">IF(ISNA(VLOOKUP(A227,Projects!B:B,1,FALSE)),"","Yes")</f>
        <v>Yes</v>
      </c>
    </row>
    <row r="228" spans="1:14" hidden="1" outlineLevel="1">
      <c r="A228" s="43" t="s">
        <v>1243</v>
      </c>
      <c r="C228" s="44" t="s">
        <v>1248</v>
      </c>
      <c r="D228" s="7" t="s">
        <v>11</v>
      </c>
      <c r="E228" s="26">
        <v>40353</v>
      </c>
      <c r="F228" s="25">
        <v>2</v>
      </c>
      <c r="G228" s="25" t="s">
        <v>1099</v>
      </c>
      <c r="H228" s="37">
        <f ca="1">IF(AND(B228="",NOT(A228="")),VLOOKUP(A228,TaskPlan!A:M,13,FALSE),"")</f>
        <v>40388</v>
      </c>
      <c r="I228" s="38" t="str">
        <f ca="1">IF(AND(B228="",NOT(A228="")),VLOOKUP(A228,TaskPlan!A:M,12,FALSE),"")</f>
        <v>Closed</v>
      </c>
      <c r="J228" s="39" t="str">
        <f ca="1">IF(AND(B228="",NOT(A228="")),VLOOKUP(A228,TaskPlan!A:L,2,FALSE),"")</f>
        <v>Ruth</v>
      </c>
      <c r="K228" s="39" t="str">
        <f ca="1">IF(AND(B228="",NOT(A228="")),IF(NOT(LEFT(VLOOKUP(A228,TaskPlan!A:L,3,FALSE),1) = "0"),VLOOKUP(A228,TaskPlan!A:L,3,FALSE),""),"")</f>
        <v/>
      </c>
      <c r="L228" s="55" t="str">
        <f ca="1">IF(AND(B228="",NOT(A228="")),IF(NOT(LEFT(VLOOKUP(A228,TaskPlan!A:L,3,FALSE),1) = "0"),VLOOKUP(A228,TaskPlan!A:M,4,FALSE),""),"")</f>
        <v/>
      </c>
      <c r="N228" s="1" t="str">
        <f ca="1">IF(ISNA(VLOOKUP(A228,Projects!B:B,1,FALSE)),"","Yes")</f>
        <v>Yes</v>
      </c>
    </row>
    <row r="229" spans="1:14" hidden="1" outlineLevel="1">
      <c r="A229" s="43" t="s">
        <v>1245</v>
      </c>
      <c r="C229" s="44" t="s">
        <v>1244</v>
      </c>
      <c r="D229" s="7" t="s">
        <v>11</v>
      </c>
      <c r="E229" s="26">
        <v>40353</v>
      </c>
      <c r="F229" s="25">
        <v>1</v>
      </c>
      <c r="G229" s="25" t="s">
        <v>1099</v>
      </c>
      <c r="H229" s="37">
        <f ca="1">IF(AND(B229="",NOT(A229="")),VLOOKUP(A229,TaskPlan!A:M,13,FALSE),"")</f>
        <v>40387</v>
      </c>
      <c r="I229" s="38" t="str">
        <f ca="1">IF(AND(B229="",NOT(A229="")),VLOOKUP(A229,TaskPlan!A:M,12,FALSE),"")</f>
        <v>Closed</v>
      </c>
      <c r="J229" s="39" t="str">
        <f ca="1">IF(AND(B229="",NOT(A229="")),VLOOKUP(A229,TaskPlan!A:L,2,FALSE),"")</f>
        <v>Pramendra</v>
      </c>
      <c r="K229" s="39" t="str">
        <f ca="1">IF(AND(B229="",NOT(A229="")),IF(NOT(LEFT(VLOOKUP(A229,TaskPlan!A:L,3,FALSE),1) = "0"),VLOOKUP(A229,TaskPlan!A:L,3,FALSE),""),"")</f>
        <v/>
      </c>
      <c r="L229" s="55" t="str">
        <f ca="1">IF(AND(B229="",NOT(A229="")),IF(NOT(LEFT(VLOOKUP(A229,TaskPlan!A:L,3,FALSE),1) = "0"),VLOOKUP(A229,TaskPlan!A:M,4,FALSE),""),"")</f>
        <v/>
      </c>
      <c r="N229" s="1" t="str">
        <f ca="1">IF(ISNA(VLOOKUP(A229,Projects!B:B,1,FALSE)),"","Yes")</f>
        <v>Yes</v>
      </c>
    </row>
    <row r="230" spans="1:14" hidden="1" outlineLevel="1">
      <c r="A230" s="43" t="s">
        <v>1247</v>
      </c>
      <c r="B230" s="7"/>
      <c r="C230" s="44" t="s">
        <v>1246</v>
      </c>
      <c r="D230" s="7" t="s">
        <v>11</v>
      </c>
      <c r="E230" s="26">
        <v>40353</v>
      </c>
      <c r="F230" s="25">
        <v>1</v>
      </c>
      <c r="G230" s="25" t="s">
        <v>1099</v>
      </c>
      <c r="H230" s="37">
        <f ca="1">IF(AND(B230="",NOT(A230="")),VLOOKUP(A230,TaskPlan!A:M,13,FALSE),"")</f>
        <v>40388</v>
      </c>
      <c r="I230" s="38" t="str">
        <f ca="1">IF(AND(B230="",NOT(A230="")),VLOOKUP(A230,TaskPlan!A:M,12,FALSE),"")</f>
        <v>Closed</v>
      </c>
      <c r="J230" s="39" t="str">
        <f ca="1">IF(AND(B230="",NOT(A230="")),VLOOKUP(A230,TaskPlan!A:L,2,FALSE),"")</f>
        <v>Ruth</v>
      </c>
      <c r="K230" s="39" t="str">
        <f ca="1">IF(AND(B230="",NOT(A230="")),IF(NOT(LEFT(VLOOKUP(A230,TaskPlan!A:L,3,FALSE),1) = "0"),VLOOKUP(A230,TaskPlan!A:L,3,FALSE),""),"")</f>
        <v/>
      </c>
      <c r="L230" s="55" t="str">
        <f ca="1">IF(AND(B230="",NOT(A230="")),IF(NOT(LEFT(VLOOKUP(A230,TaskPlan!A:L,3,FALSE),1) = "0"),VLOOKUP(A230,TaskPlan!A:M,4,FALSE),""),"")</f>
        <v/>
      </c>
      <c r="N230" s="1" t="str">
        <f ca="1">IF(ISNA(VLOOKUP(A230,Projects!B:B,1,FALSE)),"","Yes")</f>
        <v>Yes</v>
      </c>
    </row>
    <row r="231" spans="1:14" hidden="1" outlineLevel="1">
      <c r="A231" s="43" t="s">
        <v>1334</v>
      </c>
      <c r="B231" s="7"/>
      <c r="C231" s="44" t="s">
        <v>1335</v>
      </c>
      <c r="D231" s="7" t="s">
        <v>11</v>
      </c>
      <c r="E231" s="26">
        <v>40364</v>
      </c>
      <c r="F231" s="25">
        <v>1</v>
      </c>
      <c r="G231" s="25" t="s">
        <v>1099</v>
      </c>
      <c r="H231" s="37">
        <f ca="1">IF(AND(B231="",NOT(A231="")),VLOOKUP(A231,TaskPlan!A:M,13,FALSE),"")</f>
        <v>40490</v>
      </c>
      <c r="I231" s="38" t="str">
        <f ca="1">IF(AND(B231="",NOT(A231="")),VLOOKUP(A231,TaskPlan!A:M,12,FALSE),"")</f>
        <v>Closed</v>
      </c>
      <c r="J231" s="39" t="str">
        <f ca="1">IF(AND(B231="",NOT(A231="")),VLOOKUP(A231,TaskPlan!A:L,2,FALSE),"")</f>
        <v>Ruth</v>
      </c>
      <c r="K231" s="39" t="str">
        <f ca="1">IF(AND(B231="",NOT(A231="")),IF(NOT(LEFT(VLOOKUP(A231,TaskPlan!A:L,3,FALSE),1) = "0"),VLOOKUP(A231,TaskPlan!A:L,3,FALSE),""),"")</f>
        <v/>
      </c>
      <c r="L231" s="55" t="str">
        <f ca="1">IF(AND(B231="",NOT(A231="")),IF(NOT(LEFT(VLOOKUP(A231,TaskPlan!A:L,3,FALSE),1) = "0"),VLOOKUP(A231,TaskPlan!A:M,4,FALSE),""),"")</f>
        <v/>
      </c>
      <c r="N231" s="1" t="str">
        <f ca="1">IF(ISNA(VLOOKUP(A231,Projects!B:B,1,FALSE)),"","Yes")</f>
        <v>Yes</v>
      </c>
    </row>
    <row r="232" spans="1:14" hidden="1" outlineLevel="1">
      <c r="A232" s="43" t="s">
        <v>1357</v>
      </c>
      <c r="B232" s="7"/>
      <c r="C232" s="44" t="s">
        <v>1358</v>
      </c>
      <c r="D232" s="7" t="s">
        <v>29</v>
      </c>
      <c r="E232" s="26">
        <v>40387</v>
      </c>
      <c r="F232" s="25">
        <v>3</v>
      </c>
      <c r="G232" s="25" t="s">
        <v>1098</v>
      </c>
      <c r="H232" s="37">
        <f ca="1">IF(AND(B232="",NOT(A232="")),VLOOKUP(A232,TaskPlan!A:M,13,FALSE),"")</f>
        <v>40490</v>
      </c>
      <c r="I232" s="38" t="str">
        <f ca="1">IF(AND(B232="",NOT(A232="")),VLOOKUP(A232,TaskPlan!A:M,12,FALSE),"")</f>
        <v>Closed</v>
      </c>
      <c r="J232" s="39" t="str">
        <f ca="1">IF(AND(B232="",NOT(A232="")),VLOOKUP(A232,TaskPlan!A:L,2,FALSE),"")</f>
        <v>Ruth</v>
      </c>
      <c r="K232" s="39" t="str">
        <f ca="1">IF(AND(B232="",NOT(A232="")),IF(NOT(LEFT(VLOOKUP(A232,TaskPlan!A:L,3,FALSE),1) = "0"),VLOOKUP(A232,TaskPlan!A:L,3,FALSE),""),"")</f>
        <v/>
      </c>
      <c r="L232" s="55" t="str">
        <f ca="1">IF(AND(B232="",NOT(A232="")),IF(NOT(LEFT(VLOOKUP(A232,TaskPlan!A:L,3,FALSE),1) = "0"),VLOOKUP(A232,TaskPlan!A:M,4,FALSE),""),"")</f>
        <v/>
      </c>
      <c r="N232" s="1" t="str">
        <f ca="1">IF(ISNA(VLOOKUP(A232,Projects!B:B,1,FALSE)),"","Yes")</f>
        <v>Yes</v>
      </c>
    </row>
    <row r="233" spans="1:14" hidden="1" outlineLevel="1">
      <c r="A233" s="43" t="s">
        <v>1373</v>
      </c>
      <c r="B233" s="7"/>
      <c r="C233" s="44" t="s">
        <v>1374</v>
      </c>
      <c r="D233" s="7" t="s">
        <v>11</v>
      </c>
      <c r="E233" s="26">
        <v>40388</v>
      </c>
      <c r="F233" s="25">
        <v>2</v>
      </c>
      <c r="G233" s="28" t="s">
        <v>1213</v>
      </c>
      <c r="H233" s="37">
        <f ca="1">IF(AND(B233="",NOT(A233="")),VLOOKUP(A233,TaskPlan!A:M,13,FALSE),"")</f>
        <v>40436</v>
      </c>
      <c r="I233" s="38" t="str">
        <f ca="1">IF(AND(B233="",NOT(A233="")),VLOOKUP(A233,TaskPlan!A:M,12,FALSE),"")</f>
        <v>Closed</v>
      </c>
      <c r="J233" s="39" t="str">
        <f ca="1">IF(AND(B233="",NOT(A233="")),VLOOKUP(A233,TaskPlan!A:L,2,FALSE),"")</f>
        <v>Ruth</v>
      </c>
      <c r="K233" s="39" t="str">
        <f ca="1">IF(AND(B233="",NOT(A233="")),IF(NOT(LEFT(VLOOKUP(A233,TaskPlan!A:L,3,FALSE),1) = "0"),VLOOKUP(A233,TaskPlan!A:L,3,FALSE),""),"")</f>
        <v/>
      </c>
      <c r="L233" s="55" t="str">
        <f ca="1">IF(AND(B233="",NOT(A233="")),IF(NOT(LEFT(VLOOKUP(A233,TaskPlan!A:L,3,FALSE),1) = "0"),VLOOKUP(A233,TaskPlan!A:M,4,FALSE),""),"")</f>
        <v/>
      </c>
      <c r="N233" s="1" t="str">
        <f ca="1">IF(ISNA(VLOOKUP(A233,Projects!B:B,1,FALSE)),"","Yes")</f>
        <v>Yes</v>
      </c>
    </row>
    <row r="234" spans="1:14" hidden="1" outlineLevel="1">
      <c r="A234" s="43" t="s">
        <v>1375</v>
      </c>
      <c r="B234" s="7"/>
      <c r="C234" s="44" t="s">
        <v>1376</v>
      </c>
      <c r="D234" s="7" t="s">
        <v>11</v>
      </c>
      <c r="E234" s="26">
        <v>40388</v>
      </c>
      <c r="F234" s="25">
        <v>1</v>
      </c>
      <c r="G234" s="25" t="s">
        <v>1098</v>
      </c>
      <c r="H234" s="37">
        <f ca="1">IF(AND(B234="",NOT(A234="")),VLOOKUP(A234,TaskPlan!A:M,13,FALSE),"")</f>
        <v>40436</v>
      </c>
      <c r="I234" s="38" t="str">
        <f ca="1">IF(AND(B234="",NOT(A234="")),VLOOKUP(A234,TaskPlan!A:M,12,FALSE),"")</f>
        <v>Closed</v>
      </c>
      <c r="J234" s="39" t="str">
        <f ca="1">IF(AND(B234="",NOT(A234="")),VLOOKUP(A234,TaskPlan!A:L,2,FALSE),"")</f>
        <v>Ruth</v>
      </c>
      <c r="K234" s="39" t="str">
        <f ca="1">IF(AND(B234="",NOT(A234="")),IF(NOT(LEFT(VLOOKUP(A234,TaskPlan!A:L,3,FALSE),1) = "0"),VLOOKUP(A234,TaskPlan!A:L,3,FALSE),""),"")</f>
        <v/>
      </c>
      <c r="L234" s="55" t="str">
        <f ca="1">IF(AND(B234="",NOT(A234="")),IF(NOT(LEFT(VLOOKUP(A234,TaskPlan!A:L,3,FALSE),1) = "0"),VLOOKUP(A234,TaskPlan!A:M,4,FALSE),""),"")</f>
        <v/>
      </c>
      <c r="N234" s="1" t="str">
        <f ca="1">IF(ISNA(VLOOKUP(A234,Projects!B:B,1,FALSE)),"","Yes")</f>
        <v>Yes</v>
      </c>
    </row>
    <row r="235" spans="1:14" ht="25.5" hidden="1" outlineLevel="1">
      <c r="A235" s="43" t="s">
        <v>1377</v>
      </c>
      <c r="B235" s="7"/>
      <c r="C235" s="44" t="s">
        <v>1378</v>
      </c>
      <c r="D235" s="7" t="s">
        <v>11</v>
      </c>
      <c r="E235" s="26">
        <v>40388</v>
      </c>
      <c r="F235" s="25">
        <v>1</v>
      </c>
      <c r="G235" s="25" t="s">
        <v>1098</v>
      </c>
      <c r="H235" s="37">
        <f ca="1">IF(AND(B235="",NOT(A235="")),VLOOKUP(A235,TaskPlan!A:M,13,FALSE),"")</f>
        <v>40436</v>
      </c>
      <c r="I235" s="38" t="str">
        <f ca="1">IF(AND(B235="",NOT(A235="")),VLOOKUP(A235,TaskPlan!A:M,12,FALSE),"")</f>
        <v>Closed</v>
      </c>
      <c r="J235" s="39" t="str">
        <f ca="1">IF(AND(B235="",NOT(A235="")),VLOOKUP(A235,TaskPlan!A:L,2,FALSE),"")</f>
        <v>Ruth</v>
      </c>
      <c r="K235" s="39" t="str">
        <f ca="1">IF(AND(B235="",NOT(A235="")),IF(NOT(LEFT(VLOOKUP(A235,TaskPlan!A:L,3,FALSE),1) = "0"),VLOOKUP(A235,TaskPlan!A:L,3,FALSE),""),"")</f>
        <v/>
      </c>
      <c r="L235" s="55" t="str">
        <f ca="1">IF(AND(B235="",NOT(A235="")),IF(NOT(LEFT(VLOOKUP(A235,TaskPlan!A:L,3,FALSE),1) = "0"),VLOOKUP(A235,TaskPlan!A:M,4,FALSE),""),"")</f>
        <v/>
      </c>
      <c r="N235" s="1" t="str">
        <f ca="1">IF(ISNA(VLOOKUP(A235,Projects!B:B,1,FALSE)),"","Yes")</f>
        <v>Yes</v>
      </c>
    </row>
    <row r="236" spans="1:14" hidden="1" outlineLevel="1">
      <c r="A236" s="43" t="s">
        <v>1380</v>
      </c>
      <c r="C236" s="44" t="s">
        <v>1248</v>
      </c>
      <c r="D236" s="7" t="s">
        <v>11</v>
      </c>
      <c r="E236" s="26">
        <v>40388</v>
      </c>
      <c r="F236" s="25">
        <v>1</v>
      </c>
      <c r="G236" s="25" t="s">
        <v>1098</v>
      </c>
      <c r="H236" s="37">
        <f ca="1">IF(AND(B236="",NOT(A236="")),VLOOKUP(A236,TaskPlan!A:M,13,FALSE),"")</f>
        <v>40490</v>
      </c>
      <c r="I236" s="38" t="str">
        <f ca="1">IF(AND(B236="",NOT(A236="")),VLOOKUP(A236,TaskPlan!A:M,12,FALSE),"")</f>
        <v>Closed</v>
      </c>
      <c r="J236" s="39" t="str">
        <f ca="1">IF(AND(B236="",NOT(A236="")),VLOOKUP(A236,TaskPlan!A:L,2,FALSE),"")</f>
        <v>Ruth</v>
      </c>
      <c r="K236" s="39" t="str">
        <f ca="1">IF(AND(B236="",NOT(A236="")),IF(NOT(LEFT(VLOOKUP(A236,TaskPlan!A:L,3,FALSE),1) = "0"),VLOOKUP(A236,TaskPlan!A:L,3,FALSE),""),"")</f>
        <v/>
      </c>
      <c r="L236" s="55" t="str">
        <f ca="1">IF(AND(B236="",NOT(A236="")),IF(NOT(LEFT(VLOOKUP(A236,TaskPlan!A:L,3,FALSE),1) = "0"),VLOOKUP(A236,TaskPlan!A:M,4,FALSE),""),"")</f>
        <v/>
      </c>
      <c r="N236" s="1" t="str">
        <f ca="1">IF(ISNA(VLOOKUP(A236,Projects!B:B,1,FALSE)),"","Yes")</f>
        <v>Yes</v>
      </c>
    </row>
    <row r="237" spans="1:14" hidden="1" outlineLevel="1">
      <c r="A237" s="43" t="s">
        <v>1381</v>
      </c>
      <c r="C237" s="44" t="s">
        <v>1244</v>
      </c>
      <c r="D237" s="7" t="s">
        <v>11</v>
      </c>
      <c r="E237" s="26">
        <v>40388</v>
      </c>
      <c r="F237" s="25">
        <v>1</v>
      </c>
      <c r="G237" s="25" t="s">
        <v>1098</v>
      </c>
      <c r="H237" s="37">
        <f ca="1">IF(AND(B237="",NOT(A237="")),VLOOKUP(A237,TaskPlan!A:M,13,FALSE),"")</f>
        <v>40490</v>
      </c>
      <c r="I237" s="38" t="str">
        <f ca="1">IF(AND(B237="",NOT(A237="")),VLOOKUP(A237,TaskPlan!A:M,12,FALSE),"")</f>
        <v>Closed</v>
      </c>
      <c r="J237" s="39" t="str">
        <f ca="1">IF(AND(B237="",NOT(A237="")),VLOOKUP(A237,TaskPlan!A:L,2,FALSE),"")</f>
        <v>Pramendra</v>
      </c>
      <c r="K237" s="39" t="str">
        <f ca="1">IF(AND(B237="",NOT(A237="")),IF(NOT(LEFT(VLOOKUP(A237,TaskPlan!A:L,3,FALSE),1) = "0"),VLOOKUP(A237,TaskPlan!A:L,3,FALSE),""),"")</f>
        <v/>
      </c>
      <c r="L237" s="55" t="str">
        <f ca="1">IF(AND(B237="",NOT(A237="")),IF(NOT(LEFT(VLOOKUP(A237,TaskPlan!A:L,3,FALSE),1) = "0"),VLOOKUP(A237,TaskPlan!A:M,4,FALSE),""),"")</f>
        <v/>
      </c>
      <c r="N237" s="1" t="str">
        <f ca="1">IF(ISNA(VLOOKUP(A237,Projects!B:B,1,FALSE)),"","Yes")</f>
        <v>Yes</v>
      </c>
    </row>
    <row r="238" spans="1:14" hidden="1" outlineLevel="1">
      <c r="A238" s="43" t="s">
        <v>1382</v>
      </c>
      <c r="B238" s="7"/>
      <c r="C238" s="44" t="s">
        <v>1246</v>
      </c>
      <c r="D238" s="7" t="s">
        <v>11</v>
      </c>
      <c r="E238" s="26">
        <v>40388</v>
      </c>
      <c r="F238" s="25">
        <v>1</v>
      </c>
      <c r="G238" s="25" t="s">
        <v>1098</v>
      </c>
      <c r="H238" s="37">
        <f ca="1">IF(AND(B238="",NOT(A238="")),VLOOKUP(A238,TaskPlan!A:M,13,FALSE),"")</f>
        <v>40490</v>
      </c>
      <c r="I238" s="38" t="str">
        <f ca="1">IF(AND(B238="",NOT(A238="")),VLOOKUP(A238,TaskPlan!A:M,12,FALSE),"")</f>
        <v>Closed</v>
      </c>
      <c r="J238" s="39" t="str">
        <f ca="1">IF(AND(B238="",NOT(A238="")),VLOOKUP(A238,TaskPlan!A:L,2,FALSE),"")</f>
        <v>Ruth</v>
      </c>
      <c r="K238" s="39" t="str">
        <f ca="1">IF(AND(B238="",NOT(A238="")),IF(NOT(LEFT(VLOOKUP(A238,TaskPlan!A:L,3,FALSE),1) = "0"),VLOOKUP(A238,TaskPlan!A:L,3,FALSE),""),"")</f>
        <v/>
      </c>
      <c r="L238" s="55" t="str">
        <f ca="1">IF(AND(B238="",NOT(A238="")),IF(NOT(LEFT(VLOOKUP(A238,TaskPlan!A:L,3,FALSE),1) = "0"),VLOOKUP(A238,TaskPlan!A:M,4,FALSE),""),"")</f>
        <v/>
      </c>
      <c r="N238" s="1" t="str">
        <f ca="1">IF(ISNA(VLOOKUP(A238,Projects!B:B,1,FALSE)),"","Yes")</f>
        <v>Yes</v>
      </c>
    </row>
    <row r="239" spans="1:14" hidden="1" outlineLevel="1">
      <c r="A239" s="43" t="s">
        <v>1412</v>
      </c>
      <c r="B239" s="7"/>
      <c r="C239" s="44" t="s">
        <v>1413</v>
      </c>
      <c r="D239" s="7" t="s">
        <v>759</v>
      </c>
      <c r="E239" s="26">
        <v>40403</v>
      </c>
      <c r="F239" s="25">
        <v>4</v>
      </c>
      <c r="G239" s="25" t="s">
        <v>1098</v>
      </c>
      <c r="H239" s="37">
        <f ca="1">IF(AND(B239="",NOT(A239="")),VLOOKUP(A239,TaskPlan!A:M,13,FALSE),"")</f>
        <v>40490</v>
      </c>
      <c r="I239" s="38" t="str">
        <f ca="1">IF(AND(B239="",NOT(A239="")),VLOOKUP(A239,TaskPlan!A:M,12,FALSE),"")</f>
        <v>Closed</v>
      </c>
      <c r="J239" s="39" t="str">
        <f ca="1">IF(AND(B239="",NOT(A239="")),VLOOKUP(A239,TaskPlan!A:L,2,FALSE),"")</f>
        <v>Ruth</v>
      </c>
      <c r="K239" s="39" t="str">
        <f ca="1">IF(AND(B239="",NOT(A239="")),IF(NOT(LEFT(VLOOKUP(A239,TaskPlan!A:L,3,FALSE),1) = "0"),VLOOKUP(A239,TaskPlan!A:L,3,FALSE),""),"")</f>
        <v/>
      </c>
      <c r="L239" s="55" t="str">
        <f ca="1">IF(AND(B239="",NOT(A239="")),IF(NOT(LEFT(VLOOKUP(A239,TaskPlan!A:L,3,FALSE),1) = "0"),VLOOKUP(A239,TaskPlan!A:M,4,FALSE),""),"")</f>
        <v/>
      </c>
      <c r="N239" s="1" t="str">
        <f ca="1">IF(ISNA(VLOOKUP(A239,Projects!B:B,1,FALSE)),"","Yes")</f>
        <v>Yes</v>
      </c>
    </row>
    <row r="240" spans="1:14" hidden="1" outlineLevel="1">
      <c r="A240" s="43" t="s">
        <v>1466</v>
      </c>
      <c r="B240" s="7"/>
      <c r="C240" s="44" t="s">
        <v>1467</v>
      </c>
      <c r="D240" s="7" t="s">
        <v>759</v>
      </c>
      <c r="E240" s="26">
        <v>40423</v>
      </c>
      <c r="F240" s="25">
        <v>1</v>
      </c>
      <c r="G240" s="25" t="s">
        <v>1098</v>
      </c>
      <c r="H240" s="37">
        <f ca="1">IF(AND(B240="",NOT(A240="")),VLOOKUP(A240,TaskPlan!A:M,13,FALSE),"")</f>
        <v>40436</v>
      </c>
      <c r="I240" s="38" t="str">
        <f ca="1">IF(AND(B240="",NOT(A240="")),VLOOKUP(A240,TaskPlan!A:M,12,FALSE),"")</f>
        <v>Closed</v>
      </c>
      <c r="J240" s="39" t="str">
        <f ca="1">IF(AND(B240="",NOT(A240="")),VLOOKUP(A240,TaskPlan!A:L,2,FALSE),"")</f>
        <v>Ruth</v>
      </c>
      <c r="K240" s="39" t="str">
        <f ca="1">IF(AND(B240="",NOT(A240="")),IF(NOT(LEFT(VLOOKUP(A240,TaskPlan!A:L,3,FALSE),1) = "0"),VLOOKUP(A240,TaskPlan!A:L,3,FALSE),""),"")</f>
        <v/>
      </c>
      <c r="L240" s="55" t="str">
        <f ca="1">IF(AND(B240="",NOT(A240="")),IF(NOT(LEFT(VLOOKUP(A240,TaskPlan!A:L,3,FALSE),1) = "0"),VLOOKUP(A240,TaskPlan!A:M,4,FALSE),""),"")</f>
        <v/>
      </c>
      <c r="N240" s="1" t="str">
        <f ca="1">IF(ISNA(VLOOKUP(A240,Projects!B:B,1,FALSE)),"","Yes")</f>
        <v>Yes</v>
      </c>
    </row>
    <row r="241" spans="1:14" hidden="1" outlineLevel="1">
      <c r="A241" s="43" t="s">
        <v>1481</v>
      </c>
      <c r="B241" s="7"/>
      <c r="C241" s="44" t="s">
        <v>1482</v>
      </c>
      <c r="D241" s="7" t="s">
        <v>11</v>
      </c>
      <c r="E241" s="26">
        <v>40429</v>
      </c>
      <c r="F241" s="25">
        <v>1</v>
      </c>
      <c r="G241" s="25" t="s">
        <v>1098</v>
      </c>
      <c r="H241" s="37">
        <f ca="1">IF(AND(B241="",NOT(A241="")),VLOOKUP(A241,TaskPlan!A:M,13,FALSE),"")</f>
        <v>40436</v>
      </c>
      <c r="I241" s="38" t="str">
        <f ca="1">IF(AND(B241="",NOT(A241="")),VLOOKUP(A241,TaskPlan!A:M,12,FALSE),"")</f>
        <v>Closed</v>
      </c>
      <c r="J241" s="39" t="str">
        <f ca="1">IF(AND(B241="",NOT(A241="")),VLOOKUP(A241,TaskPlan!A:L,2,FALSE),"")</f>
        <v>Ruth</v>
      </c>
      <c r="K241" s="39" t="str">
        <f ca="1">IF(AND(B241="",NOT(A241="")),IF(NOT(LEFT(VLOOKUP(A241,TaskPlan!A:L,3,FALSE),1) = "0"),VLOOKUP(A241,TaskPlan!A:L,3,FALSE),""),"")</f>
        <v/>
      </c>
      <c r="L241" s="55" t="str">
        <f ca="1">IF(AND(B241="",NOT(A241="")),IF(NOT(LEFT(VLOOKUP(A241,TaskPlan!A:L,3,FALSE),1) = "0"),VLOOKUP(A241,TaskPlan!A:M,4,FALSE),""),"")</f>
        <v/>
      </c>
      <c r="N241" s="1" t="str">
        <f ca="1">IF(ISNA(VLOOKUP(A241,Projects!B:B,1,FALSE)),"","Yes")</f>
        <v>Yes</v>
      </c>
    </row>
    <row r="242" spans="1:14" hidden="1" outlineLevel="1">
      <c r="A242" s="43" t="s">
        <v>1532</v>
      </c>
      <c r="B242" s="7"/>
      <c r="C242" s="44" t="s">
        <v>1533</v>
      </c>
      <c r="D242" s="7" t="s">
        <v>32</v>
      </c>
      <c r="E242" s="26">
        <v>40438</v>
      </c>
      <c r="F242" s="25">
        <v>2</v>
      </c>
      <c r="G242" s="25" t="s">
        <v>1098</v>
      </c>
      <c r="H242" s="37">
        <f ca="1">IF(AND(B242="",NOT(A242="")),VLOOKUP(A242,TaskPlan!A:M,13,FALSE),"")</f>
        <v>40490</v>
      </c>
      <c r="I242" s="38" t="str">
        <f ca="1">IF(AND(B242="",NOT(A242="")),VLOOKUP(A242,TaskPlan!A:M,12,FALSE),"")</f>
        <v>Closed</v>
      </c>
      <c r="J242" s="39" t="str">
        <f ca="1">IF(AND(B242="",NOT(A242="")),VLOOKUP(A242,TaskPlan!A:L,2,FALSE),"")</f>
        <v>Ruth</v>
      </c>
      <c r="K242" s="39" t="str">
        <f ca="1">IF(AND(B242="",NOT(A242="")),IF(NOT(LEFT(VLOOKUP(A242,TaskPlan!A:L,3,FALSE),1) = "0"),VLOOKUP(A242,TaskPlan!A:L,3,FALSE),""),"")</f>
        <v/>
      </c>
      <c r="L242" s="55" t="str">
        <f ca="1">IF(AND(B242="",NOT(A242="")),IF(NOT(LEFT(VLOOKUP(A242,TaskPlan!A:L,3,FALSE),1) = "0"),VLOOKUP(A242,TaskPlan!A:M,4,FALSE),""),"")</f>
        <v/>
      </c>
      <c r="N242" s="1" t="str">
        <f ca="1">IF(ISNA(VLOOKUP(A242,Projects!B:B,1,FALSE)),"","Yes")</f>
        <v/>
      </c>
    </row>
    <row r="243" spans="1:14" hidden="1" outlineLevel="1">
      <c r="A243" s="43" t="s">
        <v>1682</v>
      </c>
      <c r="B243" s="7"/>
      <c r="C243" s="44" t="s">
        <v>1774</v>
      </c>
      <c r="D243" s="7" t="s">
        <v>759</v>
      </c>
      <c r="E243" s="26">
        <v>40521</v>
      </c>
      <c r="F243" s="25">
        <v>3</v>
      </c>
      <c r="G243" s="25" t="s">
        <v>1098</v>
      </c>
      <c r="H243" s="37">
        <f ca="1">IF(AND(B243="",NOT(A243="")),VLOOKUP(A243,TaskPlan!A:M,13,FALSE),"")</f>
        <v>40486</v>
      </c>
      <c r="I243" s="38" t="str">
        <f ca="1">IF(AND(B243="",NOT(A243="")),VLOOKUP(A243,TaskPlan!A:M,12,FALSE),"")</f>
        <v>Not Started</v>
      </c>
      <c r="J243" s="39" t="str">
        <f ca="1">IF(AND(B243="",NOT(A243="")),VLOOKUP(A243,TaskPlan!A:L,2,FALSE),"")</f>
        <v>Unassigned</v>
      </c>
      <c r="K243" s="39" t="str">
        <f ca="1">IF(AND(B243="",NOT(A243="")),IF(NOT(LEFT(VLOOKUP(A243,TaskPlan!A:L,3,FALSE),1) = "0"),VLOOKUP(A243,TaskPlan!A:L,3,FALSE),""),"")</f>
        <v>3-MED</v>
      </c>
      <c r="L243" s="55">
        <f ca="1">IF(AND(B243="",NOT(A243="")),IF(NOT(LEFT(VLOOKUP(A243,TaskPlan!A:L,3,FALSE),1) = "0"),VLOOKUP(A243,TaskPlan!A:M,4,FALSE),""),"")</f>
        <v>0</v>
      </c>
      <c r="N243" s="1" t="str">
        <f ca="1">IF(ISNA(VLOOKUP(A243,Projects!B:B,1,FALSE)),"","Yes")</f>
        <v>Yes</v>
      </c>
    </row>
    <row r="244" spans="1:14" ht="25.5" hidden="1" outlineLevel="1">
      <c r="A244" s="43" t="s">
        <v>1683</v>
      </c>
      <c r="B244" s="7"/>
      <c r="C244" s="44" t="s">
        <v>1684</v>
      </c>
      <c r="D244" s="7" t="s">
        <v>759</v>
      </c>
      <c r="E244" s="26">
        <v>40487</v>
      </c>
      <c r="F244" s="25">
        <v>2</v>
      </c>
      <c r="G244" s="25" t="s">
        <v>1098</v>
      </c>
      <c r="H244" s="37">
        <f ca="1">IF(AND(B244="",NOT(A244="")),VLOOKUP(A244,TaskPlan!A:M,13,FALSE),"")</f>
        <v>40487</v>
      </c>
      <c r="I244" s="38" t="str">
        <f ca="1">IF(AND(B244="",NOT(A244="")),VLOOKUP(A244,TaskPlan!A:M,12,FALSE),"")</f>
        <v>Not Started</v>
      </c>
      <c r="J244" s="39" t="str">
        <f ca="1">IF(AND(B244="",NOT(A244="")),VLOOKUP(A244,TaskPlan!A:L,2,FALSE),"")</f>
        <v>Unassigned</v>
      </c>
      <c r="K244" s="39" t="str">
        <f ca="1">IF(AND(B244="",NOT(A244="")),IF(NOT(LEFT(VLOOKUP(A244,TaskPlan!A:L,3,FALSE),1) = "0"),VLOOKUP(A244,TaskPlan!A:L,3,FALSE),""),"")</f>
        <v>3-MED</v>
      </c>
      <c r="L244" s="55">
        <f ca="1">IF(AND(B244="",NOT(A244="")),IF(NOT(LEFT(VLOOKUP(A244,TaskPlan!A:L,3,FALSE),1) = "0"),VLOOKUP(A244,TaskPlan!A:M,4,FALSE),""),"")</f>
        <v>0</v>
      </c>
      <c r="N244" s="1" t="str">
        <f ca="1">IF(ISNA(VLOOKUP(A244,Projects!B:B,1,FALSE)),"","Yes")</f>
        <v/>
      </c>
    </row>
    <row r="245" spans="1:14" hidden="1" outlineLevel="1">
      <c r="A245" s="43" t="s">
        <v>1692</v>
      </c>
      <c r="B245" s="7"/>
      <c r="C245" s="44" t="s">
        <v>1693</v>
      </c>
      <c r="D245" s="7" t="s">
        <v>11</v>
      </c>
      <c r="E245" s="26">
        <v>40490</v>
      </c>
      <c r="F245" s="25">
        <v>3</v>
      </c>
      <c r="G245" s="25" t="s">
        <v>1098</v>
      </c>
      <c r="H245" s="37">
        <f ca="1">IF(AND(B245="",NOT(A245="")),VLOOKUP(A245,TaskPlan!A:M,13,FALSE),"")</f>
        <v>40490</v>
      </c>
      <c r="I245" s="38" t="str">
        <f ca="1">IF(AND(B245="",NOT(A245="")),VLOOKUP(A245,TaskPlan!A:M,12,FALSE),"")</f>
        <v>Not Started</v>
      </c>
      <c r="J245" s="39" t="str">
        <f ca="1">IF(AND(B245="",NOT(A245="")),VLOOKUP(A245,TaskPlan!A:L,2,FALSE),"")</f>
        <v>Ruth</v>
      </c>
      <c r="K245" s="39" t="str">
        <f ca="1">IF(AND(B245="",NOT(A245="")),IF(NOT(LEFT(VLOOKUP(A245,TaskPlan!A:L,3,FALSE),1) = "0"),VLOOKUP(A245,TaskPlan!A:L,3,FALSE),""),"")</f>
        <v>3-MED</v>
      </c>
      <c r="L245" s="55">
        <f ca="1">IF(AND(B245="",NOT(A245="")),IF(NOT(LEFT(VLOOKUP(A245,TaskPlan!A:L,3,FALSE),1) = "0"),VLOOKUP(A245,TaskPlan!A:M,4,FALSE),""),"")</f>
        <v>0</v>
      </c>
      <c r="N245" s="1" t="str">
        <f ca="1">IF(ISNA(VLOOKUP(A245,Projects!B:B,1,FALSE)),"","Yes")</f>
        <v/>
      </c>
    </row>
    <row r="246" spans="1:14" hidden="1" outlineLevel="1">
      <c r="A246" s="43" t="s">
        <v>1700</v>
      </c>
      <c r="B246" s="7"/>
      <c r="C246" s="44" t="s">
        <v>1701</v>
      </c>
      <c r="D246" s="7" t="s">
        <v>11</v>
      </c>
      <c r="E246" s="26">
        <v>40499</v>
      </c>
      <c r="F246" s="25">
        <v>0.5</v>
      </c>
      <c r="G246" s="25" t="s">
        <v>1098</v>
      </c>
      <c r="H246" s="37">
        <f ca="1">IF(AND(B246="",NOT(A246="")),VLOOKUP(A246,TaskPlan!A:M,13,FALSE),"")</f>
        <v>40499</v>
      </c>
      <c r="I246" s="38" t="str">
        <f ca="1">IF(AND(B246="",NOT(A246="")),VLOOKUP(A246,TaskPlan!A:M,12,FALSE),"")</f>
        <v>Not Started</v>
      </c>
      <c r="J246" s="39" t="str">
        <f ca="1">IF(AND(B246="",NOT(A246="")),VLOOKUP(A246,TaskPlan!A:L,2,FALSE),"")</f>
        <v>Ruth</v>
      </c>
      <c r="K246" s="39" t="str">
        <f ca="1">IF(AND(B246="",NOT(A246="")),IF(NOT(LEFT(VLOOKUP(A246,TaskPlan!A:L,3,FALSE),1) = "0"),VLOOKUP(A246,TaskPlan!A:L,3,FALSE),""),"")</f>
        <v>4-HIGH</v>
      </c>
      <c r="L246" s="55">
        <f ca="1">IF(AND(B246="",NOT(A246="")),IF(NOT(LEFT(VLOOKUP(A246,TaskPlan!A:L,3,FALSE),1) = "0"),VLOOKUP(A246,TaskPlan!A:M,4,FALSE),""),"")</f>
        <v>0</v>
      </c>
      <c r="N246" s="1" t="str">
        <f ca="1">IF(ISNA(VLOOKUP(A246,Projects!B:B,1,FALSE)),"","Yes")</f>
        <v/>
      </c>
    </row>
    <row r="247" spans="1:14" ht="25.5" hidden="1" outlineLevel="1">
      <c r="A247" s="43" t="s">
        <v>1762</v>
      </c>
      <c r="B247" s="7"/>
      <c r="C247" s="44" t="s">
        <v>1763</v>
      </c>
      <c r="D247" s="7" t="s">
        <v>11</v>
      </c>
      <c r="E247" s="26">
        <v>40521</v>
      </c>
      <c r="F247" s="25">
        <v>3</v>
      </c>
      <c r="G247" s="25" t="s">
        <v>1098</v>
      </c>
      <c r="H247" s="37">
        <f ca="1">IF(AND(B247="",NOT(A247="")),VLOOKUP(A247,TaskPlan!A:M,13,FALSE),"")</f>
        <v>40589</v>
      </c>
      <c r="I247" s="38" t="str">
        <f ca="1">IF(AND(B247="",NOT(A247="")),VLOOKUP(A247,TaskPlan!A:M,12,FALSE),"")</f>
        <v>Closed</v>
      </c>
      <c r="J247" s="39" t="str">
        <f ca="1">IF(AND(B247="",NOT(A247="")),VLOOKUP(A247,TaskPlan!A:L,2,FALSE),"")</f>
        <v>Ruth</v>
      </c>
      <c r="K247" s="39" t="str">
        <f ca="1">IF(AND(B247="",NOT(A247="")),IF(NOT(LEFT(VLOOKUP(A247,TaskPlan!A:L,3,FALSE),1) = "0"),VLOOKUP(A247,TaskPlan!A:L,3,FALSE),""),"")</f>
        <v/>
      </c>
      <c r="L247" s="55" t="str">
        <f ca="1">IF(AND(B247="",NOT(A247="")),IF(NOT(LEFT(VLOOKUP(A247,TaskPlan!A:L,3,FALSE),1) = "0"),VLOOKUP(A247,TaskPlan!A:M,4,FALSE),""),"")</f>
        <v/>
      </c>
      <c r="N247" s="1" t="str">
        <f ca="1">IF(ISNA(VLOOKUP(A247,Projects!B:B,1,FALSE)),"","Yes")</f>
        <v/>
      </c>
    </row>
    <row r="248" spans="1:14" hidden="1" outlineLevel="1">
      <c r="A248" s="43" t="s">
        <v>1835</v>
      </c>
      <c r="B248" s="7"/>
      <c r="C248" s="44" t="s">
        <v>1836</v>
      </c>
      <c r="D248" s="7" t="s">
        <v>759</v>
      </c>
      <c r="E248" s="26">
        <v>40568</v>
      </c>
      <c r="F248" s="25">
        <v>5</v>
      </c>
      <c r="G248" s="25" t="s">
        <v>1099</v>
      </c>
      <c r="H248" s="37">
        <f ca="1">IF(AND(B248="",NOT(A248="")),VLOOKUP(A248,TaskPlan!A:M,13,FALSE),"")</f>
        <v>40555</v>
      </c>
      <c r="I248" s="38" t="str">
        <f ca="1">IF(AND(B248="",NOT(A248="")),VLOOKUP(A248,TaskPlan!A:M,12,FALSE),"")</f>
        <v>Not Started</v>
      </c>
      <c r="J248" s="39" t="str">
        <f ca="1">IF(AND(B248="",NOT(A248="")),VLOOKUP(A248,TaskPlan!A:L,2,FALSE),"")</f>
        <v>Unassigned</v>
      </c>
      <c r="K248" s="39" t="str">
        <f ca="1">IF(AND(B248="",NOT(A248="")),IF(NOT(LEFT(VLOOKUP(A248,TaskPlan!A:L,3,FALSE),1) = "0"),VLOOKUP(A248,TaskPlan!A:L,3,FALSE),""),"")</f>
        <v>2-LOW</v>
      </c>
      <c r="L248" s="55">
        <f ca="1">IF(AND(B248="",NOT(A248="")),IF(NOT(LEFT(VLOOKUP(A248,TaskPlan!A:L,3,FALSE),1) = "0"),VLOOKUP(A248,TaskPlan!A:M,4,FALSE),""),"")</f>
        <v>0</v>
      </c>
      <c r="N248" s="1" t="str">
        <f ca="1">IF(ISNA(VLOOKUP(A248,Projects!B:B,1,FALSE)),"","Yes")</f>
        <v>Yes</v>
      </c>
    </row>
    <row r="249" spans="1:14" hidden="1" outlineLevel="1">
      <c r="A249" s="43" t="s">
        <v>1884</v>
      </c>
      <c r="B249" s="7"/>
      <c r="C249" s="44" t="s">
        <v>1885</v>
      </c>
      <c r="D249" s="7" t="s">
        <v>759</v>
      </c>
      <c r="E249" s="26">
        <v>40563</v>
      </c>
      <c r="F249" s="25">
        <v>2</v>
      </c>
      <c r="G249" s="25" t="s">
        <v>289</v>
      </c>
      <c r="H249" s="37">
        <f ca="1">IF(AND(B249="",NOT(A249="")),VLOOKUP(A249,TaskPlan!A:M,13,FALSE),"")</f>
        <v>40563</v>
      </c>
      <c r="I249" s="38" t="str">
        <f ca="1">IF(AND(B249="",NOT(A249="")),VLOOKUP(A249,TaskPlan!A:M,12,FALSE),"")</f>
        <v>In Progress</v>
      </c>
      <c r="J249" s="39" t="str">
        <f ca="1">IF(AND(B249="",NOT(A249="")),VLOOKUP(A249,TaskPlan!A:L,2,FALSE),"")</f>
        <v>Pramendra</v>
      </c>
      <c r="K249" s="39" t="str">
        <f ca="1">IF(AND(B249="",NOT(A249="")),IF(NOT(LEFT(VLOOKUP(A249,TaskPlan!A:L,3,FALSE),1) = "0"),VLOOKUP(A249,TaskPlan!A:L,3,FALSE),""),"")</f>
        <v>5-HIGH</v>
      </c>
      <c r="L249" s="55">
        <f ca="1">IF(AND(B249="",NOT(A249="")),IF(NOT(LEFT(VLOOKUP(A249,TaskPlan!A:L,3,FALSE),1) = "0"),VLOOKUP(A249,TaskPlan!A:M,4,FALSE),""),"")</f>
        <v>0</v>
      </c>
      <c r="N249" s="1" t="str">
        <f ca="1">IF(ISNA(VLOOKUP(A249,Projects!B:B,1,FALSE)),"","Yes")</f>
        <v/>
      </c>
    </row>
    <row r="250" spans="1:14" hidden="1" outlineLevel="1">
      <c r="A250" s="43" t="s">
        <v>1892</v>
      </c>
      <c r="B250" s="7"/>
      <c r="C250" s="44" t="s">
        <v>1893</v>
      </c>
      <c r="D250" s="7" t="s">
        <v>759</v>
      </c>
      <c r="E250" s="26">
        <v>40568</v>
      </c>
      <c r="F250" s="25">
        <v>2</v>
      </c>
      <c r="G250" s="25" t="s">
        <v>1099</v>
      </c>
      <c r="H250" s="37">
        <f ca="1">IF(AND(B250="",NOT(A250="")),VLOOKUP(A250,TaskPlan!A:M,13,FALSE),"")</f>
        <v>40568</v>
      </c>
      <c r="I250" s="38" t="str">
        <f ca="1">IF(AND(B250="",NOT(A250="")),VLOOKUP(A250,TaskPlan!A:M,12,FALSE),"")</f>
        <v>Not Started</v>
      </c>
      <c r="J250" s="39" t="str">
        <f ca="1">IF(AND(B250="",NOT(A250="")),VLOOKUP(A250,TaskPlan!A:L,2,FALSE),"")</f>
        <v>Pramendra</v>
      </c>
      <c r="K250" s="39" t="str">
        <f ca="1">IF(AND(B250="",NOT(A250="")),IF(NOT(LEFT(VLOOKUP(A250,TaskPlan!A:L,3,FALSE),1) = "0"),VLOOKUP(A250,TaskPlan!A:L,3,FALSE),""),"")</f>
        <v>3-MED</v>
      </c>
      <c r="L250" s="55">
        <f ca="1">IF(AND(B250="",NOT(A250="")),IF(NOT(LEFT(VLOOKUP(A250,TaskPlan!A:L,3,FALSE),1) = "0"),VLOOKUP(A250,TaskPlan!A:M,4,FALSE),""),"")</f>
        <v>0</v>
      </c>
      <c r="N250" s="1" t="str">
        <f ca="1">IF(ISNA(VLOOKUP(A250,Projects!B:B,1,FALSE)),"","Yes")</f>
        <v/>
      </c>
    </row>
    <row r="251" spans="1:14" hidden="1" outlineLevel="1">
      <c r="A251" s="43" t="s">
        <v>1929</v>
      </c>
      <c r="B251" s="7"/>
      <c r="C251" s="44" t="s">
        <v>1930</v>
      </c>
      <c r="D251" s="7" t="s">
        <v>11</v>
      </c>
      <c r="E251" s="26">
        <v>40590</v>
      </c>
      <c r="F251" s="25">
        <v>3</v>
      </c>
      <c r="G251" s="25" t="s">
        <v>1098</v>
      </c>
      <c r="H251" s="37">
        <f ca="1">IF(AND(B251="",NOT(A251="")),VLOOKUP(A251,TaskPlan!A:M,13,FALSE),"")</f>
        <v>40590</v>
      </c>
      <c r="I251" s="38" t="str">
        <f ca="1">IF(AND(B251="",NOT(A251="")),VLOOKUP(A251,TaskPlan!A:M,12,FALSE),"")</f>
        <v>Not Started</v>
      </c>
      <c r="J251" s="39" t="str">
        <f ca="1">IF(AND(B251="",NOT(A251="")),VLOOKUP(A251,TaskPlan!A:L,2,FALSE),"")</f>
        <v>Pramendra</v>
      </c>
      <c r="K251" s="39" t="str">
        <f ca="1">IF(AND(B251="",NOT(A251="")),IF(NOT(LEFT(VLOOKUP(A251,TaskPlan!A:L,3,FALSE),1) = "0"),VLOOKUP(A251,TaskPlan!A:L,3,FALSE),""),"")</f>
        <v>3-MED</v>
      </c>
      <c r="L251" s="55">
        <f ca="1">IF(AND(B251="",NOT(A251="")),IF(NOT(LEFT(VLOOKUP(A251,TaskPlan!A:L,3,FALSE),1) = "0"),VLOOKUP(A251,TaskPlan!A:M,4,FALSE),""),"")</f>
        <v>0</v>
      </c>
      <c r="N251" s="1" t="str">
        <f ca="1">IF(ISNA(VLOOKUP(A251,Projects!B:B,1,FALSE)),"","Yes")</f>
        <v/>
      </c>
    </row>
    <row r="252" spans="1:14" collapsed="1">
      <c r="A252" s="43"/>
      <c r="C252" s="44"/>
      <c r="D252" s="7"/>
      <c r="E252" s="26"/>
      <c r="H252" s="37" t="str">
        <f ca="1">IF(AND(B252="",NOT(A252="")),VLOOKUP(A252,TaskPlan!A:M,13,FALSE),"")</f>
        <v/>
      </c>
      <c r="I252" s="38" t="str">
        <f ca="1">IF(AND(B252="",NOT(A252="")),VLOOKUP(A252,TaskPlan!A:M,12,FALSE),"")</f>
        <v/>
      </c>
      <c r="J252" s="39" t="str">
        <f ca="1">IF(AND(B252="",NOT(A252="")),VLOOKUP(A252,TaskPlan!A:L,2,FALSE),"")</f>
        <v/>
      </c>
      <c r="K252" s="39" t="str">
        <f ca="1">IF(AND(B252="",NOT(A252="")),IF(NOT(LEFT(VLOOKUP(A252,TaskPlan!A:L,3,FALSE),1) = "0"),VLOOKUP(A252,TaskPlan!A:L,3,FALSE),""),"")</f>
        <v/>
      </c>
      <c r="L252" s="55" t="str">
        <f ca="1">IF(AND(B252="",NOT(A252="")),IF(NOT(LEFT(VLOOKUP(A252,TaskPlan!A:L,3,FALSE),1) = "0"),VLOOKUP(A252,TaskPlan!A:M,4,FALSE),""),"")</f>
        <v/>
      </c>
      <c r="M252" s="58" t="str">
        <f ca="1">IF(B252=".",1,IF(AND(B252="",NOT(A252="")),IF(VLOOKUP(A252,TaskPlan!A:L,5,FALSE)&gt;0,VLOOKUP(A252,TaskPlan!A:L,5,FALSE),""),""))</f>
        <v/>
      </c>
      <c r="N252" s="1" t="str">
        <f ca="1">IF(ISNA(VLOOKUP(A252,Projects!B:B,1,FALSE)),"","Yes")</f>
        <v/>
      </c>
    </row>
    <row r="253" spans="1:14" ht="15.75">
      <c r="A253" s="35" t="s">
        <v>104</v>
      </c>
      <c r="B253" s="1" t="s">
        <v>15</v>
      </c>
      <c r="C253" s="36" t="s">
        <v>469</v>
      </c>
      <c r="E253" s="26"/>
      <c r="H253" s="37" t="str">
        <f ca="1">IF(AND(B253="",NOT(A253="")),VLOOKUP(A253,TaskPlan!A:M,13,FALSE),"")</f>
        <v/>
      </c>
      <c r="I253" s="38" t="str">
        <f ca="1">IF(AND(B253="",NOT(A253="")),VLOOKUP(A253,TaskPlan!A:M,12,FALSE),"")</f>
        <v/>
      </c>
      <c r="J253" s="39" t="str">
        <f ca="1">IF(AND(B253="",NOT(A253="")),VLOOKUP(A253,TaskPlan!A:L,2,FALSE),"")</f>
        <v/>
      </c>
      <c r="K253" s="39" t="str">
        <f ca="1">IF(AND(B253="",NOT(A253="")),IF(NOT(LEFT(VLOOKUP(A253,TaskPlan!A:L,3,FALSE),1) = "0"),VLOOKUP(A253,TaskPlan!A:L,3,FALSE),""),"")</f>
        <v/>
      </c>
      <c r="L253" s="55" t="str">
        <f ca="1">IF(AND(B253="",NOT(A253="")),IF(NOT(LEFT(VLOOKUP(A253,TaskPlan!A:L,3,FALSE),1) = "0"),VLOOKUP(A253,TaskPlan!A:M,4,FALSE),""),"")</f>
        <v/>
      </c>
      <c r="M253" s="58">
        <f ca="1">IF(B253=".",1,IF(AND(B253="",NOT(A253="")),IF(VLOOKUP(A253,TaskPlan!A:L,5,FALSE)&gt;0,VLOOKUP(A253,TaskPlan!A:L,5,FALSE),""),""))</f>
        <v>1</v>
      </c>
      <c r="N253" s="1" t="str">
        <f ca="1">IF(ISNA(VLOOKUP(A253,Projects!B:B,1,FALSE)),"","Yes")</f>
        <v/>
      </c>
    </row>
    <row r="254" spans="1:14" hidden="1" outlineLevel="1">
      <c r="A254" s="41" t="s">
        <v>566</v>
      </c>
      <c r="C254" s="42" t="s">
        <v>33</v>
      </c>
      <c r="D254" s="1" t="s">
        <v>20</v>
      </c>
      <c r="E254" s="26">
        <v>39911</v>
      </c>
      <c r="H254" s="37">
        <f ca="1">IF(AND(B254="",NOT(A254="")),VLOOKUP(A254,TaskPlan!A:M,13,FALSE),"")</f>
        <v>40414</v>
      </c>
      <c r="I254" s="38" t="str">
        <f ca="1">IF(AND(B254="",NOT(A254="")),VLOOKUP(A254,TaskPlan!A:M,12,FALSE),"")</f>
        <v>Closed</v>
      </c>
      <c r="J254" s="39" t="str">
        <f ca="1">IF(AND(B254="",NOT(A254="")),VLOOKUP(A254,TaskPlan!A:L,2,FALSE),"")</f>
        <v>Paresh</v>
      </c>
      <c r="K254" s="39" t="str">
        <f ca="1">IF(AND(B254="",NOT(A254="")),IF(NOT(LEFT(VLOOKUP(A254,TaskPlan!A:L,3,FALSE),1) = "0"),VLOOKUP(A254,TaskPlan!A:L,3,FALSE),""),"")</f>
        <v/>
      </c>
      <c r="L254" s="55" t="str">
        <f ca="1">IF(AND(B254="",NOT(A254="")),IF(NOT(LEFT(VLOOKUP(A254,TaskPlan!A:L,3,FALSE),1) = "0"),VLOOKUP(A254,TaskPlan!A:M,4,FALSE),""),"")</f>
        <v/>
      </c>
      <c r="M254" s="58" t="str">
        <f ca="1">IF(B254=".",1,IF(AND(B254="",NOT(A254="")),IF(VLOOKUP(A254,TaskPlan!A:L,5,FALSE)&gt;0,VLOOKUP(A254,TaskPlan!A:L,5,FALSE),""),""))</f>
        <v/>
      </c>
      <c r="N254" s="1" t="str">
        <f ca="1">IF(ISNA(VLOOKUP(A254,Projects!B:B,1,FALSE)),"","Yes")</f>
        <v/>
      </c>
    </row>
    <row r="255" spans="1:14" hidden="1" outlineLevel="1">
      <c r="A255" s="41" t="s">
        <v>567</v>
      </c>
      <c r="C255" s="44" t="s">
        <v>373</v>
      </c>
      <c r="D255" s="1" t="s">
        <v>20</v>
      </c>
      <c r="E255" s="26">
        <v>40214</v>
      </c>
      <c r="H255" s="37">
        <f ca="1">IF(AND(B255="",NOT(A255="")),VLOOKUP(A255,TaskPlan!A:M,13,FALSE),"")</f>
        <v>40095</v>
      </c>
      <c r="I255" s="38" t="str">
        <f ca="1">IF(AND(B255="",NOT(A255="")),VLOOKUP(A255,TaskPlan!A:M,12,FALSE),"")</f>
        <v>Closed</v>
      </c>
      <c r="J255" s="39" t="str">
        <f ca="1">IF(AND(B255="",NOT(A255="")),VLOOKUP(A255,TaskPlan!A:L,2,FALSE),"")</f>
        <v>Paresh</v>
      </c>
      <c r="K255" s="39" t="str">
        <f ca="1">IF(AND(B255="",NOT(A255="")),IF(NOT(LEFT(VLOOKUP(A255,TaskPlan!A:L,3,FALSE),1) = "0"),VLOOKUP(A255,TaskPlan!A:L,3,FALSE),""),"")</f>
        <v/>
      </c>
      <c r="L255" s="55" t="str">
        <f ca="1">IF(AND(B255="",NOT(A255="")),IF(NOT(LEFT(VLOOKUP(A255,TaskPlan!A:L,3,FALSE),1) = "0"),VLOOKUP(A255,TaskPlan!A:M,4,FALSE),""),"")</f>
        <v/>
      </c>
      <c r="M255" s="58" t="str">
        <f ca="1">IF(B255=".",1,IF(AND(B255="",NOT(A255="")),IF(VLOOKUP(A255,TaskPlan!A:L,5,FALSE)&gt;0,VLOOKUP(A255,TaskPlan!A:L,5,FALSE),""),""))</f>
        <v/>
      </c>
      <c r="N255" s="1" t="str">
        <f ca="1">IF(ISNA(VLOOKUP(A255,Projects!B:B,1,FALSE)),"","Yes")</f>
        <v/>
      </c>
    </row>
    <row r="256" spans="1:14" hidden="1" outlineLevel="1">
      <c r="A256" s="41" t="s">
        <v>568</v>
      </c>
      <c r="C256" s="44" t="s">
        <v>159</v>
      </c>
      <c r="D256" s="1" t="s">
        <v>20</v>
      </c>
      <c r="E256" s="26">
        <v>39938</v>
      </c>
      <c r="H256" s="37">
        <f ca="1">IF(AND(B256="",NOT(A256="")),VLOOKUP(A256,TaskPlan!A:M,13,FALSE),"")</f>
        <v>39939</v>
      </c>
      <c r="I256" s="38" t="str">
        <f ca="1">IF(AND(B256="",NOT(A256="")),VLOOKUP(A256,TaskPlan!A:M,12,FALSE),"")</f>
        <v>Closed</v>
      </c>
      <c r="J256" s="39" t="str">
        <f ca="1">IF(AND(B256="",NOT(A256="")),VLOOKUP(A256,TaskPlan!A:L,2,FALSE),"")</f>
        <v>Neil</v>
      </c>
      <c r="K256" s="39" t="str">
        <f ca="1">IF(AND(B256="",NOT(A256="")),IF(NOT(LEFT(VLOOKUP(A256,TaskPlan!A:L,3,FALSE),1) = "0"),VLOOKUP(A256,TaskPlan!A:L,3,FALSE),""),"")</f>
        <v/>
      </c>
      <c r="L256" s="55" t="str">
        <f ca="1">IF(AND(B256="",NOT(A256="")),IF(NOT(LEFT(VLOOKUP(A256,TaskPlan!A:L,3,FALSE),1) = "0"),VLOOKUP(A256,TaskPlan!A:M,4,FALSE),""),"")</f>
        <v/>
      </c>
      <c r="M256" s="58" t="str">
        <f ca="1">IF(B256=".",1,IF(AND(B256="",NOT(A256="")),IF(VLOOKUP(A256,TaskPlan!A:L,5,FALSE)&gt;0,VLOOKUP(A256,TaskPlan!A:L,5,FALSE),""),""))</f>
        <v/>
      </c>
      <c r="N256" s="1" t="str">
        <f ca="1">IF(ISNA(VLOOKUP(A256,Projects!B:B,1,FALSE)),"","Yes")</f>
        <v/>
      </c>
    </row>
    <row r="257" spans="1:14" hidden="1" outlineLevel="1">
      <c r="A257" s="41" t="s">
        <v>569</v>
      </c>
      <c r="C257" s="44" t="s">
        <v>53</v>
      </c>
      <c r="D257" s="1" t="s">
        <v>20</v>
      </c>
      <c r="E257" s="26">
        <v>39917</v>
      </c>
      <c r="H257" s="37">
        <f ca="1">IF(AND(B257="",NOT(A257="")),VLOOKUP(A257,TaskPlan!A:M,13,FALSE),"")</f>
        <v>40505</v>
      </c>
      <c r="I257" s="38" t="str">
        <f ca="1">IF(AND(B257="",NOT(A257="")),VLOOKUP(A257,TaskPlan!A:M,12,FALSE),"")</f>
        <v>Closed</v>
      </c>
      <c r="J257" s="39" t="str">
        <f ca="1">IF(AND(B257="",NOT(A257="")),VLOOKUP(A257,TaskPlan!A:L,2,FALSE),"")</f>
        <v>Pramendra</v>
      </c>
      <c r="K257" s="39" t="str">
        <f ca="1">IF(AND(B257="",NOT(A257="")),IF(NOT(LEFT(VLOOKUP(A257,TaskPlan!A:L,3,FALSE),1) = "0"),VLOOKUP(A257,TaskPlan!A:L,3,FALSE),""),"")</f>
        <v/>
      </c>
      <c r="L257" s="55" t="str">
        <f ca="1">IF(AND(B257="",NOT(A257="")),IF(NOT(LEFT(VLOOKUP(A257,TaskPlan!A:L,3,FALSE),1) = "0"),VLOOKUP(A257,TaskPlan!A:M,4,FALSE),""),"")</f>
        <v/>
      </c>
      <c r="M257" s="58" t="str">
        <f ca="1">IF(B257=".",1,IF(AND(B257="",NOT(A257="")),IF(VLOOKUP(A257,TaskPlan!A:L,5,FALSE)&gt;0,VLOOKUP(A257,TaskPlan!A:L,5,FALSE),""),""))</f>
        <v/>
      </c>
      <c r="N257" s="1" t="str">
        <f ca="1">IF(ISNA(VLOOKUP(A257,Projects!B:B,1,FALSE)),"","Yes")</f>
        <v/>
      </c>
    </row>
    <row r="258" spans="1:14" hidden="1" outlineLevel="1">
      <c r="A258" s="41" t="s">
        <v>570</v>
      </c>
      <c r="B258" s="1" t="s">
        <v>15</v>
      </c>
      <c r="C258" s="45" t="s">
        <v>58</v>
      </c>
      <c r="E258" s="26"/>
      <c r="H258" s="37" t="str">
        <f ca="1">IF(AND(B258="",NOT(A258="")),VLOOKUP(A258,TaskPlan!A:M,13,FALSE),"")</f>
        <v/>
      </c>
      <c r="I258" s="38" t="str">
        <f ca="1">IF(AND(B258="",NOT(A258="")),VLOOKUP(A258,TaskPlan!A:M,12,FALSE),"")</f>
        <v/>
      </c>
      <c r="J258" s="39" t="str">
        <f ca="1">IF(AND(B258="",NOT(A258="")),VLOOKUP(A258,TaskPlan!A:L,2,FALSE),"")</f>
        <v/>
      </c>
      <c r="K258" s="39" t="str">
        <f ca="1">IF(AND(B258="",NOT(A258="")),IF(NOT(LEFT(VLOOKUP(A258,TaskPlan!A:L,3,FALSE),1) = "0"),VLOOKUP(A258,TaskPlan!A:L,3,FALSE),""),"")</f>
        <v/>
      </c>
      <c r="L258" s="55" t="str">
        <f ca="1">IF(AND(B258="",NOT(A258="")),IF(NOT(LEFT(VLOOKUP(A258,TaskPlan!A:L,3,FALSE),1) = "0"),VLOOKUP(A258,TaskPlan!A:M,4,FALSE),""),"")</f>
        <v/>
      </c>
      <c r="N258" s="1" t="str">
        <f ca="1">IF(ISNA(VLOOKUP(A258,Projects!B:B,1,FALSE)),"","Yes")</f>
        <v/>
      </c>
    </row>
    <row r="259" spans="1:14" ht="25.5" hidden="1" outlineLevel="1">
      <c r="A259" s="41" t="s">
        <v>571</v>
      </c>
      <c r="C259" s="44" t="s">
        <v>297</v>
      </c>
      <c r="D259" s="1" t="s">
        <v>20</v>
      </c>
      <c r="E259" s="26">
        <v>39994</v>
      </c>
      <c r="H259" s="37">
        <f ca="1">IF(AND(B259="",NOT(A259="")),VLOOKUP(A259,TaskPlan!A:M,13,FALSE),"")</f>
        <v>39994</v>
      </c>
      <c r="I259" s="38" t="str">
        <f ca="1">IF(AND(B259="",NOT(A259="")),VLOOKUP(A259,TaskPlan!A:M,12,FALSE),"")</f>
        <v>Closed</v>
      </c>
      <c r="J259" s="39" t="str">
        <f ca="1">IF(AND(B259="",NOT(A259="")),VLOOKUP(A259,TaskPlan!A:L,2,FALSE),"")</f>
        <v>David C</v>
      </c>
      <c r="K259" s="39" t="str">
        <f ca="1">IF(AND(B259="",NOT(A259="")),IF(NOT(LEFT(VLOOKUP(A259,TaskPlan!A:L,3,FALSE),1) = "0"),VLOOKUP(A259,TaskPlan!A:L,3,FALSE),""),"")</f>
        <v/>
      </c>
      <c r="L259" s="55" t="str">
        <f ca="1">IF(AND(B259="",NOT(A259="")),IF(NOT(LEFT(VLOOKUP(A259,TaskPlan!A:L,3,FALSE),1) = "0"),VLOOKUP(A259,TaskPlan!A:M,4,FALSE),""),"")</f>
        <v/>
      </c>
      <c r="M259" s="58" t="str">
        <f ca="1">IF(B259=".",1,IF(AND(B259="",NOT(A259="")),IF(VLOOKUP(A259,TaskPlan!A:L,5,FALSE)&gt;0,VLOOKUP(A259,TaskPlan!A:L,5,FALSE),""),""))</f>
        <v/>
      </c>
      <c r="N259" s="1" t="str">
        <f ca="1">IF(ISNA(VLOOKUP(A259,Projects!B:B,1,FALSE)),"","Yes")</f>
        <v/>
      </c>
    </row>
    <row r="260" spans="1:14" ht="25.5" hidden="1" outlineLevel="1">
      <c r="A260" s="41" t="s">
        <v>572</v>
      </c>
      <c r="C260" s="44" t="s">
        <v>298</v>
      </c>
      <c r="D260" s="1" t="s">
        <v>20</v>
      </c>
      <c r="E260" s="26">
        <v>39994</v>
      </c>
      <c r="H260" s="37">
        <f ca="1">IF(AND(B260="",NOT(A260="")),VLOOKUP(A260,TaskPlan!A:M,13,FALSE),"")</f>
        <v>40567</v>
      </c>
      <c r="I260" s="38" t="str">
        <f ca="1">IF(AND(B260="",NOT(A260="")),VLOOKUP(A260,TaskPlan!A:M,12,FALSE),"")</f>
        <v>Closed</v>
      </c>
      <c r="J260" s="39" t="str">
        <f ca="1">IF(AND(B260="",NOT(A260="")),VLOOKUP(A260,TaskPlan!A:L,2,FALSE),"")</f>
        <v>Paresh</v>
      </c>
      <c r="K260" s="39" t="str">
        <f ca="1">IF(AND(B260="",NOT(A260="")),IF(NOT(LEFT(VLOOKUP(A260,TaskPlan!A:L,3,FALSE),1) = "0"),VLOOKUP(A260,TaskPlan!A:L,3,FALSE),""),"")</f>
        <v/>
      </c>
      <c r="L260" s="55" t="str">
        <f ca="1">IF(AND(B260="",NOT(A260="")),IF(NOT(LEFT(VLOOKUP(A260,TaskPlan!A:L,3,FALSE),1) = "0"),VLOOKUP(A260,TaskPlan!A:M,4,FALSE),""),"")</f>
        <v/>
      </c>
      <c r="M260" s="58" t="str">
        <f ca="1">IF(B260=".",1,IF(AND(B260="",NOT(A260="")),IF(VLOOKUP(A260,TaskPlan!A:L,5,FALSE)&gt;0,VLOOKUP(A260,TaskPlan!A:L,5,FALSE),""),""))</f>
        <v/>
      </c>
      <c r="N260" s="1" t="str">
        <f ca="1">IF(ISNA(VLOOKUP(A260,Projects!B:B,1,FALSE)),"","Yes")</f>
        <v/>
      </c>
    </row>
    <row r="261" spans="1:14" hidden="1" outlineLevel="1">
      <c r="A261" s="43" t="s">
        <v>573</v>
      </c>
      <c r="C261" s="44" t="s">
        <v>365</v>
      </c>
      <c r="D261" s="1" t="s">
        <v>366</v>
      </c>
      <c r="E261" s="26">
        <v>40028</v>
      </c>
      <c r="H261" s="37">
        <f ca="1">IF(AND(B261="",NOT(A261="")),VLOOKUP(A261,TaskPlan!A:M,13,FALSE),"")</f>
        <v>40032</v>
      </c>
      <c r="I261" s="38" t="str">
        <f ca="1">IF(AND(B261="",NOT(A261="")),VLOOKUP(A261,TaskPlan!A:M,12,FALSE),"")</f>
        <v>Closed</v>
      </c>
      <c r="J261" s="39" t="str">
        <f ca="1">IF(AND(B261="",NOT(A261="")),VLOOKUP(A261,TaskPlan!A:L,2,FALSE),"")</f>
        <v>Neil</v>
      </c>
      <c r="K261" s="39" t="str">
        <f ca="1">IF(AND(B261="",NOT(A261="")),IF(NOT(LEFT(VLOOKUP(A261,TaskPlan!A:L,3,FALSE),1) = "0"),VLOOKUP(A261,TaskPlan!A:L,3,FALSE),""),"")</f>
        <v/>
      </c>
      <c r="L261" s="55" t="str">
        <f ca="1">IF(AND(B261="",NOT(A261="")),IF(NOT(LEFT(VLOOKUP(A261,TaskPlan!A:L,3,FALSE),1) = "0"),VLOOKUP(A261,TaskPlan!A:M,4,FALSE),""),"")</f>
        <v/>
      </c>
      <c r="M261" s="58" t="str">
        <f ca="1">IF(B261=".",1,IF(AND(B261="",NOT(A261="")),IF(VLOOKUP(A261,TaskPlan!A:L,5,FALSE)&gt;0,VLOOKUP(A261,TaskPlan!A:L,5,FALSE),""),""))</f>
        <v/>
      </c>
      <c r="N261" s="1" t="str">
        <f ca="1">IF(ISNA(VLOOKUP(A261,Projects!B:B,1,FALSE)),"","Yes")</f>
        <v/>
      </c>
    </row>
    <row r="262" spans="1:14" hidden="1" outlineLevel="1">
      <c r="A262" s="43" t="s">
        <v>574</v>
      </c>
      <c r="C262" s="44" t="s">
        <v>421</v>
      </c>
      <c r="D262" s="1" t="s">
        <v>366</v>
      </c>
      <c r="E262" s="26">
        <v>40049</v>
      </c>
      <c r="H262" s="37">
        <f ca="1">IF(AND(B262="",NOT(A262="")),VLOOKUP(A262,TaskPlan!A:M,13,FALSE),"")</f>
        <v>40086</v>
      </c>
      <c r="I262" s="38" t="str">
        <f ca="1">IF(AND(B262="",NOT(A262="")),VLOOKUP(A262,TaskPlan!A:M,12,FALSE),"")</f>
        <v>Closed</v>
      </c>
      <c r="J262" s="39" t="str">
        <f ca="1">IF(AND(B262="",NOT(A262="")),VLOOKUP(A262,TaskPlan!A:L,2,FALSE),"")</f>
        <v>Paresh</v>
      </c>
      <c r="K262" s="39" t="str">
        <f ca="1">IF(AND(B262="",NOT(A262="")),IF(NOT(LEFT(VLOOKUP(A262,TaskPlan!A:L,3,FALSE),1) = "0"),VLOOKUP(A262,TaskPlan!A:L,3,FALSE),""),"")</f>
        <v/>
      </c>
      <c r="L262" s="55" t="str">
        <f ca="1">IF(AND(B262="",NOT(A262="")),IF(NOT(LEFT(VLOOKUP(A262,TaskPlan!A:L,3,FALSE),1) = "0"),VLOOKUP(A262,TaskPlan!A:M,4,FALSE),""),"")</f>
        <v/>
      </c>
      <c r="M262" s="58" t="str">
        <f ca="1">IF(B262=".",1,IF(AND(B262="",NOT(A262="")),IF(VLOOKUP(A262,TaskPlan!A:L,5,FALSE)&gt;0,VLOOKUP(A262,TaskPlan!A:L,5,FALSE),""),""))</f>
        <v/>
      </c>
      <c r="N262" s="1" t="str">
        <f ca="1">IF(ISNA(VLOOKUP(A262,Projects!B:B,1,FALSE)),"","Yes")</f>
        <v/>
      </c>
    </row>
    <row r="263" spans="1:14" hidden="1" outlineLevel="1">
      <c r="A263" s="43" t="s">
        <v>1226</v>
      </c>
      <c r="C263" s="44" t="s">
        <v>1225</v>
      </c>
      <c r="D263" s="7" t="s">
        <v>11</v>
      </c>
      <c r="E263" s="26">
        <v>40352</v>
      </c>
      <c r="G263" s="25" t="s">
        <v>1099</v>
      </c>
      <c r="H263" s="37">
        <f ca="1">IF(AND(B263="",NOT(A263="")),VLOOKUP(A263,TaskPlan!A:M,13,FALSE),"")</f>
        <v>40364</v>
      </c>
      <c r="I263" s="38" t="str">
        <f ca="1">IF(AND(B263="",NOT(A263="")),VLOOKUP(A263,TaskPlan!A:M,12,FALSE),"")</f>
        <v>Closed</v>
      </c>
      <c r="J263" s="39" t="str">
        <f ca="1">IF(AND(B263="",NOT(A263="")),VLOOKUP(A263,TaskPlan!A:L,2,FALSE),"")</f>
        <v>Neil</v>
      </c>
      <c r="K263" s="39" t="str">
        <f ca="1">IF(AND(B263="",NOT(A263="")),IF(NOT(LEFT(VLOOKUP(A263,TaskPlan!A:L,3,FALSE),1) = "0"),VLOOKUP(A263,TaskPlan!A:L,3,FALSE),""),"")</f>
        <v/>
      </c>
      <c r="L263" s="55" t="str">
        <f ca="1">IF(AND(B263="",NOT(A263="")),IF(NOT(LEFT(VLOOKUP(A263,TaskPlan!A:L,3,FALSE),1) = "0"),VLOOKUP(A263,TaskPlan!A:M,4,FALSE),""),"")</f>
        <v/>
      </c>
      <c r="N263" s="1" t="str">
        <f ca="1">IF(ISNA(VLOOKUP(A263,Projects!B:B,1,FALSE)),"","Yes")</f>
        <v/>
      </c>
    </row>
    <row r="264" spans="1:14" hidden="1" outlineLevel="1">
      <c r="A264" s="43" t="s">
        <v>1224</v>
      </c>
      <c r="C264" s="44" t="s">
        <v>1227</v>
      </c>
      <c r="D264" s="7" t="s">
        <v>11</v>
      </c>
      <c r="E264" s="26">
        <v>40352</v>
      </c>
      <c r="G264" s="25" t="s">
        <v>1213</v>
      </c>
      <c r="H264" s="37">
        <f ca="1">IF(AND(B264="",NOT(A264="")),VLOOKUP(A264,TaskPlan!A:M,13,FALSE),"")</f>
        <v>40505</v>
      </c>
      <c r="I264" s="38" t="str">
        <f ca="1">IF(AND(B264="",NOT(A264="")),VLOOKUP(A264,TaskPlan!A:M,12,FALSE),"")</f>
        <v>Not Started</v>
      </c>
      <c r="J264" s="39" t="str">
        <f ca="1">IF(AND(B264="",NOT(A264="")),VLOOKUP(A264,TaskPlan!A:L,2,FALSE),"")</f>
        <v>Unassigned</v>
      </c>
      <c r="K264" s="39" t="str">
        <f ca="1">IF(AND(B264="",NOT(A264="")),IF(NOT(LEFT(VLOOKUP(A264,TaskPlan!A:L,3,FALSE),1) = "0"),VLOOKUP(A264,TaskPlan!A:L,3,FALSE),""),"")</f>
        <v>3-MED</v>
      </c>
      <c r="L264" s="55">
        <f ca="1">IF(AND(B264="",NOT(A264="")),IF(NOT(LEFT(VLOOKUP(A264,TaskPlan!A:L,3,FALSE),1) = "0"),VLOOKUP(A264,TaskPlan!A:M,4,FALSE),""),"")</f>
        <v>0</v>
      </c>
      <c r="M264" s="58" t="str">
        <f ca="1">IF(B264=".",1,IF(AND(B264="",NOT(A264="")),IF(VLOOKUP(A264,TaskPlan!A:L,5,FALSE)&gt;0,VLOOKUP(A264,TaskPlan!A:L,5,FALSE),""),""))</f>
        <v/>
      </c>
      <c r="N264" s="1" t="str">
        <f ca="1">IF(ISNA(VLOOKUP(A264,Projects!B:B,1,FALSE)),"","Yes")</f>
        <v/>
      </c>
    </row>
    <row r="265" spans="1:14" hidden="1" outlineLevel="1">
      <c r="A265" s="43" t="s">
        <v>575</v>
      </c>
      <c r="B265" s="1" t="s">
        <v>15</v>
      </c>
      <c r="C265" s="45" t="s">
        <v>462</v>
      </c>
      <c r="E265" s="26"/>
      <c r="H265" s="37" t="str">
        <f ca="1">IF(AND(B265="",NOT(A265="")),VLOOKUP(A265,TaskPlan!A:M,13,FALSE),"")</f>
        <v/>
      </c>
      <c r="I265" s="38" t="str">
        <f ca="1">IF(AND(B265="",NOT(A265="")),VLOOKUP(A265,TaskPlan!A:M,12,FALSE),"")</f>
        <v/>
      </c>
      <c r="J265" s="39" t="str">
        <f ca="1">IF(AND(B265="",NOT(A265="")),VLOOKUP(A265,TaskPlan!A:L,2,FALSE),"")</f>
        <v/>
      </c>
      <c r="K265" s="39" t="str">
        <f ca="1">IF(AND(B265="",NOT(A265="")),IF(NOT(LEFT(VLOOKUP(A265,TaskPlan!A:L,3,FALSE),1) = "0"),VLOOKUP(A265,TaskPlan!A:L,3,FALSE),""),"")</f>
        <v/>
      </c>
      <c r="L265" s="55" t="str">
        <f ca="1">IF(AND(B265="",NOT(A265="")),IF(NOT(LEFT(VLOOKUP(A265,TaskPlan!A:L,3,FALSE),1) = "0"),VLOOKUP(A265,TaskPlan!A:M,4,FALSE),""),"")</f>
        <v/>
      </c>
      <c r="M265" s="58">
        <f ca="1">IF(B265=".",1,IF(AND(B265="",NOT(A265="")),IF(VLOOKUP(A265,TaskPlan!A:L,5,FALSE)&gt;0,VLOOKUP(A265,TaskPlan!A:L,5,FALSE),""),""))</f>
        <v>1</v>
      </c>
      <c r="N265" s="1" t="str">
        <f ca="1">IF(ISNA(VLOOKUP(A265,Projects!B:B,1,FALSE)),"","Yes")</f>
        <v/>
      </c>
    </row>
    <row r="266" spans="1:14" hidden="1" outlineLevel="1">
      <c r="A266" s="41" t="s">
        <v>576</v>
      </c>
      <c r="C266" s="44" t="s">
        <v>346</v>
      </c>
      <c r="D266" s="1" t="s">
        <v>20</v>
      </c>
      <c r="E266" s="26">
        <v>40025</v>
      </c>
      <c r="H266" s="37">
        <f ca="1">IF(AND(B266="",NOT(A266="")),VLOOKUP(A266,TaskPlan!A:M,13,FALSE),"")</f>
        <v>40074</v>
      </c>
      <c r="I266" s="38" t="str">
        <f ca="1">IF(AND(B266="",NOT(A266="")),VLOOKUP(A266,TaskPlan!A:M,12,FALSE),"")</f>
        <v>Closed</v>
      </c>
      <c r="J266" s="39" t="str">
        <f ca="1">IF(AND(B266="",NOT(A266="")),VLOOKUP(A266,TaskPlan!A:L,2,FALSE),"")</f>
        <v>Ruth</v>
      </c>
      <c r="K266" s="39" t="str">
        <f ca="1">IF(AND(B266="",NOT(A266="")),IF(NOT(LEFT(VLOOKUP(A266,TaskPlan!A:L,3,FALSE),1) = "0"),VLOOKUP(A266,TaskPlan!A:L,3,FALSE),""),"")</f>
        <v/>
      </c>
      <c r="L266" s="55" t="str">
        <f ca="1">IF(AND(B266="",NOT(A266="")),IF(NOT(LEFT(VLOOKUP(A266,TaskPlan!A:L,3,FALSE),1) = "0"),VLOOKUP(A266,TaskPlan!A:M,4,FALSE),""),"")</f>
        <v/>
      </c>
      <c r="M266" s="58" t="str">
        <f ca="1">IF(B266=".",1,IF(AND(B266="",NOT(A266="")),IF(VLOOKUP(A266,TaskPlan!A:L,5,FALSE)&gt;0,VLOOKUP(A266,TaskPlan!A:L,5,FALSE),""),""))</f>
        <v/>
      </c>
      <c r="N266" s="1" t="str">
        <f ca="1">IF(ISNA(VLOOKUP(A266,Projects!B:B,1,FALSE)),"","Yes")</f>
        <v/>
      </c>
    </row>
    <row r="267" spans="1:14" hidden="1" outlineLevel="1">
      <c r="A267" s="43" t="s">
        <v>577</v>
      </c>
      <c r="C267" s="44" t="s">
        <v>485</v>
      </c>
      <c r="D267" s="1" t="s">
        <v>20</v>
      </c>
      <c r="E267" s="26">
        <v>40085</v>
      </c>
      <c r="F267" s="25">
        <v>3</v>
      </c>
      <c r="H267" s="37">
        <f ca="1">IF(AND(B267="",NOT(A267="")),VLOOKUP(A267,TaskPlan!A:M,13,FALSE),"")</f>
        <v>40283</v>
      </c>
      <c r="I267" s="38" t="str">
        <f ca="1">IF(AND(B267="",NOT(A267="")),VLOOKUP(A267,TaskPlan!A:M,12,FALSE),"")</f>
        <v>Closed</v>
      </c>
      <c r="J267" s="39" t="str">
        <f ca="1">IF(AND(B267="",NOT(A267="")),VLOOKUP(A267,TaskPlan!A:L,2,FALSE),"")</f>
        <v>Ruth</v>
      </c>
      <c r="K267" s="39" t="str">
        <f ca="1">IF(AND(B267="",NOT(A267="")),IF(NOT(LEFT(VLOOKUP(A267,TaskPlan!A:L,3,FALSE),1) = "0"),VLOOKUP(A267,TaskPlan!A:L,3,FALSE),""),"")</f>
        <v/>
      </c>
      <c r="L267" s="55" t="str">
        <f ca="1">IF(AND(B267="",NOT(A267="")),IF(NOT(LEFT(VLOOKUP(A267,TaskPlan!A:L,3,FALSE),1) = "0"),VLOOKUP(A267,TaskPlan!A:M,4,FALSE),""),"")</f>
        <v/>
      </c>
      <c r="M267" s="58" t="str">
        <f ca="1">IF(B267=".",1,IF(AND(B267="",NOT(A267="")),IF(VLOOKUP(A267,TaskPlan!A:L,5,FALSE)&gt;0,VLOOKUP(A267,TaskPlan!A:L,5,FALSE),""),""))</f>
        <v/>
      </c>
      <c r="N267" s="1" t="str">
        <f ca="1">IF(ISNA(VLOOKUP(A267,Projects!B:B,1,FALSE)),"","Yes")</f>
        <v/>
      </c>
    </row>
    <row r="268" spans="1:14" hidden="1" outlineLevel="1">
      <c r="A268" s="43" t="s">
        <v>839</v>
      </c>
      <c r="C268" s="44" t="s">
        <v>840</v>
      </c>
      <c r="D268" s="7" t="s">
        <v>366</v>
      </c>
      <c r="E268" s="26">
        <v>40196</v>
      </c>
      <c r="F268" s="25">
        <v>1</v>
      </c>
      <c r="H268" s="37">
        <f ca="1">IF(AND(B268="",NOT(A268="")),VLOOKUP(A268,TaskPlan!A:M,13,FALSE),"")</f>
        <v>40198</v>
      </c>
      <c r="I268" s="38" t="str">
        <f ca="1">IF(AND(B268="",NOT(A268="")),VLOOKUP(A268,TaskPlan!A:M,12,FALSE),"")</f>
        <v>Closed</v>
      </c>
      <c r="J268" s="39" t="str">
        <f ca="1">IF(AND(B268="",NOT(A268="")),VLOOKUP(A268,TaskPlan!A:L,2,FALSE),"")</f>
        <v>Ruth</v>
      </c>
      <c r="K268" s="39" t="str">
        <f ca="1">IF(AND(B268="",NOT(A268="")),IF(NOT(LEFT(VLOOKUP(A268,TaskPlan!A:L,3,FALSE),1) = "0"),VLOOKUP(A268,TaskPlan!A:L,3,FALSE),""),"")</f>
        <v/>
      </c>
      <c r="L268" s="55" t="str">
        <f ca="1">IF(AND(B268="",NOT(A268="")),IF(NOT(LEFT(VLOOKUP(A268,TaskPlan!A:L,3,FALSE),1) = "0"),VLOOKUP(A268,TaskPlan!A:M,4,FALSE),""),"")</f>
        <v/>
      </c>
      <c r="M268" s="58" t="str">
        <f ca="1">IF(B268=".",1,IF(AND(B268="",NOT(A268="")),IF(VLOOKUP(A268,TaskPlan!A:L,5,FALSE)&gt;0,VLOOKUP(A268,TaskPlan!A:L,5,FALSE),""),""))</f>
        <v/>
      </c>
      <c r="N268" s="1" t="str">
        <f ca="1">IF(ISNA(VLOOKUP(A268,Projects!B:B,1,FALSE)),"","Yes")</f>
        <v/>
      </c>
    </row>
    <row r="269" spans="1:14" hidden="1" outlineLevel="1">
      <c r="A269" s="43" t="s">
        <v>1421</v>
      </c>
      <c r="C269" s="44" t="s">
        <v>1422</v>
      </c>
      <c r="D269" s="7" t="s">
        <v>366</v>
      </c>
      <c r="E269" s="26">
        <v>40406</v>
      </c>
      <c r="F269" s="25">
        <v>1</v>
      </c>
      <c r="G269" s="25" t="s">
        <v>1213</v>
      </c>
      <c r="H269" s="37">
        <f ca="1">IF(AND(B269="",NOT(A269="")),VLOOKUP(A269,TaskPlan!A:M,13,FALSE),"")</f>
        <v>40410</v>
      </c>
      <c r="I269" s="38" t="str">
        <f ca="1">IF(AND(B269="",NOT(A269="")),VLOOKUP(A269,TaskPlan!A:M,12,FALSE),"")</f>
        <v>Closed</v>
      </c>
      <c r="J269" s="39" t="str">
        <f ca="1">IF(AND(B269="",NOT(A269="")),VLOOKUP(A269,TaskPlan!A:L,2,FALSE),"")</f>
        <v>Ruth</v>
      </c>
      <c r="K269" s="39" t="str">
        <f ca="1">IF(AND(B269="",NOT(A269="")),IF(NOT(LEFT(VLOOKUP(A269,TaskPlan!A:L,3,FALSE),1) = "0"),VLOOKUP(A269,TaskPlan!A:L,3,FALSE),""),"")</f>
        <v/>
      </c>
      <c r="L269" s="55" t="str">
        <f ca="1">IF(AND(B269="",NOT(A269="")),IF(NOT(LEFT(VLOOKUP(A269,TaskPlan!A:L,3,FALSE),1) = "0"),VLOOKUP(A269,TaskPlan!A:M,4,FALSE),""),"")</f>
        <v/>
      </c>
      <c r="M269" s="58" t="str">
        <f ca="1">IF(B269=".",1,IF(AND(B269="",NOT(A269="")),IF(VLOOKUP(A269,TaskPlan!A:L,5,FALSE)&gt;0,VLOOKUP(A269,TaskPlan!A:L,5,FALSE),""),""))</f>
        <v/>
      </c>
      <c r="N269" s="1" t="str">
        <f ca="1">IF(ISNA(VLOOKUP(A269,Projects!B:B,1,FALSE)),"","Yes")</f>
        <v/>
      </c>
    </row>
    <row r="270" spans="1:14" hidden="1" outlineLevel="1">
      <c r="A270" s="43" t="s">
        <v>578</v>
      </c>
      <c r="B270" s="7" t="s">
        <v>15</v>
      </c>
      <c r="C270" s="45" t="s">
        <v>174</v>
      </c>
      <c r="E270" s="26"/>
      <c r="H270" s="37" t="str">
        <f ca="1">IF(AND(B270="",NOT(A270="")),VLOOKUP(A270,TaskPlan!A:M,13,FALSE),"")</f>
        <v/>
      </c>
      <c r="I270" s="38" t="str">
        <f ca="1">IF(AND(B270="",NOT(A270="")),VLOOKUP(A270,TaskPlan!A:M,12,FALSE),"")</f>
        <v/>
      </c>
      <c r="J270" s="39" t="str">
        <f ca="1">IF(AND(B270="",NOT(A270="")),VLOOKUP(A270,TaskPlan!A:L,2,FALSE),"")</f>
        <v/>
      </c>
      <c r="K270" s="39" t="str">
        <f ca="1">IF(AND(B270="",NOT(A270="")),IF(NOT(LEFT(VLOOKUP(A270,TaskPlan!A:L,3,FALSE),1) = "0"),VLOOKUP(A270,TaskPlan!A:L,3,FALSE),""),"")</f>
        <v/>
      </c>
      <c r="L270" s="55" t="str">
        <f ca="1">IF(AND(B270="",NOT(A270="")),IF(NOT(LEFT(VLOOKUP(A270,TaskPlan!A:L,3,FALSE),1) = "0"),VLOOKUP(A270,TaskPlan!A:M,4,FALSE),""),"")</f>
        <v/>
      </c>
      <c r="N270" s="1" t="str">
        <f ca="1">IF(ISNA(VLOOKUP(A270,Projects!B:B,1,FALSE)),"","Yes")</f>
        <v/>
      </c>
    </row>
    <row r="271" spans="1:14" hidden="1" outlineLevel="1">
      <c r="A271" s="43" t="s">
        <v>579</v>
      </c>
      <c r="B271" s="7"/>
      <c r="C271" s="44" t="s">
        <v>740</v>
      </c>
      <c r="D271" s="1" t="s">
        <v>20</v>
      </c>
      <c r="E271" s="26">
        <v>39944</v>
      </c>
      <c r="H271" s="37">
        <f ca="1">IF(AND(B271="",NOT(A271="")),VLOOKUP(A271,TaskPlan!A:M,13,FALSE),"")</f>
        <v>39965</v>
      </c>
      <c r="I271" s="38" t="str">
        <f ca="1">IF(AND(B271="",NOT(A271="")),VLOOKUP(A271,TaskPlan!A:M,12,FALSE),"")</f>
        <v>Closed</v>
      </c>
      <c r="J271" s="39" t="str">
        <f ca="1">IF(AND(B271="",NOT(A271="")),VLOOKUP(A271,TaskPlan!A:L,2,FALSE),"")</f>
        <v>Neil</v>
      </c>
      <c r="K271" s="39" t="str">
        <f ca="1">IF(AND(B271="",NOT(A271="")),IF(NOT(LEFT(VLOOKUP(A271,TaskPlan!A:L,3,FALSE),1) = "0"),VLOOKUP(A271,TaskPlan!A:L,3,FALSE),""),"")</f>
        <v/>
      </c>
      <c r="L271" s="55" t="str">
        <f ca="1">IF(AND(B271="",NOT(A271="")),IF(NOT(LEFT(VLOOKUP(A271,TaskPlan!A:L,3,FALSE),1) = "0"),VLOOKUP(A271,TaskPlan!A:M,4,FALSE),""),"")</f>
        <v/>
      </c>
      <c r="M271" s="58" t="str">
        <f ca="1">IF(B271=".",1,IF(AND(B271="",NOT(A271="")),IF(VLOOKUP(A271,TaskPlan!A:L,5,FALSE)&gt;0,VLOOKUP(A271,TaskPlan!A:L,5,FALSE),""),""))</f>
        <v/>
      </c>
      <c r="N271" s="1" t="str">
        <f ca="1">IF(ISNA(VLOOKUP(A271,Projects!B:B,1,FALSE)),"","Yes")</f>
        <v/>
      </c>
    </row>
    <row r="272" spans="1:14" hidden="1" outlineLevel="1">
      <c r="A272" s="43" t="s">
        <v>580</v>
      </c>
      <c r="B272" s="7"/>
      <c r="C272" s="44" t="s">
        <v>299</v>
      </c>
      <c r="D272" s="1" t="s">
        <v>20</v>
      </c>
      <c r="E272" s="26">
        <v>39997</v>
      </c>
      <c r="H272" s="37">
        <f ca="1">IF(AND(B272="",NOT(A272="")),VLOOKUP(A272,TaskPlan!A:M,13,FALSE),"")</f>
        <v>40011</v>
      </c>
      <c r="I272" s="38" t="str">
        <f ca="1">IF(AND(B272="",NOT(A272="")),VLOOKUP(A272,TaskPlan!A:M,12,FALSE),"")</f>
        <v>Closed</v>
      </c>
      <c r="J272" s="39" t="str">
        <f ca="1">IF(AND(B272="",NOT(A272="")),VLOOKUP(A272,TaskPlan!A:L,2,FALSE),"")</f>
        <v>Neil</v>
      </c>
      <c r="K272" s="39" t="str">
        <f ca="1">IF(AND(B272="",NOT(A272="")),IF(NOT(LEFT(VLOOKUP(A272,TaskPlan!A:L,3,FALSE),1) = "0"),VLOOKUP(A272,TaskPlan!A:L,3,FALSE),""),"")</f>
        <v/>
      </c>
      <c r="L272" s="55" t="str">
        <f ca="1">IF(AND(B272="",NOT(A272="")),IF(NOT(LEFT(VLOOKUP(A272,TaskPlan!A:L,3,FALSE),1) = "0"),VLOOKUP(A272,TaskPlan!A:M,4,FALSE),""),"")</f>
        <v/>
      </c>
      <c r="M272" s="58" t="str">
        <f ca="1">IF(B272=".",1,IF(AND(B272="",NOT(A272="")),IF(VLOOKUP(A272,TaskPlan!A:L,5,FALSE)&gt;0,VLOOKUP(A272,TaskPlan!A:L,5,FALSE),""),""))</f>
        <v/>
      </c>
      <c r="N272" s="1" t="str">
        <f ca="1">IF(ISNA(VLOOKUP(A272,Projects!B:B,1,FALSE)),"","Yes")</f>
        <v/>
      </c>
    </row>
    <row r="273" spans="1:14" hidden="1" outlineLevel="1">
      <c r="A273" s="43" t="s">
        <v>581</v>
      </c>
      <c r="B273" s="7"/>
      <c r="C273" s="44" t="s">
        <v>412</v>
      </c>
      <c r="D273" s="1" t="s">
        <v>366</v>
      </c>
      <c r="E273" s="26">
        <v>40045</v>
      </c>
      <c r="H273" s="37">
        <f ca="1">IF(AND(B273="",NOT(A273="")),VLOOKUP(A273,TaskPlan!A:M,13,FALSE),"")</f>
        <v>40057</v>
      </c>
      <c r="I273" s="38" t="str">
        <f ca="1">IF(AND(B273="",NOT(A273="")),VLOOKUP(A273,TaskPlan!A:M,12,FALSE),"")</f>
        <v>Closed</v>
      </c>
      <c r="J273" s="39" t="str">
        <f ca="1">IF(AND(B273="",NOT(A273="")),VLOOKUP(A273,TaskPlan!A:L,2,FALSE),"")</f>
        <v>Neil</v>
      </c>
      <c r="K273" s="39" t="str">
        <f ca="1">IF(AND(B273="",NOT(A273="")),IF(NOT(LEFT(VLOOKUP(A273,TaskPlan!A:L,3,FALSE),1) = "0"),VLOOKUP(A273,TaskPlan!A:L,3,FALSE),""),"")</f>
        <v/>
      </c>
      <c r="L273" s="55" t="str">
        <f ca="1">IF(AND(B273="",NOT(A273="")),IF(NOT(LEFT(VLOOKUP(A273,TaskPlan!A:L,3,FALSE),1) = "0"),VLOOKUP(A273,TaskPlan!A:M,4,FALSE),""),"")</f>
        <v/>
      </c>
      <c r="M273" s="58" t="str">
        <f ca="1">IF(B273=".",1,IF(AND(B273="",NOT(A273="")),IF(VLOOKUP(A273,TaskPlan!A:L,5,FALSE)&gt;0,VLOOKUP(A273,TaskPlan!A:L,5,FALSE),""),""))</f>
        <v/>
      </c>
      <c r="N273" s="1" t="str">
        <f ca="1">IF(ISNA(VLOOKUP(A273,Projects!B:B,1,FALSE)),"","Yes")</f>
        <v/>
      </c>
    </row>
    <row r="274" spans="1:14" hidden="1" outlineLevel="1">
      <c r="A274" s="43" t="s">
        <v>1143</v>
      </c>
      <c r="B274" s="7"/>
      <c r="C274" s="44" t="s">
        <v>1144</v>
      </c>
      <c r="D274" s="1" t="s">
        <v>366</v>
      </c>
      <c r="E274" s="26">
        <v>40304</v>
      </c>
      <c r="F274" s="25">
        <v>1</v>
      </c>
      <c r="G274" s="25" t="s">
        <v>1098</v>
      </c>
      <c r="H274" s="37">
        <f ca="1">IF(AND(B274="",NOT(A274="")),VLOOKUP(A274,TaskPlan!A:M,13,FALSE),"")</f>
        <v>40331</v>
      </c>
      <c r="I274" s="38" t="str">
        <f ca="1">IF(AND(B274="",NOT(A274="")),VLOOKUP(A274,TaskPlan!A:M,12,FALSE),"")</f>
        <v>Closed</v>
      </c>
      <c r="J274" s="39" t="str">
        <f ca="1">IF(AND(B274="",NOT(A274="")),VLOOKUP(A274,TaskPlan!A:L,2,FALSE),"")</f>
        <v>Neil</v>
      </c>
      <c r="K274" s="39" t="str">
        <f ca="1">IF(AND(B274="",NOT(A274="")),IF(NOT(LEFT(VLOOKUP(A274,TaskPlan!A:L,3,FALSE),1) = "0"),VLOOKUP(A274,TaskPlan!A:L,3,FALSE),""),"")</f>
        <v/>
      </c>
      <c r="L274" s="55" t="str">
        <f ca="1">IF(AND(B274="",NOT(A274="")),IF(NOT(LEFT(VLOOKUP(A274,TaskPlan!A:L,3,FALSE),1) = "0"),VLOOKUP(A274,TaskPlan!A:M,4,FALSE),""),"")</f>
        <v/>
      </c>
      <c r="N274" s="1" t="str">
        <f ca="1">IF(ISNA(VLOOKUP(A274,Projects!B:B,1,FALSE)),"","Yes")</f>
        <v/>
      </c>
    </row>
    <row r="275" spans="1:14" hidden="1" outlineLevel="1">
      <c r="A275" s="43" t="s">
        <v>582</v>
      </c>
      <c r="B275" s="7" t="s">
        <v>15</v>
      </c>
      <c r="C275" s="45" t="s">
        <v>194</v>
      </c>
      <c r="E275" s="26"/>
      <c r="H275" s="37" t="str">
        <f ca="1">IF(AND(B275="",NOT(A275="")),VLOOKUP(A275,TaskPlan!A:M,13,FALSE),"")</f>
        <v/>
      </c>
      <c r="I275" s="38" t="str">
        <f ca="1">IF(AND(B275="",NOT(A275="")),VLOOKUP(A275,TaskPlan!A:M,12,FALSE),"")</f>
        <v/>
      </c>
      <c r="J275" s="39" t="str">
        <f ca="1">IF(AND(B275="",NOT(A275="")),VLOOKUP(A275,TaskPlan!A:L,2,FALSE),"")</f>
        <v/>
      </c>
      <c r="K275" s="39" t="str">
        <f ca="1">IF(AND(B275="",NOT(A275="")),IF(NOT(LEFT(VLOOKUP(A275,TaskPlan!A:L,3,FALSE),1) = "0"),VLOOKUP(A275,TaskPlan!A:L,3,FALSE),""),"")</f>
        <v/>
      </c>
      <c r="L275" s="55" t="str">
        <f ca="1">IF(AND(B275="",NOT(A275="")),IF(NOT(LEFT(VLOOKUP(A275,TaskPlan!A:L,3,FALSE),1) = "0"),VLOOKUP(A275,TaskPlan!A:M,4,FALSE),""),"")</f>
        <v/>
      </c>
      <c r="N275" s="1" t="str">
        <f ca="1">IF(ISNA(VLOOKUP(A275,Projects!B:B,1,FALSE)),"","Yes")</f>
        <v/>
      </c>
    </row>
    <row r="276" spans="1:14" ht="25.5" hidden="1" outlineLevel="1">
      <c r="A276" s="43" t="s">
        <v>583</v>
      </c>
      <c r="B276" s="7"/>
      <c r="C276" s="44" t="s">
        <v>288</v>
      </c>
      <c r="D276" s="7" t="s">
        <v>11</v>
      </c>
      <c r="E276" s="26">
        <v>39987</v>
      </c>
      <c r="H276" s="37">
        <f ca="1">IF(AND(B276="",NOT(A276="")),VLOOKUP(A276,TaskPlan!A:M,13,FALSE),"")</f>
        <v>40123</v>
      </c>
      <c r="I276" s="38" t="str">
        <f ca="1">IF(AND(B276="",NOT(A276="")),VLOOKUP(A276,TaskPlan!A:M,12,FALSE),"")</f>
        <v>Closed</v>
      </c>
      <c r="J276" s="39" t="str">
        <f ca="1">IF(AND(B276="",NOT(A276="")),VLOOKUP(A276,TaskPlan!A:L,2,FALSE),"")</f>
        <v>Neil</v>
      </c>
      <c r="K276" s="39" t="str">
        <f ca="1">IF(AND(B276="",NOT(A276="")),IF(NOT(LEFT(VLOOKUP(A276,TaskPlan!A:L,3,FALSE),1) = "0"),VLOOKUP(A276,TaskPlan!A:L,3,FALSE),""),"")</f>
        <v/>
      </c>
      <c r="L276" s="55" t="str">
        <f ca="1">IF(AND(B276="",NOT(A276="")),IF(NOT(LEFT(VLOOKUP(A276,TaskPlan!A:L,3,FALSE),1) = "0"),VLOOKUP(A276,TaskPlan!A:M,4,FALSE),""),"")</f>
        <v/>
      </c>
      <c r="M276" s="58" t="str">
        <f ca="1">IF(B276=".",1,IF(AND(B276="",NOT(A276="")),IF(VLOOKUP(A276,TaskPlan!A:L,5,FALSE)&gt;0,VLOOKUP(A276,TaskPlan!A:L,5,FALSE),""),""))</f>
        <v/>
      </c>
      <c r="N276" s="1" t="str">
        <f ca="1">IF(ISNA(VLOOKUP(A276,Projects!B:B,1,FALSE)),"","Yes")</f>
        <v/>
      </c>
    </row>
    <row r="277" spans="1:14" ht="25.5" hidden="1" outlineLevel="1">
      <c r="A277" s="43" t="s">
        <v>584</v>
      </c>
      <c r="B277" s="7"/>
      <c r="C277" s="44" t="s">
        <v>287</v>
      </c>
      <c r="D277" s="7" t="s">
        <v>11</v>
      </c>
      <c r="E277" s="26">
        <v>39987</v>
      </c>
      <c r="H277" s="37">
        <f ca="1">IF(AND(B277="",NOT(A277="")),VLOOKUP(A277,TaskPlan!A:M,13,FALSE),"")</f>
        <v>40352</v>
      </c>
      <c r="I277" s="38" t="str">
        <f ca="1">IF(AND(B277="",NOT(A277="")),VLOOKUP(A277,TaskPlan!A:M,12,FALSE),"")</f>
        <v>Cancelled</v>
      </c>
      <c r="J277" s="39" t="str">
        <f ca="1">IF(AND(B277="",NOT(A277="")),VLOOKUP(A277,TaskPlan!A:L,2,FALSE),"")</f>
        <v>Unassigned</v>
      </c>
      <c r="K277" s="39" t="str">
        <f ca="1">IF(AND(B277="",NOT(A277="")),IF(NOT(LEFT(VLOOKUP(A277,TaskPlan!A:L,3,FALSE),1) = "0"),VLOOKUP(A277,TaskPlan!A:L,3,FALSE),""),"")</f>
        <v/>
      </c>
      <c r="L277" s="55" t="str">
        <f ca="1">IF(AND(B277="",NOT(A277="")),IF(NOT(LEFT(VLOOKUP(A277,TaskPlan!A:L,3,FALSE),1) = "0"),VLOOKUP(A277,TaskPlan!A:M,4,FALSE),""),"")</f>
        <v/>
      </c>
      <c r="M277" s="58" t="str">
        <f ca="1">IF(B277=".",1,IF(AND(B277="",NOT(A277="")),IF(VLOOKUP(A277,TaskPlan!A:L,5,FALSE)&gt;0,VLOOKUP(A277,TaskPlan!A:L,5,FALSE),""),""))</f>
        <v/>
      </c>
      <c r="N277" s="1" t="str">
        <f ca="1">IF(ISNA(VLOOKUP(A277,Projects!B:B,1,FALSE)),"","Yes")</f>
        <v/>
      </c>
    </row>
    <row r="278" spans="1:14" hidden="1" outlineLevel="1">
      <c r="H278" s="37" t="str">
        <f ca="1">IF(AND(B278="",NOT(A278="")),VLOOKUP(A278,TaskPlan!A:M,13,FALSE),"")</f>
        <v/>
      </c>
      <c r="I278" s="38" t="str">
        <f ca="1">IF(AND(B278="",NOT(A278="")),VLOOKUP(A278,TaskPlan!A:M,12,FALSE),"")</f>
        <v/>
      </c>
      <c r="J278" s="39" t="str">
        <f ca="1">IF(AND(B278="",NOT(A278="")),VLOOKUP(A278,TaskPlan!A:L,2,FALSE),"")</f>
        <v/>
      </c>
      <c r="K278" s="39" t="str">
        <f ca="1">IF(AND(B278="",NOT(A278="")),IF(NOT(LEFT(VLOOKUP(A278,TaskPlan!A:L,3,FALSE),1) = "0"),VLOOKUP(A278,TaskPlan!A:L,3,FALSE),""),"")</f>
        <v/>
      </c>
      <c r="L278" s="55" t="str">
        <f ca="1">IF(AND(B278="",NOT(A278="")),IF(NOT(LEFT(VLOOKUP(A278,TaskPlan!A:L,3,FALSE),1) = "0"),VLOOKUP(A278,TaskPlan!A:M,4,FALSE),""),"")</f>
        <v/>
      </c>
      <c r="M278" s="58" t="str">
        <f ca="1">IF(B278=".",1,IF(AND(B278="",NOT(A278="")),IF(VLOOKUP(A278,TaskPlan!A:L,5,FALSE)&gt;0,VLOOKUP(A278,TaskPlan!A:L,5,FALSE),""),""))</f>
        <v/>
      </c>
      <c r="N278" s="1" t="str">
        <f ca="1">IF(ISNA(VLOOKUP(A278,Projects!B:B,1,FALSE)),"","Yes")</f>
        <v/>
      </c>
    </row>
    <row r="279" spans="1:14" hidden="1" outlineLevel="1">
      <c r="A279" s="43" t="s">
        <v>585</v>
      </c>
      <c r="B279" s="7"/>
      <c r="C279" s="44" t="s">
        <v>1423</v>
      </c>
      <c r="D279" s="1" t="s">
        <v>20</v>
      </c>
      <c r="E279" s="26">
        <v>40406</v>
      </c>
      <c r="F279" s="25">
        <v>2</v>
      </c>
      <c r="G279" s="25" t="s">
        <v>1099</v>
      </c>
      <c r="H279" s="37">
        <f ca="1">IF(AND(B279="",NOT(A279="")),VLOOKUP(A279,TaskPlan!A:M,13,FALSE),"")</f>
        <v>40406</v>
      </c>
      <c r="I279" s="38" t="str">
        <f ca="1">IF(AND(B279="",NOT(A279="")),VLOOKUP(A279,TaskPlan!A:M,12,FALSE),"")</f>
        <v>Cancelled</v>
      </c>
      <c r="J279" s="39" t="str">
        <f ca="1">IF(AND(B279="",NOT(A279="")),VLOOKUP(A279,TaskPlan!A:L,2,FALSE),"")</f>
        <v>Unassigned</v>
      </c>
      <c r="K279" s="39" t="str">
        <f ca="1">IF(AND(B279="",NOT(A279="")),IF(NOT(LEFT(VLOOKUP(A279,TaskPlan!A:L,3,FALSE),1) = "0"),VLOOKUP(A279,TaskPlan!A:L,3,FALSE),""),"")</f>
        <v/>
      </c>
      <c r="L279" s="55" t="str">
        <f ca="1">IF(AND(B279="",NOT(A279="")),IF(NOT(LEFT(VLOOKUP(A279,TaskPlan!A:L,3,FALSE),1) = "0"),VLOOKUP(A279,TaskPlan!A:M,4,FALSE),""),"")</f>
        <v/>
      </c>
      <c r="M279" s="58" t="str">
        <f ca="1">IF(B279=".",1,IF(AND(B279="",NOT(A279="")),IF(VLOOKUP(A279,TaskPlan!A:L,5,FALSE)&gt;0,VLOOKUP(A279,TaskPlan!A:L,5,FALSE),""),""))</f>
        <v/>
      </c>
      <c r="N279" s="1" t="str">
        <f ca="1">IF(ISNA(VLOOKUP(A279,Projects!B:B,1,FALSE)),"","Yes")</f>
        <v/>
      </c>
    </row>
    <row r="280" spans="1:14" hidden="1" outlineLevel="1">
      <c r="A280" s="43" t="s">
        <v>586</v>
      </c>
      <c r="B280" s="7"/>
      <c r="C280" s="44" t="s">
        <v>218</v>
      </c>
      <c r="D280" s="7" t="s">
        <v>11</v>
      </c>
      <c r="E280" s="26">
        <v>39959</v>
      </c>
      <c r="H280" s="37">
        <f ca="1">IF(AND(B280="",NOT(A280="")),VLOOKUP(A280,TaskPlan!A:M,13,FALSE),"")</f>
        <v>39972</v>
      </c>
      <c r="I280" s="38" t="str">
        <f ca="1">IF(AND(B280="",NOT(A280="")),VLOOKUP(A280,TaskPlan!A:M,12,FALSE),"")</f>
        <v>Closed</v>
      </c>
      <c r="J280" s="39" t="str">
        <f ca="1">IF(AND(B280="",NOT(A280="")),VLOOKUP(A280,TaskPlan!A:L,2,FALSE),"")</f>
        <v>Paresh</v>
      </c>
      <c r="K280" s="39" t="str">
        <f ca="1">IF(AND(B280="",NOT(A280="")),IF(NOT(LEFT(VLOOKUP(A280,TaskPlan!A:L,3,FALSE),1) = "0"),VLOOKUP(A280,TaskPlan!A:L,3,FALSE),""),"")</f>
        <v/>
      </c>
      <c r="L280" s="55" t="str">
        <f ca="1">IF(AND(B280="",NOT(A280="")),IF(NOT(LEFT(VLOOKUP(A280,TaskPlan!A:L,3,FALSE),1) = "0"),VLOOKUP(A280,TaskPlan!A:M,4,FALSE),""),"")</f>
        <v/>
      </c>
      <c r="M280" s="58" t="str">
        <f ca="1">IF(B280=".",1,IF(AND(B280="",NOT(A280="")),IF(VLOOKUP(A280,TaskPlan!A:L,5,FALSE)&gt;0,VLOOKUP(A280,TaskPlan!A:L,5,FALSE),""),""))</f>
        <v/>
      </c>
      <c r="N280" s="1" t="str">
        <f ca="1">IF(ISNA(VLOOKUP(A280,Projects!B:B,1,FALSE)),"","Yes")</f>
        <v/>
      </c>
    </row>
    <row r="281" spans="1:14" hidden="1" outlineLevel="1">
      <c r="A281" s="43" t="s">
        <v>240</v>
      </c>
      <c r="B281" s="7" t="s">
        <v>15</v>
      </c>
      <c r="C281" s="45" t="s">
        <v>241</v>
      </c>
      <c r="D281" s="7"/>
      <c r="E281" s="26"/>
      <c r="H281" s="37" t="str">
        <f ca="1">IF(AND(B281="",NOT(A281="")),VLOOKUP(A281,TaskPlan!A:M,13,FALSE),"")</f>
        <v/>
      </c>
      <c r="I281" s="38" t="str">
        <f ca="1">IF(AND(B281="",NOT(A281="")),VLOOKUP(A281,TaskPlan!A:M,12,FALSE),"")</f>
        <v/>
      </c>
      <c r="J281" s="39" t="str">
        <f ca="1">IF(AND(B281="",NOT(A281="")),VLOOKUP(A281,TaskPlan!A:L,2,FALSE),"")</f>
        <v/>
      </c>
      <c r="K281" s="39" t="str">
        <f ca="1">IF(AND(B281="",NOT(A281="")),IF(NOT(LEFT(VLOOKUP(A281,TaskPlan!A:L,3,FALSE),1) = "0"),VLOOKUP(A281,TaskPlan!A:L,3,FALSE),""),"")</f>
        <v/>
      </c>
      <c r="L281" s="55" t="str">
        <f ca="1">IF(AND(B281="",NOT(A281="")),IF(NOT(LEFT(VLOOKUP(A281,TaskPlan!A:L,3,FALSE),1) = "0"),VLOOKUP(A281,TaskPlan!A:M,4,FALSE),""),"")</f>
        <v/>
      </c>
      <c r="N281" s="1" t="str">
        <f ca="1">IF(ISNA(VLOOKUP(A281,Projects!B:B,1,FALSE)),"","Yes")</f>
        <v/>
      </c>
    </row>
    <row r="282" spans="1:14" hidden="1" outlineLevel="1">
      <c r="A282" s="43" t="s">
        <v>242</v>
      </c>
      <c r="B282" s="7"/>
      <c r="C282" s="44" t="s">
        <v>243</v>
      </c>
      <c r="D282" s="7" t="s">
        <v>11</v>
      </c>
      <c r="E282" s="26">
        <v>39966</v>
      </c>
      <c r="H282" s="37">
        <f ca="1">IF(AND(B282="",NOT(A282="")),VLOOKUP(A282,TaskPlan!A:M,13,FALSE),"")</f>
        <v>39972</v>
      </c>
      <c r="I282" s="38" t="str">
        <f ca="1">IF(AND(B282="",NOT(A282="")),VLOOKUP(A282,TaskPlan!A:M,12,FALSE),"")</f>
        <v>Closed</v>
      </c>
      <c r="J282" s="39" t="str">
        <f ca="1">IF(AND(B282="",NOT(A282="")),VLOOKUP(A282,TaskPlan!A:L,2,FALSE),"")</f>
        <v>Paresh</v>
      </c>
      <c r="K282" s="39" t="str">
        <f ca="1">IF(AND(B282="",NOT(A282="")),IF(NOT(LEFT(VLOOKUP(A282,TaskPlan!A:L,3,FALSE),1) = "0"),VLOOKUP(A282,TaskPlan!A:L,3,FALSE),""),"")</f>
        <v/>
      </c>
      <c r="L282" s="55" t="str">
        <f ca="1">IF(AND(B282="",NOT(A282="")),IF(NOT(LEFT(VLOOKUP(A282,TaskPlan!A:L,3,FALSE),1) = "0"),VLOOKUP(A282,TaskPlan!A:M,4,FALSE),""),"")</f>
        <v/>
      </c>
      <c r="M282" s="58" t="str">
        <f ca="1">IF(B282=".",1,IF(AND(B282="",NOT(A282="")),IF(VLOOKUP(A282,TaskPlan!A:L,5,FALSE)&gt;0,VLOOKUP(A282,TaskPlan!A:L,5,FALSE),""),""))</f>
        <v/>
      </c>
      <c r="N282" s="1" t="str">
        <f ca="1">IF(ISNA(VLOOKUP(A282,Projects!B:B,1,FALSE)),"","Yes")</f>
        <v/>
      </c>
    </row>
    <row r="283" spans="1:14" hidden="1" outlineLevel="1">
      <c r="A283" s="43" t="s">
        <v>311</v>
      </c>
      <c r="B283" s="7" t="s">
        <v>15</v>
      </c>
      <c r="C283" s="45" t="s">
        <v>438</v>
      </c>
      <c r="D283" s="7"/>
      <c r="E283" s="26">
        <v>40053</v>
      </c>
      <c r="H283" s="37" t="str">
        <f ca="1">IF(AND(B283="",NOT(A283="")),VLOOKUP(A283,TaskPlan!A:M,13,FALSE),"")</f>
        <v/>
      </c>
      <c r="I283" s="38" t="str">
        <f ca="1">IF(AND(B283="",NOT(A283="")),VLOOKUP(A283,TaskPlan!A:M,12,FALSE),"")</f>
        <v/>
      </c>
      <c r="J283" s="39" t="str">
        <f ca="1">IF(AND(B283="",NOT(A283="")),VLOOKUP(A283,TaskPlan!A:L,2,FALSE),"")</f>
        <v/>
      </c>
      <c r="K283" s="39" t="str">
        <f ca="1">IF(AND(B283="",NOT(A283="")),IF(NOT(LEFT(VLOOKUP(A283,TaskPlan!A:L,3,FALSE),1) = "0"),VLOOKUP(A283,TaskPlan!A:L,3,FALSE),""),"")</f>
        <v/>
      </c>
      <c r="L283" s="55" t="str">
        <f ca="1">IF(AND(B283="",NOT(A283="")),IF(NOT(LEFT(VLOOKUP(A283,TaskPlan!A:L,3,FALSE),1) = "0"),VLOOKUP(A283,TaskPlan!A:M,4,FALSE),""),"")</f>
        <v/>
      </c>
      <c r="N283" s="1" t="str">
        <f ca="1">IF(ISNA(VLOOKUP(A283,Projects!B:B,1,FALSE)),"","Yes")</f>
        <v/>
      </c>
    </row>
    <row r="284" spans="1:14" hidden="1" outlineLevel="1">
      <c r="A284" s="41" t="s">
        <v>439</v>
      </c>
      <c r="B284" s="7"/>
      <c r="C284" s="44" t="s">
        <v>348</v>
      </c>
      <c r="D284" s="1" t="s">
        <v>20</v>
      </c>
      <c r="E284" s="26">
        <v>40025</v>
      </c>
      <c r="H284" s="37">
        <f ca="1">IF(AND(B284="",NOT(A284="")),VLOOKUP(A284,TaskPlan!A:M,13,FALSE),"")</f>
        <v>40074</v>
      </c>
      <c r="I284" s="38" t="str">
        <f ca="1">IF(AND(B284="",NOT(A284="")),VLOOKUP(A284,TaskPlan!A:M,12,FALSE),"")</f>
        <v>Closed</v>
      </c>
      <c r="J284" s="39" t="str">
        <f ca="1">IF(AND(B284="",NOT(A284="")),VLOOKUP(A284,TaskPlan!A:L,2,FALSE),"")</f>
        <v>Ruth</v>
      </c>
      <c r="K284" s="39" t="str">
        <f ca="1">IF(AND(B284="",NOT(A284="")),IF(NOT(LEFT(VLOOKUP(A284,TaskPlan!A:L,3,FALSE),1) = "0"),VLOOKUP(A284,TaskPlan!A:L,3,FALSE),""),"")</f>
        <v/>
      </c>
      <c r="L284" s="55" t="str">
        <f ca="1">IF(AND(B284="",NOT(A284="")),IF(NOT(LEFT(VLOOKUP(A284,TaskPlan!A:L,3,FALSE),1) = "0"),VLOOKUP(A284,TaskPlan!A:M,4,FALSE),""),"")</f>
        <v/>
      </c>
      <c r="M284" s="58" t="str">
        <f ca="1">IF(B284=".",1,IF(AND(B284="",NOT(A284="")),IF(VLOOKUP(A284,TaskPlan!A:L,5,FALSE)&gt;0,VLOOKUP(A284,TaskPlan!A:L,5,FALSE),""),""))</f>
        <v/>
      </c>
      <c r="N284" s="1" t="str">
        <f ca="1">IF(ISNA(VLOOKUP(A284,Projects!B:B,1,FALSE)),"","Yes")</f>
        <v/>
      </c>
    </row>
    <row r="285" spans="1:14" hidden="1" outlineLevel="1">
      <c r="A285" s="43" t="s">
        <v>440</v>
      </c>
      <c r="B285" s="7"/>
      <c r="C285" s="44" t="s">
        <v>441</v>
      </c>
      <c r="D285" s="1" t="s">
        <v>20</v>
      </c>
      <c r="E285" s="26">
        <v>40053</v>
      </c>
      <c r="H285" s="37">
        <f ca="1">IF(AND(B285="",NOT(A285="")),VLOOKUP(A285,TaskPlan!A:M,13,FALSE),"")</f>
        <v>40095</v>
      </c>
      <c r="I285" s="38" t="str">
        <f ca="1">IF(AND(B285="",NOT(A285="")),VLOOKUP(A285,TaskPlan!A:M,12,FALSE),"")</f>
        <v>Closed</v>
      </c>
      <c r="J285" s="39" t="str">
        <f ca="1">IF(AND(B285="",NOT(A285="")),VLOOKUP(A285,TaskPlan!A:L,2,FALSE),"")</f>
        <v>Paresh</v>
      </c>
      <c r="K285" s="39" t="str">
        <f ca="1">IF(AND(B285="",NOT(A285="")),IF(NOT(LEFT(VLOOKUP(A285,TaskPlan!A:L,3,FALSE),1) = "0"),VLOOKUP(A285,TaskPlan!A:L,3,FALSE),""),"")</f>
        <v/>
      </c>
      <c r="L285" s="55" t="str">
        <f ca="1">IF(AND(B285="",NOT(A285="")),IF(NOT(LEFT(VLOOKUP(A285,TaskPlan!A:L,3,FALSE),1) = "0"),VLOOKUP(A285,TaskPlan!A:M,4,FALSE),""),"")</f>
        <v/>
      </c>
      <c r="M285" s="58" t="str">
        <f ca="1">IF(B285=".",1,IF(AND(B285="",NOT(A285="")),IF(VLOOKUP(A285,TaskPlan!A:L,5,FALSE)&gt;0,VLOOKUP(A285,TaskPlan!A:L,5,FALSE),""),""))</f>
        <v/>
      </c>
      <c r="N285" s="1" t="str">
        <f ca="1">IF(ISNA(VLOOKUP(A285,Projects!B:B,1,FALSE)),"","Yes")</f>
        <v/>
      </c>
    </row>
    <row r="286" spans="1:14" hidden="1" outlineLevel="1">
      <c r="A286" s="43" t="s">
        <v>519</v>
      </c>
      <c r="B286" s="7"/>
      <c r="C286" s="44" t="s">
        <v>526</v>
      </c>
      <c r="D286" s="7" t="s">
        <v>45</v>
      </c>
      <c r="E286" s="26">
        <v>40095</v>
      </c>
      <c r="H286" s="37">
        <f ca="1">IF(AND(B286="",NOT(A286="")),VLOOKUP(A286,TaskPlan!A:M,13,FALSE),"")</f>
        <v>40147</v>
      </c>
      <c r="I286" s="38" t="str">
        <f ca="1">IF(AND(B286="",NOT(A286="")),VLOOKUP(A286,TaskPlan!A:M,12,FALSE),"")</f>
        <v>Closed</v>
      </c>
      <c r="J286" s="39" t="str">
        <f ca="1">IF(AND(B286="",NOT(A286="")),VLOOKUP(A286,TaskPlan!A:L,2,FALSE),"")</f>
        <v>Ruth</v>
      </c>
      <c r="K286" s="39" t="str">
        <f ca="1">IF(AND(B286="",NOT(A286="")),IF(NOT(LEFT(VLOOKUP(A286,TaskPlan!A:L,3,FALSE),1) = "0"),VLOOKUP(A286,TaskPlan!A:L,3,FALSE),""),"")</f>
        <v/>
      </c>
      <c r="L286" s="55" t="str">
        <f ca="1">IF(AND(B286="",NOT(A286="")),IF(NOT(LEFT(VLOOKUP(A286,TaskPlan!A:L,3,FALSE),1) = "0"),VLOOKUP(A286,TaskPlan!A:M,4,FALSE),""),"")</f>
        <v/>
      </c>
      <c r="M286" s="58" t="str">
        <f ca="1">IF(B286=".",1,IF(AND(B286="",NOT(A286="")),IF(VLOOKUP(A286,TaskPlan!A:L,5,FALSE)&gt;0,VLOOKUP(A286,TaskPlan!A:L,5,FALSE),""),""))</f>
        <v/>
      </c>
      <c r="N286" s="1" t="str">
        <f ca="1">IF(ISNA(VLOOKUP(A286,Projects!B:B,1,FALSE)),"","Yes")</f>
        <v/>
      </c>
    </row>
    <row r="287" spans="1:14" hidden="1" outlineLevel="1">
      <c r="A287" s="43" t="s">
        <v>853</v>
      </c>
      <c r="B287" s="7"/>
      <c r="C287" s="44" t="s">
        <v>854</v>
      </c>
      <c r="D287" s="7" t="s">
        <v>366</v>
      </c>
      <c r="E287" s="26">
        <v>40200</v>
      </c>
      <c r="F287" s="25">
        <v>1</v>
      </c>
      <c r="G287" s="25" t="s">
        <v>1098</v>
      </c>
      <c r="H287" s="37">
        <f ca="1">IF(AND(B287="",NOT(A287="")),VLOOKUP(A287,TaskPlan!A:M,13,FALSE),"")</f>
        <v>40332</v>
      </c>
      <c r="I287" s="38" t="str">
        <f ca="1">IF(AND(B287="",NOT(A287="")),VLOOKUP(A287,TaskPlan!A:M,12,FALSE),"")</f>
        <v>Closed</v>
      </c>
      <c r="J287" s="39" t="str">
        <f ca="1">IF(AND(B287="",NOT(A287="")),VLOOKUP(A287,TaskPlan!A:L,2,FALSE),"")</f>
        <v>Neil</v>
      </c>
      <c r="K287" s="39" t="str">
        <f ca="1">IF(AND(B287="",NOT(A287="")),IF(NOT(LEFT(VLOOKUP(A287,TaskPlan!A:L,3,FALSE),1) = "0"),VLOOKUP(A287,TaskPlan!A:L,3,FALSE),""),"")</f>
        <v/>
      </c>
      <c r="L287" s="55" t="str">
        <f ca="1">IF(AND(B287="",NOT(A287="")),IF(NOT(LEFT(VLOOKUP(A287,TaskPlan!A:L,3,FALSE),1) = "0"),VLOOKUP(A287,TaskPlan!A:M,4,FALSE),""),"")</f>
        <v/>
      </c>
      <c r="M287" s="58" t="str">
        <f ca="1">IF(B287=".",1,IF(AND(B287="",NOT(A287="")),IF(VLOOKUP(A287,TaskPlan!A:L,5,FALSE)&gt;0,VLOOKUP(A287,TaskPlan!A:L,5,FALSE),""),""))</f>
        <v/>
      </c>
      <c r="N287" s="1" t="str">
        <f ca="1">IF(ISNA(VLOOKUP(A287,Projects!B:B,1,FALSE)),"","Yes")</f>
        <v/>
      </c>
    </row>
    <row r="288" spans="1:14" hidden="1" outlineLevel="1">
      <c r="A288" s="43" t="s">
        <v>333</v>
      </c>
      <c r="B288" s="7" t="s">
        <v>15</v>
      </c>
      <c r="C288" s="45" t="s">
        <v>455</v>
      </c>
      <c r="E288" s="26"/>
      <c r="H288" s="37" t="str">
        <f ca="1">IF(AND(B288="",NOT(A288="")),VLOOKUP(A288,TaskPlan!A:M,13,FALSE),"")</f>
        <v/>
      </c>
      <c r="I288" s="38" t="str">
        <f ca="1">IF(AND(B288="",NOT(A288="")),VLOOKUP(A288,TaskPlan!A:M,12,FALSE),"")</f>
        <v/>
      </c>
      <c r="J288" s="39" t="str">
        <f ca="1">IF(AND(B288="",NOT(A288="")),VLOOKUP(A288,TaskPlan!A:L,2,FALSE),"")</f>
        <v/>
      </c>
      <c r="K288" s="39" t="str">
        <f ca="1">IF(AND(B288="",NOT(A288="")),IF(NOT(LEFT(VLOOKUP(A288,TaskPlan!A:L,3,FALSE),1) = "0"),VLOOKUP(A288,TaskPlan!A:L,3,FALSE),""),"")</f>
        <v/>
      </c>
      <c r="L288" s="55" t="str">
        <f ca="1">IF(AND(B288="",NOT(A288="")),IF(NOT(LEFT(VLOOKUP(A288,TaskPlan!A:L,3,FALSE),1) = "0"),VLOOKUP(A288,TaskPlan!A:M,4,FALSE),""),"")</f>
        <v/>
      </c>
      <c r="N288" s="1" t="str">
        <f ca="1">IF(ISNA(VLOOKUP(A288,Projects!B:B,1,FALSE)),"","Yes")</f>
        <v/>
      </c>
    </row>
    <row r="289" spans="1:14" hidden="1" outlineLevel="1">
      <c r="A289" s="43" t="s">
        <v>450</v>
      </c>
      <c r="B289" s="7"/>
      <c r="C289" s="44" t="s">
        <v>347</v>
      </c>
      <c r="D289" s="1" t="s">
        <v>20</v>
      </c>
      <c r="E289" s="26">
        <v>40025</v>
      </c>
      <c r="H289" s="37">
        <f ca="1">IF(AND(B289="",NOT(A289="")),VLOOKUP(A289,TaskPlan!A:M,13,FALSE),"")</f>
        <v>40074</v>
      </c>
      <c r="I289" s="38" t="str">
        <f ca="1">IF(AND(B289="",NOT(A289="")),VLOOKUP(A289,TaskPlan!A:M,12,FALSE),"")</f>
        <v>Closed</v>
      </c>
      <c r="J289" s="39" t="str">
        <f ca="1">IF(AND(B289="",NOT(A289="")),VLOOKUP(A289,TaskPlan!A:L,2,FALSE),"")</f>
        <v>Ruth</v>
      </c>
      <c r="K289" s="39" t="str">
        <f ca="1">IF(AND(B289="",NOT(A289="")),IF(NOT(LEFT(VLOOKUP(A289,TaskPlan!A:L,3,FALSE),1) = "0"),VLOOKUP(A289,TaskPlan!A:L,3,FALSE),""),"")</f>
        <v/>
      </c>
      <c r="L289" s="55" t="str">
        <f ca="1">IF(AND(B289="",NOT(A289="")),IF(NOT(LEFT(VLOOKUP(A289,TaskPlan!A:L,3,FALSE),1) = "0"),VLOOKUP(A289,TaskPlan!A:M,4,FALSE),""),"")</f>
        <v/>
      </c>
      <c r="M289" s="58" t="str">
        <f ca="1">IF(B289=".",1,IF(AND(B289="",NOT(A289="")),IF(VLOOKUP(A289,TaskPlan!A:L,5,FALSE)&gt;0,VLOOKUP(A289,TaskPlan!A:L,5,FALSE),""),""))</f>
        <v/>
      </c>
      <c r="N289" s="1" t="str">
        <f ca="1">IF(ISNA(VLOOKUP(A289,Projects!B:B,1,FALSE)),"","Yes")</f>
        <v/>
      </c>
    </row>
    <row r="290" spans="1:14" hidden="1" outlineLevel="1">
      <c r="A290" s="43" t="s">
        <v>456</v>
      </c>
      <c r="B290" s="7"/>
      <c r="C290" s="44" t="s">
        <v>451</v>
      </c>
      <c r="D290" s="1" t="s">
        <v>20</v>
      </c>
      <c r="E290" s="26">
        <v>40067</v>
      </c>
      <c r="F290" s="25">
        <v>3</v>
      </c>
      <c r="G290" s="28" t="s">
        <v>1099</v>
      </c>
      <c r="H290" s="37">
        <f ca="1">IF(AND(B290="",NOT(A290="")),VLOOKUP(A290,TaskPlan!A:M,13,FALSE),"")</f>
        <v>40597</v>
      </c>
      <c r="I290" s="38" t="str">
        <f ca="1">IF(AND(B290="",NOT(A290="")),VLOOKUP(A290,TaskPlan!A:M,12,FALSE),"")</f>
        <v>In Progress</v>
      </c>
      <c r="J290" s="39" t="str">
        <f ca="1">IF(AND(B290="",NOT(A290="")),VLOOKUP(A290,TaskPlan!A:L,2,FALSE),"")</f>
        <v>Ruth</v>
      </c>
      <c r="K290" s="39" t="str">
        <f ca="1">IF(AND(B290="",NOT(A290="")),IF(NOT(LEFT(VLOOKUP(A290,TaskPlan!A:L,3,FALSE),1) = "0"),VLOOKUP(A290,TaskPlan!A:L,3,FALSE),""),"")</f>
        <v>3-MED</v>
      </c>
      <c r="L290" s="55">
        <f ca="1">IF(AND(B290="",NOT(A290="")),IF(NOT(LEFT(VLOOKUP(A290,TaskPlan!A:L,3,FALSE),1) = "0"),VLOOKUP(A290,TaskPlan!A:M,4,FALSE),""),"")</f>
        <v>0</v>
      </c>
      <c r="M290" s="58" t="str">
        <f ca="1">IF(B290=".",1,IF(AND(B290="",NOT(A290="")),IF(VLOOKUP(A290,TaskPlan!A:L,5,FALSE)&gt;0,VLOOKUP(A290,TaskPlan!A:L,5,FALSE),""),""))</f>
        <v/>
      </c>
      <c r="N290" s="1" t="str">
        <f ca="1">IF(ISNA(VLOOKUP(A290,Projects!B:B,1,FALSE)),"","Yes")</f>
        <v/>
      </c>
    </row>
    <row r="291" spans="1:14" hidden="1" outlineLevel="1">
      <c r="A291" s="43" t="s">
        <v>369</v>
      </c>
      <c r="B291" s="7"/>
      <c r="C291" s="44" t="s">
        <v>370</v>
      </c>
      <c r="D291" s="1" t="s">
        <v>20</v>
      </c>
      <c r="E291" s="26">
        <v>40028</v>
      </c>
      <c r="H291" s="37">
        <f ca="1">IF(AND(B291="",NOT(A291="")),VLOOKUP(A291,TaskPlan!A:M,13,FALSE),"")</f>
        <v>40134</v>
      </c>
      <c r="I291" s="38" t="str">
        <f ca="1">IF(AND(B291="",NOT(A291="")),VLOOKUP(A291,TaskPlan!A:M,12,FALSE),"")</f>
        <v>Closed</v>
      </c>
      <c r="J291" s="39" t="str">
        <f ca="1">IF(AND(B291="",NOT(A291="")),VLOOKUP(A291,TaskPlan!A:L,2,FALSE),"")</f>
        <v>Neil</v>
      </c>
      <c r="K291" s="39" t="str">
        <f ca="1">IF(AND(B291="",NOT(A291="")),IF(NOT(LEFT(VLOOKUP(A291,TaskPlan!A:L,3,FALSE),1) = "0"),VLOOKUP(A291,TaskPlan!A:L,3,FALSE),""),"")</f>
        <v/>
      </c>
      <c r="L291" s="55" t="str">
        <f ca="1">IF(AND(B291="",NOT(A291="")),IF(NOT(LEFT(VLOOKUP(A291,TaskPlan!A:L,3,FALSE),1) = "0"),VLOOKUP(A291,TaskPlan!A:M,4,FALSE),""),"")</f>
        <v/>
      </c>
      <c r="M291" s="58" t="str">
        <f ca="1">IF(B291=".",1,IF(AND(B291="",NOT(A291="")),IF(VLOOKUP(A291,TaskPlan!A:L,5,FALSE)&gt;0,VLOOKUP(A291,TaskPlan!A:L,5,FALSE),""),""))</f>
        <v/>
      </c>
      <c r="N291" s="1" t="str">
        <f ca="1">IF(ISNA(VLOOKUP(A291,Projects!B:B,1,FALSE)),"","Yes")</f>
        <v/>
      </c>
    </row>
    <row r="292" spans="1:14" hidden="1" outlineLevel="1">
      <c r="A292" s="43" t="s">
        <v>398</v>
      </c>
      <c r="B292" s="7" t="s">
        <v>15</v>
      </c>
      <c r="C292" s="45" t="s">
        <v>488</v>
      </c>
      <c r="E292" s="26"/>
      <c r="H292" s="37" t="str">
        <f ca="1">IF(AND(B292="",NOT(A292="")),VLOOKUP(A292,TaskPlan!A:M,13,FALSE),"")</f>
        <v/>
      </c>
      <c r="I292" s="38" t="str">
        <f ca="1">IF(AND(B292="",NOT(A292="")),VLOOKUP(A292,TaskPlan!A:M,12,FALSE),"")</f>
        <v/>
      </c>
      <c r="J292" s="39" t="str">
        <f ca="1">IF(AND(B292="",NOT(A292="")),VLOOKUP(A292,TaskPlan!A:L,2,FALSE),"")</f>
        <v/>
      </c>
      <c r="K292" s="39" t="str">
        <f ca="1">IF(AND(B292="",NOT(A292="")),IF(NOT(LEFT(VLOOKUP(A292,TaskPlan!A:L,3,FALSE),1) = "0"),VLOOKUP(A292,TaskPlan!A:L,3,FALSE),""),"")</f>
        <v/>
      </c>
      <c r="L292" s="55" t="str">
        <f ca="1">IF(AND(B292="",NOT(A292="")),IF(NOT(LEFT(VLOOKUP(A292,TaskPlan!A:L,3,FALSE),1) = "0"),VLOOKUP(A292,TaskPlan!A:M,4,FALSE),""),"")</f>
        <v/>
      </c>
      <c r="N292" s="1" t="str">
        <f ca="1">IF(ISNA(VLOOKUP(A292,Projects!B:B,1,FALSE)),"","Yes")</f>
        <v/>
      </c>
    </row>
    <row r="293" spans="1:14" hidden="1" outlineLevel="1">
      <c r="A293" s="43" t="s">
        <v>457</v>
      </c>
      <c r="C293" s="44" t="s">
        <v>489</v>
      </c>
      <c r="D293" s="1" t="s">
        <v>20</v>
      </c>
      <c r="E293" s="26">
        <v>40086</v>
      </c>
      <c r="F293" s="25">
        <v>4</v>
      </c>
      <c r="G293" s="28" t="s">
        <v>1099</v>
      </c>
      <c r="H293" s="37">
        <f ca="1">IF(AND(B293="",NOT(A293="")),VLOOKUP(A293,TaskPlan!A:M,13,FALSE),"")</f>
        <v>40283</v>
      </c>
      <c r="I293" s="38" t="str">
        <f ca="1">IF(AND(B293="",NOT(A293="")),VLOOKUP(A293,TaskPlan!A:M,12,FALSE),"")</f>
        <v>In Progress</v>
      </c>
      <c r="J293" s="39" t="str">
        <f ca="1">IF(AND(B293="",NOT(A293="")),VLOOKUP(A293,TaskPlan!A:L,2,FALSE),"")</f>
        <v>Unassigned</v>
      </c>
      <c r="K293" s="39" t="str">
        <f ca="1">IF(AND(B293="",NOT(A293="")),IF(NOT(LEFT(VLOOKUP(A293,TaskPlan!A:L,3,FALSE),1) = "0"),VLOOKUP(A293,TaskPlan!A:L,3,FALSE),""),"")</f>
        <v>2-LOW</v>
      </c>
      <c r="L293" s="55">
        <f ca="1">IF(AND(B293="",NOT(A293="")),IF(NOT(LEFT(VLOOKUP(A293,TaskPlan!A:L,3,FALSE),1) = "0"),VLOOKUP(A293,TaskPlan!A:M,4,FALSE),""),"")</f>
        <v>0</v>
      </c>
      <c r="M293" s="58" t="str">
        <f ca="1">IF(B293=".",1,IF(AND(B293="",NOT(A293="")),IF(VLOOKUP(A293,TaskPlan!A:L,5,FALSE)&gt;0,VLOOKUP(A293,TaskPlan!A:L,5,FALSE),""),""))</f>
        <v/>
      </c>
      <c r="N293" s="1" t="str">
        <f ca="1">IF(ISNA(VLOOKUP(A293,Projects!B:B,1,FALSE)),"","Yes")</f>
        <v/>
      </c>
    </row>
    <row r="294" spans="1:14" hidden="1" outlineLevel="1">
      <c r="A294" s="43" t="s">
        <v>463</v>
      </c>
      <c r="C294" s="44" t="s">
        <v>490</v>
      </c>
      <c r="D294" s="1" t="s">
        <v>20</v>
      </c>
      <c r="E294" s="26">
        <v>40086</v>
      </c>
      <c r="F294" s="25">
        <v>3</v>
      </c>
      <c r="G294" s="28" t="s">
        <v>1099</v>
      </c>
      <c r="H294" s="37">
        <f ca="1">IF(AND(B294="",NOT(A294="")),VLOOKUP(A294,TaskPlan!A:M,13,FALSE),"")</f>
        <v>40498</v>
      </c>
      <c r="I294" s="38" t="str">
        <f ca="1">IF(AND(B294="",NOT(A294="")),VLOOKUP(A294,TaskPlan!A:M,12,FALSE),"")</f>
        <v>Not Started</v>
      </c>
      <c r="J294" s="39" t="str">
        <f ca="1">IF(AND(B294="",NOT(A294="")),VLOOKUP(A294,TaskPlan!A:L,2,FALSE),"")</f>
        <v>Unassigned</v>
      </c>
      <c r="K294" s="39" t="str">
        <f ca="1">IF(AND(B294="",NOT(A294="")),IF(NOT(LEFT(VLOOKUP(A294,TaskPlan!A:L,3,FALSE),1) = "0"),VLOOKUP(A294,TaskPlan!A:L,3,FALSE),""),"")</f>
        <v>2-LOW</v>
      </c>
      <c r="L294" s="55">
        <f ca="1">IF(AND(B294="",NOT(A294="")),IF(NOT(LEFT(VLOOKUP(A294,TaskPlan!A:L,3,FALSE),1) = "0"),VLOOKUP(A294,TaskPlan!A:M,4,FALSE),""),"")</f>
        <v>0</v>
      </c>
      <c r="M294" s="58" t="str">
        <f ca="1">IF(B294=".",1,IF(AND(B294="",NOT(A294="")),IF(VLOOKUP(A294,TaskPlan!A:L,5,FALSE)&gt;0,VLOOKUP(A294,TaskPlan!A:L,5,FALSE),""),""))</f>
        <v/>
      </c>
      <c r="N294" s="1" t="str">
        <f ca="1">IF(ISNA(VLOOKUP(A294,Projects!B:B,1,FALSE)),"","Yes")</f>
        <v/>
      </c>
    </row>
    <row r="295" spans="1:14" hidden="1" outlineLevel="1">
      <c r="A295" s="43" t="s">
        <v>400</v>
      </c>
      <c r="B295" s="1" t="s">
        <v>15</v>
      </c>
      <c r="C295" s="45" t="s">
        <v>401</v>
      </c>
      <c r="E295" s="26"/>
      <c r="H295" s="37" t="str">
        <f ca="1">IF(AND(B295="",NOT(A295="")),VLOOKUP(A295,TaskPlan!A:M,13,FALSE),"")</f>
        <v/>
      </c>
      <c r="I295" s="38" t="str">
        <f ca="1">IF(AND(B295="",NOT(A295="")),VLOOKUP(A295,TaskPlan!A:M,12,FALSE),"")</f>
        <v/>
      </c>
      <c r="J295" s="39" t="str">
        <f ca="1">IF(AND(B295="",NOT(A295="")),VLOOKUP(A295,TaskPlan!A:L,2,FALSE),"")</f>
        <v/>
      </c>
      <c r="K295" s="39" t="str">
        <f ca="1">IF(AND(B295="",NOT(A295="")),IF(NOT(LEFT(VLOOKUP(A295,TaskPlan!A:L,3,FALSE),1) = "0"),VLOOKUP(A295,TaskPlan!A:L,3,FALSE),""),"")</f>
        <v/>
      </c>
      <c r="L295" s="55" t="str">
        <f ca="1">IF(AND(B295="",NOT(A295="")),IF(NOT(LEFT(VLOOKUP(A295,TaskPlan!A:L,3,FALSE),1) = "0"),VLOOKUP(A295,TaskPlan!A:M,4,FALSE),""),"")</f>
        <v/>
      </c>
      <c r="N295" s="1" t="str">
        <f ca="1">IF(ISNA(VLOOKUP(A295,Projects!B:B,1,FALSE)),"","Yes")</f>
        <v/>
      </c>
    </row>
    <row r="296" spans="1:14" hidden="1" outlineLevel="1">
      <c r="A296" s="43" t="s">
        <v>402</v>
      </c>
      <c r="C296" s="44" t="s">
        <v>403</v>
      </c>
      <c r="D296" s="7" t="s">
        <v>366</v>
      </c>
      <c r="E296" s="26">
        <v>40043</v>
      </c>
      <c r="H296" s="37">
        <f ca="1">IF(AND(B296="",NOT(A296="")),VLOOKUP(A296,TaskPlan!A:M,13,FALSE),"")</f>
        <v>40123</v>
      </c>
      <c r="I296" s="38" t="str">
        <f ca="1">IF(AND(B296="",NOT(A296="")),VLOOKUP(A296,TaskPlan!A:M,12,FALSE),"")</f>
        <v>Closed</v>
      </c>
      <c r="J296" s="39" t="str">
        <f ca="1">IF(AND(B296="",NOT(A296="")),VLOOKUP(A296,TaskPlan!A:L,2,FALSE),"")</f>
        <v>Neil</v>
      </c>
      <c r="K296" s="39" t="str">
        <f ca="1">IF(AND(B296="",NOT(A296="")),IF(NOT(LEFT(VLOOKUP(A296,TaskPlan!A:L,3,FALSE),1) = "0"),VLOOKUP(A296,TaskPlan!A:L,3,FALSE),""),"")</f>
        <v/>
      </c>
      <c r="L296" s="55" t="str">
        <f ca="1">IF(AND(B296="",NOT(A296="")),IF(NOT(LEFT(VLOOKUP(A296,TaskPlan!A:L,3,FALSE),1) = "0"),VLOOKUP(A296,TaskPlan!A:M,4,FALSE),""),"")</f>
        <v/>
      </c>
      <c r="M296" s="58" t="str">
        <f ca="1">IF(B296=".",1,IF(AND(B296="",NOT(A296="")),IF(VLOOKUP(A296,TaskPlan!A:L,5,FALSE)&gt;0,VLOOKUP(A296,TaskPlan!A:L,5,FALSE),""),""))</f>
        <v/>
      </c>
      <c r="N296" s="1" t="str">
        <f ca="1">IF(ISNA(VLOOKUP(A296,Projects!B:B,1,FALSE)),"","Yes")</f>
        <v/>
      </c>
    </row>
    <row r="297" spans="1:14" hidden="1" outlineLevel="1">
      <c r="A297" s="43" t="s">
        <v>458</v>
      </c>
      <c r="B297" s="7" t="s">
        <v>15</v>
      </c>
      <c r="C297" s="45" t="s">
        <v>459</v>
      </c>
      <c r="D297" s="7"/>
      <c r="E297" s="26"/>
      <c r="H297" s="37" t="str">
        <f ca="1">IF(AND(B297="",NOT(A297="")),VLOOKUP(A297,TaskPlan!A:M,13,FALSE),"")</f>
        <v/>
      </c>
      <c r="I297" s="38" t="str">
        <f ca="1">IF(AND(B297="",NOT(A297="")),VLOOKUP(A297,TaskPlan!A:M,12,FALSE),"")</f>
        <v/>
      </c>
      <c r="J297" s="39" t="str">
        <f ca="1">IF(AND(B297="",NOT(A297="")),VLOOKUP(A297,TaskPlan!A:L,2,FALSE),"")</f>
        <v/>
      </c>
      <c r="K297" s="39" t="str">
        <f ca="1">IF(AND(B297="",NOT(A297="")),IF(NOT(LEFT(VLOOKUP(A297,TaskPlan!A:L,3,FALSE),1) = "0"),VLOOKUP(A297,TaskPlan!A:L,3,FALSE),""),"")</f>
        <v/>
      </c>
      <c r="L297" s="55" t="str">
        <f ca="1">IF(AND(B297="",NOT(A297="")),IF(NOT(LEFT(VLOOKUP(A297,TaskPlan!A:L,3,FALSE),1) = "0"),VLOOKUP(A297,TaskPlan!A:M,4,FALSE),""),"")</f>
        <v/>
      </c>
      <c r="N297" s="1" t="str">
        <f ca="1">IF(ISNA(VLOOKUP(A297,Projects!B:B,1,FALSE)),"","Yes")</f>
        <v/>
      </c>
    </row>
    <row r="298" spans="1:14" hidden="1" outlineLevel="1">
      <c r="A298" s="43" t="s">
        <v>460</v>
      </c>
      <c r="B298" s="7"/>
      <c r="C298" s="44" t="s">
        <v>461</v>
      </c>
      <c r="D298" s="7" t="s">
        <v>366</v>
      </c>
      <c r="E298" s="26">
        <v>40074</v>
      </c>
      <c r="H298" s="37">
        <f ca="1">IF(AND(B298="",NOT(A298="")),VLOOKUP(A298,TaskPlan!A:M,13,FALSE),"")</f>
        <v>40102</v>
      </c>
      <c r="I298" s="38" t="str">
        <f ca="1">IF(AND(B298="",NOT(A298="")),VLOOKUP(A298,TaskPlan!A:M,12,FALSE),"")</f>
        <v>Closed</v>
      </c>
      <c r="J298" s="39" t="str">
        <f ca="1">IF(AND(B298="",NOT(A298="")),VLOOKUP(A298,TaskPlan!A:L,2,FALSE),"")</f>
        <v>Neil</v>
      </c>
      <c r="K298" s="39" t="str">
        <f ca="1">IF(AND(B298="",NOT(A298="")),IF(NOT(LEFT(VLOOKUP(A298,TaskPlan!A:L,3,FALSE),1) = "0"),VLOOKUP(A298,TaskPlan!A:L,3,FALSE),""),"")</f>
        <v/>
      </c>
      <c r="L298" s="55" t="str">
        <f ca="1">IF(AND(B298="",NOT(A298="")),IF(NOT(LEFT(VLOOKUP(A298,TaskPlan!A:L,3,FALSE),1) = "0"),VLOOKUP(A298,TaskPlan!A:M,4,FALSE),""),"")</f>
        <v/>
      </c>
      <c r="M298" s="58" t="str">
        <f ca="1">IF(B298=".",1,IF(AND(B298="",NOT(A298="")),IF(VLOOKUP(A298,TaskPlan!A:L,5,FALSE)&gt;0,VLOOKUP(A298,TaskPlan!A:L,5,FALSE),""),""))</f>
        <v/>
      </c>
      <c r="N298" s="1" t="str">
        <f ca="1">IF(ISNA(VLOOKUP(A298,Projects!B:B,1,FALSE)),"","Yes")</f>
        <v/>
      </c>
    </row>
    <row r="299" spans="1:14" hidden="1" outlineLevel="1">
      <c r="A299" s="43" t="s">
        <v>726</v>
      </c>
      <c r="B299" s="7"/>
      <c r="C299" s="44" t="s">
        <v>727</v>
      </c>
      <c r="D299" s="7" t="s">
        <v>366</v>
      </c>
      <c r="E299" s="26">
        <v>40142</v>
      </c>
      <c r="F299" s="25">
        <v>0.5</v>
      </c>
      <c r="G299" s="28" t="s">
        <v>1213</v>
      </c>
      <c r="H299" s="37">
        <f ca="1">IF(AND(B299="",NOT(A299="")),VLOOKUP(A299,TaskPlan!A:M,13,FALSE),"")</f>
        <v>40283</v>
      </c>
      <c r="I299" s="38" t="str">
        <f ca="1">IF(AND(B299="",NOT(A299="")),VLOOKUP(A299,TaskPlan!A:M,12,FALSE),"")</f>
        <v>Not Started</v>
      </c>
      <c r="J299" s="39" t="str">
        <f ca="1">IF(AND(B299="",NOT(A299="")),VLOOKUP(A299,TaskPlan!A:L,2,FALSE),"")</f>
        <v>Unassigned</v>
      </c>
      <c r="K299" s="39" t="str">
        <f ca="1">IF(AND(B299="",NOT(A299="")),IF(NOT(LEFT(VLOOKUP(A299,TaskPlan!A:L,3,FALSE),1) = "0"),VLOOKUP(A299,TaskPlan!A:L,3,FALSE),""),"")</f>
        <v>3-MED</v>
      </c>
      <c r="L299" s="55">
        <f ca="1">IF(AND(B299="",NOT(A299="")),IF(NOT(LEFT(VLOOKUP(A299,TaskPlan!A:L,3,FALSE),1) = "0"),VLOOKUP(A299,TaskPlan!A:M,4,FALSE),""),"")</f>
        <v>0</v>
      </c>
      <c r="M299" s="58" t="str">
        <f ca="1">IF(B299=".",1,IF(AND(B299="",NOT(A299="")),IF(VLOOKUP(A299,TaskPlan!A:L,5,FALSE)&gt;0,VLOOKUP(A299,TaskPlan!A:L,5,FALSE),""),""))</f>
        <v/>
      </c>
      <c r="N299" s="1" t="str">
        <f ca="1">IF(ISNA(VLOOKUP(A299,Projects!B:B,1,FALSE)),"","Yes")</f>
        <v/>
      </c>
    </row>
    <row r="300" spans="1:14" hidden="1" outlineLevel="1">
      <c r="A300" s="43" t="s">
        <v>471</v>
      </c>
      <c r="B300" s="7" t="s">
        <v>15</v>
      </c>
      <c r="C300" s="45" t="s">
        <v>472</v>
      </c>
      <c r="D300" s="7"/>
      <c r="E300" s="26"/>
      <c r="H300" s="37" t="str">
        <f ca="1">IF(AND(B300="",NOT(A300="")),VLOOKUP(A300,TaskPlan!A:M,13,FALSE),"")</f>
        <v/>
      </c>
      <c r="I300" s="38" t="str">
        <f ca="1">IF(AND(B300="",NOT(A300="")),VLOOKUP(A300,TaskPlan!A:M,12,FALSE),"")</f>
        <v/>
      </c>
      <c r="J300" s="39" t="str">
        <f ca="1">IF(AND(B300="",NOT(A300="")),VLOOKUP(A300,TaskPlan!A:L,2,FALSE),"")</f>
        <v/>
      </c>
      <c r="K300" s="39" t="str">
        <f ca="1">IF(AND(B300="",NOT(A300="")),IF(NOT(LEFT(VLOOKUP(A300,TaskPlan!A:L,3,FALSE),1) = "0"),VLOOKUP(A300,TaskPlan!A:L,3,FALSE),""),"")</f>
        <v/>
      </c>
      <c r="L300" s="55" t="str">
        <f ca="1">IF(AND(B300="",NOT(A300="")),IF(NOT(LEFT(VLOOKUP(A300,TaskPlan!A:L,3,FALSE),1) = "0"),VLOOKUP(A300,TaskPlan!A:M,4,FALSE),""),"")</f>
        <v/>
      </c>
      <c r="N300" s="1" t="str">
        <f ca="1">IF(ISNA(VLOOKUP(A300,Projects!B:B,1,FALSE)),"","Yes")</f>
        <v/>
      </c>
    </row>
    <row r="301" spans="1:14" hidden="1" outlineLevel="1">
      <c r="A301" s="43" t="s">
        <v>473</v>
      </c>
      <c r="B301" s="7"/>
      <c r="C301" s="44" t="s">
        <v>474</v>
      </c>
      <c r="D301" s="7" t="s">
        <v>366</v>
      </c>
      <c r="E301" s="26">
        <v>40074</v>
      </c>
      <c r="H301" s="37">
        <f ca="1">IF(AND(B301="",NOT(A301="")),VLOOKUP(A301,TaskPlan!A:M,13,FALSE),"")</f>
        <v>40120</v>
      </c>
      <c r="I301" s="38" t="str">
        <f ca="1">IF(AND(B301="",NOT(A301="")),VLOOKUP(A301,TaskPlan!A:M,12,FALSE),"")</f>
        <v>Closed</v>
      </c>
      <c r="J301" s="39" t="str">
        <f ca="1">IF(AND(B301="",NOT(A301="")),VLOOKUP(A301,TaskPlan!A:L,2,FALSE),"")</f>
        <v>Paresh</v>
      </c>
      <c r="K301" s="39" t="str">
        <f ca="1">IF(AND(B301="",NOT(A301="")),IF(NOT(LEFT(VLOOKUP(A301,TaskPlan!A:L,3,FALSE),1) = "0"),VLOOKUP(A301,TaskPlan!A:L,3,FALSE),""),"")</f>
        <v/>
      </c>
      <c r="L301" s="55" t="str">
        <f ca="1">IF(AND(B301="",NOT(A301="")),IF(NOT(LEFT(VLOOKUP(A301,TaskPlan!A:L,3,FALSE),1) = "0"),VLOOKUP(A301,TaskPlan!A:M,4,FALSE),""),"")</f>
        <v/>
      </c>
      <c r="M301" s="58" t="str">
        <f ca="1">IF(B301=".",1,IF(AND(B301="",NOT(A301="")),IF(VLOOKUP(A301,TaskPlan!A:L,5,FALSE)&gt;0,VLOOKUP(A301,TaskPlan!A:L,5,FALSE),""),""))</f>
        <v/>
      </c>
      <c r="N301" s="1" t="str">
        <f ca="1">IF(ISNA(VLOOKUP(A301,Projects!B:B,1,FALSE)),"","Yes")</f>
        <v/>
      </c>
    </row>
    <row r="302" spans="1:14" hidden="1" outlineLevel="1">
      <c r="A302" s="43" t="s">
        <v>931</v>
      </c>
      <c r="B302" s="7"/>
      <c r="C302" s="44" t="s">
        <v>1424</v>
      </c>
      <c r="D302" s="7" t="s">
        <v>366</v>
      </c>
      <c r="E302" s="26">
        <v>40406</v>
      </c>
      <c r="F302" s="25">
        <v>2</v>
      </c>
      <c r="G302" s="25" t="s">
        <v>1098</v>
      </c>
      <c r="H302" s="37">
        <f ca="1">IF(AND(B302="",NOT(A302="")),VLOOKUP(A302,TaskPlan!A:M,13,FALSE),"")</f>
        <v>40406</v>
      </c>
      <c r="I302" s="38" t="str">
        <f ca="1">IF(AND(B302="",NOT(A302="")),VLOOKUP(A302,TaskPlan!A:M,12,FALSE),"")</f>
        <v>Cancelled</v>
      </c>
      <c r="J302" s="39" t="str">
        <f ca="1">IF(AND(B302="",NOT(A302="")),VLOOKUP(A302,TaskPlan!A:L,2,FALSE),"")</f>
        <v>Neil</v>
      </c>
      <c r="K302" s="39" t="str">
        <f ca="1">IF(AND(B302="",NOT(A302="")),IF(NOT(LEFT(VLOOKUP(A302,TaskPlan!A:L,3,FALSE),1) = "0"),VLOOKUP(A302,TaskPlan!A:L,3,FALSE),""),"")</f>
        <v/>
      </c>
      <c r="L302" s="55" t="str">
        <f ca="1">IF(AND(B302="",NOT(A302="")),IF(NOT(LEFT(VLOOKUP(A302,TaskPlan!A:L,3,FALSE),1) = "0"),VLOOKUP(A302,TaskPlan!A:M,4,FALSE),""),"")</f>
        <v/>
      </c>
      <c r="M302" s="58" t="str">
        <f ca="1">IF(B302=".",1,IF(AND(B302="",NOT(A302="")),IF(VLOOKUP(A302,TaskPlan!A:L,5,FALSE)&gt;0,VLOOKUP(A302,TaskPlan!A:L,5,FALSE),""),""))</f>
        <v/>
      </c>
      <c r="N302" s="1" t="str">
        <f ca="1">IF(ISNA(VLOOKUP(A302,Projects!B:B,1,FALSE)),"","Yes")</f>
        <v/>
      </c>
    </row>
    <row r="303" spans="1:14" hidden="1" outlineLevel="1">
      <c r="A303" s="43" t="s">
        <v>932</v>
      </c>
      <c r="B303" s="7"/>
      <c r="C303" s="44" t="s">
        <v>933</v>
      </c>
      <c r="D303" s="7" t="s">
        <v>366</v>
      </c>
      <c r="E303" s="26">
        <v>40233</v>
      </c>
      <c r="F303" s="25">
        <v>1</v>
      </c>
      <c r="G303" s="25" t="s">
        <v>1098</v>
      </c>
      <c r="H303" s="37">
        <f ca="1">IF(AND(B303="",NOT(A303="")),VLOOKUP(A303,TaskPlan!A:M,13,FALSE),"")</f>
        <v>40505</v>
      </c>
      <c r="I303" s="38" t="str">
        <f ca="1">IF(AND(B303="",NOT(A303="")),VLOOKUP(A303,TaskPlan!A:M,12,FALSE),"")</f>
        <v>In Progress</v>
      </c>
      <c r="J303" s="39" t="str">
        <f ca="1">IF(AND(B303="",NOT(A303="")),VLOOKUP(A303,TaskPlan!A:L,2,FALSE),"")</f>
        <v>Pramendra</v>
      </c>
      <c r="K303" s="39" t="str">
        <f ca="1">IF(AND(B303="",NOT(A303="")),IF(NOT(LEFT(VLOOKUP(A303,TaskPlan!A:L,3,FALSE),1) = "0"),VLOOKUP(A303,TaskPlan!A:L,3,FALSE),""),"")</f>
        <v>4-HIGH</v>
      </c>
      <c r="L303" s="55">
        <f ca="1">IF(AND(B303="",NOT(A303="")),IF(NOT(LEFT(VLOOKUP(A303,TaskPlan!A:L,3,FALSE),1) = "0"),VLOOKUP(A303,TaskPlan!A:M,4,FALSE),""),"")</f>
        <v>0</v>
      </c>
      <c r="M303" s="58" t="str">
        <f ca="1">IF(B303=".",1,IF(AND(B303="",NOT(A303="")),IF(VLOOKUP(A303,TaskPlan!A:L,5,FALSE)&gt;0,VLOOKUP(A303,TaskPlan!A:L,5,FALSE),""),""))</f>
        <v/>
      </c>
      <c r="N303" s="1" t="str">
        <f ca="1">IF(ISNA(VLOOKUP(A303,Projects!B:B,1,FALSE)),"","Yes")</f>
        <v/>
      </c>
    </row>
    <row r="304" spans="1:14" hidden="1" outlineLevel="1">
      <c r="A304" s="43" t="s">
        <v>1071</v>
      </c>
      <c r="B304" s="7"/>
      <c r="C304" s="44" t="s">
        <v>1072</v>
      </c>
      <c r="D304" s="7" t="s">
        <v>366</v>
      </c>
      <c r="E304" s="26">
        <v>40287</v>
      </c>
      <c r="F304" s="25">
        <v>1</v>
      </c>
      <c r="G304" s="28" t="s">
        <v>1213</v>
      </c>
      <c r="H304" s="37">
        <f ca="1">IF(AND(B304="",NOT(A304="")),VLOOKUP(A304,TaskPlan!A:M,13,FALSE),"")</f>
        <v>40568</v>
      </c>
      <c r="I304" s="38" t="str">
        <f ca="1">IF(AND(B304="",NOT(A304="")),VLOOKUP(A304,TaskPlan!A:M,12,FALSE),"")</f>
        <v>Closed</v>
      </c>
      <c r="J304" s="39" t="str">
        <f ca="1">IF(AND(B304="",NOT(A304="")),VLOOKUP(A304,TaskPlan!A:L,2,FALSE),"")</f>
        <v>Pramendra</v>
      </c>
      <c r="K304" s="39" t="str">
        <f ca="1">IF(AND(B304="",NOT(A304="")),IF(NOT(LEFT(VLOOKUP(A304,TaskPlan!A:L,3,FALSE),1) = "0"),VLOOKUP(A304,TaskPlan!A:L,3,FALSE),""),"")</f>
        <v/>
      </c>
      <c r="L304" s="55" t="str">
        <f ca="1">IF(AND(B304="",NOT(A304="")),IF(NOT(LEFT(VLOOKUP(A304,TaskPlan!A:L,3,FALSE),1) = "0"),VLOOKUP(A304,TaskPlan!A:M,4,FALSE),""),"")</f>
        <v/>
      </c>
      <c r="N304" s="1" t="str">
        <f ca="1">IF(ISNA(VLOOKUP(A304,Projects!B:B,1,FALSE)),"","Yes")</f>
        <v/>
      </c>
    </row>
    <row r="305" spans="1:14" hidden="1" outlineLevel="1">
      <c r="A305" s="43" t="s">
        <v>478</v>
      </c>
      <c r="B305" s="7" t="s">
        <v>15</v>
      </c>
      <c r="C305" s="45" t="s">
        <v>479</v>
      </c>
      <c r="D305" s="7"/>
      <c r="E305" s="26"/>
      <c r="H305" s="37" t="str">
        <f ca="1">IF(AND(B305="",NOT(A305="")),VLOOKUP(A305,TaskPlan!A:M,13,FALSE),"")</f>
        <v/>
      </c>
      <c r="I305" s="38" t="str">
        <f ca="1">IF(AND(B305="",NOT(A305="")),VLOOKUP(A305,TaskPlan!A:M,12,FALSE),"")</f>
        <v/>
      </c>
      <c r="J305" s="39" t="str">
        <f ca="1">IF(AND(B305="",NOT(A305="")),VLOOKUP(A305,TaskPlan!A:L,2,FALSE),"")</f>
        <v/>
      </c>
      <c r="K305" s="39" t="str">
        <f ca="1">IF(AND(B305="",NOT(A305="")),IF(NOT(LEFT(VLOOKUP(A305,TaskPlan!A:L,3,FALSE),1) = "0"),VLOOKUP(A305,TaskPlan!A:L,3,FALSE),""),"")</f>
        <v/>
      </c>
      <c r="L305" s="55" t="str">
        <f ca="1">IF(AND(B305="",NOT(A305="")),IF(NOT(LEFT(VLOOKUP(A305,TaskPlan!A:L,3,FALSE),1) = "0"),VLOOKUP(A305,TaskPlan!A:M,4,FALSE),""),"")</f>
        <v/>
      </c>
      <c r="N305" s="1" t="str">
        <f ca="1">IF(ISNA(VLOOKUP(A305,Projects!B:B,1,FALSE)),"","Yes")</f>
        <v/>
      </c>
    </row>
    <row r="306" spans="1:14" hidden="1" outlineLevel="1">
      <c r="A306" s="43" t="s">
        <v>480</v>
      </c>
      <c r="B306" s="7"/>
      <c r="C306" s="44" t="s">
        <v>481</v>
      </c>
      <c r="D306" s="1" t="s">
        <v>20</v>
      </c>
      <c r="E306" s="26">
        <v>40074</v>
      </c>
      <c r="H306" s="37">
        <f ca="1">IF(AND(B306="",NOT(A306="")),VLOOKUP(A306,TaskPlan!A:M,13,FALSE),"")</f>
        <v>40106</v>
      </c>
      <c r="I306" s="38" t="str">
        <f ca="1">IF(AND(B306="",NOT(A306="")),VLOOKUP(A306,TaskPlan!A:M,12,FALSE),"")</f>
        <v>Closed</v>
      </c>
      <c r="J306" s="39" t="str">
        <f ca="1">IF(AND(B306="",NOT(A306="")),VLOOKUP(A306,TaskPlan!A:L,2,FALSE),"")</f>
        <v>Neil</v>
      </c>
      <c r="K306" s="39" t="str">
        <f ca="1">IF(AND(B306="",NOT(A306="")),IF(NOT(LEFT(VLOOKUP(A306,TaskPlan!A:L,3,FALSE),1) = "0"),VLOOKUP(A306,TaskPlan!A:L,3,FALSE),""),"")</f>
        <v/>
      </c>
      <c r="L306" s="55" t="str">
        <f ca="1">IF(AND(B306="",NOT(A306="")),IF(NOT(LEFT(VLOOKUP(A306,TaskPlan!A:L,3,FALSE),1) = "0"),VLOOKUP(A306,TaskPlan!A:M,4,FALSE),""),"")</f>
        <v/>
      </c>
      <c r="M306" s="58" t="str">
        <f ca="1">IF(B306=".",1,IF(AND(B306="",NOT(A306="")),IF(VLOOKUP(A306,TaskPlan!A:L,5,FALSE)&gt;0,VLOOKUP(A306,TaskPlan!A:L,5,FALSE),""),""))</f>
        <v/>
      </c>
      <c r="N306" s="1" t="str">
        <f ca="1">IF(ISNA(VLOOKUP(A306,Projects!B:B,1,FALSE)),"","Yes")</f>
        <v/>
      </c>
    </row>
    <row r="307" spans="1:14" hidden="1" outlineLevel="1">
      <c r="A307" s="43" t="s">
        <v>518</v>
      </c>
      <c r="B307" s="7"/>
      <c r="C307" s="44" t="s">
        <v>538</v>
      </c>
      <c r="D307" s="7" t="s">
        <v>366</v>
      </c>
      <c r="E307" s="26">
        <v>40102</v>
      </c>
      <c r="H307" s="37">
        <f ca="1">IF(AND(B307="",NOT(A307="")),VLOOKUP(A307,TaskPlan!A:M,13,FALSE),"")</f>
        <v>40102</v>
      </c>
      <c r="I307" s="38" t="str">
        <f ca="1">IF(AND(B307="",NOT(A307="")),VLOOKUP(A307,TaskPlan!A:M,12,FALSE),"")</f>
        <v>Closed</v>
      </c>
      <c r="J307" s="39" t="str">
        <f ca="1">IF(AND(B307="",NOT(A307="")),VLOOKUP(A307,TaskPlan!A:L,2,FALSE),"")</f>
        <v>Neil</v>
      </c>
      <c r="K307" s="39" t="str">
        <f ca="1">IF(AND(B307="",NOT(A307="")),IF(NOT(LEFT(VLOOKUP(A307,TaskPlan!A:L,3,FALSE),1) = "0"),VLOOKUP(A307,TaskPlan!A:L,3,FALSE),""),"")</f>
        <v/>
      </c>
      <c r="L307" s="55" t="str">
        <f ca="1">IF(AND(B307="",NOT(A307="")),IF(NOT(LEFT(VLOOKUP(A307,TaskPlan!A:L,3,FALSE),1) = "0"),VLOOKUP(A307,TaskPlan!A:M,4,FALSE),""),"")</f>
        <v/>
      </c>
      <c r="M307" s="58" t="str">
        <f ca="1">IF(B307=".",1,IF(AND(B307="",NOT(A307="")),IF(VLOOKUP(A307,TaskPlan!A:L,5,FALSE)&gt;0,VLOOKUP(A307,TaskPlan!A:L,5,FALSE),""),""))</f>
        <v/>
      </c>
      <c r="N307" s="1" t="str">
        <f ca="1">IF(ISNA(VLOOKUP(A307,Projects!B:B,1,FALSE)),"","Yes")</f>
        <v/>
      </c>
    </row>
    <row r="308" spans="1:14" hidden="1" outlineLevel="1">
      <c r="A308" s="43" t="s">
        <v>520</v>
      </c>
      <c r="C308" s="44" t="s">
        <v>521</v>
      </c>
      <c r="D308" s="7" t="s">
        <v>20</v>
      </c>
      <c r="E308" s="26">
        <v>40093</v>
      </c>
      <c r="H308" s="37">
        <f ca="1">IF(AND(B308="",NOT(A308="")),VLOOKUP(A308,TaskPlan!A:M,13,FALSE),"")</f>
        <v>40120</v>
      </c>
      <c r="I308" s="38" t="str">
        <f ca="1">IF(AND(B308="",NOT(A308="")),VLOOKUP(A308,TaskPlan!A:M,12,FALSE),"")</f>
        <v>Closed</v>
      </c>
      <c r="J308" s="39" t="str">
        <f ca="1">IF(AND(B308="",NOT(A308="")),VLOOKUP(A308,TaskPlan!A:L,2,FALSE),"")</f>
        <v>Paresh</v>
      </c>
      <c r="K308" s="39" t="str">
        <f ca="1">IF(AND(B308="",NOT(A308="")),IF(NOT(LEFT(VLOOKUP(A308,TaskPlan!A:L,3,FALSE),1) = "0"),VLOOKUP(A308,TaskPlan!A:L,3,FALSE),""),"")</f>
        <v/>
      </c>
      <c r="L308" s="55" t="str">
        <f ca="1">IF(AND(B308="",NOT(A308="")),IF(NOT(LEFT(VLOOKUP(A308,TaskPlan!A:L,3,FALSE),1) = "0"),VLOOKUP(A308,TaskPlan!A:M,4,FALSE),""),"")</f>
        <v/>
      </c>
      <c r="M308" s="58" t="str">
        <f ca="1">IF(B308=".",1,IF(AND(B308="",NOT(A308="")),IF(VLOOKUP(A308,TaskPlan!A:L,5,FALSE)&gt;0,VLOOKUP(A308,TaskPlan!A:L,5,FALSE),""),""))</f>
        <v/>
      </c>
      <c r="N308" s="1" t="str">
        <f ca="1">IF(ISNA(VLOOKUP(A308,Projects!B:B,1,FALSE)),"","Yes")</f>
        <v/>
      </c>
    </row>
    <row r="309" spans="1:14" hidden="1" outlineLevel="1">
      <c r="A309" s="43" t="s">
        <v>522</v>
      </c>
      <c r="C309" s="44" t="s">
        <v>523</v>
      </c>
      <c r="D309" s="7" t="s">
        <v>20</v>
      </c>
      <c r="E309" s="26">
        <v>40093</v>
      </c>
      <c r="H309" s="37">
        <f ca="1">IF(AND(B309="",NOT(A309="")),VLOOKUP(A309,TaskPlan!A:M,13,FALSE),"")</f>
        <v>40120</v>
      </c>
      <c r="I309" s="38" t="str">
        <f ca="1">IF(AND(B309="",NOT(A309="")),VLOOKUP(A309,TaskPlan!A:M,12,FALSE),"")</f>
        <v>Closed</v>
      </c>
      <c r="J309" s="39" t="str">
        <f ca="1">IF(AND(B309="",NOT(A309="")),VLOOKUP(A309,TaskPlan!A:L,2,FALSE),"")</f>
        <v>Paresh</v>
      </c>
      <c r="K309" s="39" t="str">
        <f ca="1">IF(AND(B309="",NOT(A309="")),IF(NOT(LEFT(VLOOKUP(A309,TaskPlan!A:L,3,FALSE),1) = "0"),VLOOKUP(A309,TaskPlan!A:L,3,FALSE),""),"")</f>
        <v/>
      </c>
      <c r="L309" s="55" t="str">
        <f ca="1">IF(AND(B309="",NOT(A309="")),IF(NOT(LEFT(VLOOKUP(A309,TaskPlan!A:L,3,FALSE),1) = "0"),VLOOKUP(A309,TaskPlan!A:M,4,FALSE),""),"")</f>
        <v/>
      </c>
      <c r="M309" s="58" t="str">
        <f ca="1">IF(B309=".",1,IF(AND(B309="",NOT(A309="")),IF(VLOOKUP(A309,TaskPlan!A:L,5,FALSE)&gt;0,VLOOKUP(A309,TaskPlan!A:L,5,FALSE),""),""))</f>
        <v/>
      </c>
      <c r="N309" s="1" t="str">
        <f ca="1">IF(ISNA(VLOOKUP(A309,Projects!B:B,1,FALSE)),"","Yes")</f>
        <v/>
      </c>
    </row>
    <row r="310" spans="1:14" hidden="1" outlineLevel="1">
      <c r="A310" s="43" t="s">
        <v>539</v>
      </c>
      <c r="C310" s="44" t="s">
        <v>657</v>
      </c>
      <c r="D310" s="7" t="s">
        <v>11</v>
      </c>
      <c r="E310" s="26">
        <v>40123</v>
      </c>
      <c r="H310" s="37">
        <f ca="1">IF(AND(B310="",NOT(A310="")),VLOOKUP(A310,TaskPlan!A:M,13,FALSE),"")</f>
        <v>40123</v>
      </c>
      <c r="I310" s="38" t="str">
        <f ca="1">IF(AND(B310="",NOT(A310="")),VLOOKUP(A310,TaskPlan!A:M,12,FALSE),"")</f>
        <v>Closed</v>
      </c>
      <c r="J310" s="39" t="str">
        <f ca="1">IF(AND(B310="",NOT(A310="")),VLOOKUP(A310,TaskPlan!A:L,2,FALSE),"")</f>
        <v>Neil</v>
      </c>
      <c r="K310" s="39" t="str">
        <f ca="1">IF(AND(B310="",NOT(A310="")),IF(NOT(LEFT(VLOOKUP(A310,TaskPlan!A:L,3,FALSE),1) = "0"),VLOOKUP(A310,TaskPlan!A:L,3,FALSE),""),"")</f>
        <v/>
      </c>
      <c r="L310" s="55" t="str">
        <f ca="1">IF(AND(B310="",NOT(A310="")),IF(NOT(LEFT(VLOOKUP(A310,TaskPlan!A:L,3,FALSE),1) = "0"),VLOOKUP(A310,TaskPlan!A:M,4,FALSE),""),"")</f>
        <v/>
      </c>
      <c r="M310" s="58" t="str">
        <f ca="1">IF(B310=".",1,IF(AND(B310="",NOT(A310="")),IF(VLOOKUP(A310,TaskPlan!A:L,5,FALSE)&gt;0,VLOOKUP(A310,TaskPlan!A:L,5,FALSE),""),""))</f>
        <v/>
      </c>
      <c r="N310" s="1" t="str">
        <f ca="1">IF(ISNA(VLOOKUP(A310,Projects!B:B,1,FALSE)),"","Yes")</f>
        <v/>
      </c>
    </row>
    <row r="311" spans="1:14" hidden="1" outlineLevel="1">
      <c r="A311" s="43" t="s">
        <v>816</v>
      </c>
      <c r="C311" s="44" t="s">
        <v>817</v>
      </c>
      <c r="D311" s="7" t="s">
        <v>45</v>
      </c>
      <c r="E311" s="26">
        <v>40190</v>
      </c>
      <c r="F311" s="25">
        <v>3</v>
      </c>
      <c r="H311" s="37">
        <f ca="1">IF(AND(B311="",NOT(A311="")),VLOOKUP(A311,TaskPlan!A:M,13,FALSE),"")</f>
        <v>40205</v>
      </c>
      <c r="I311" s="38" t="str">
        <f ca="1">IF(AND(B311="",NOT(A311="")),VLOOKUP(A311,TaskPlan!A:M,12,FALSE),"")</f>
        <v>Closed</v>
      </c>
      <c r="J311" s="39" t="str">
        <f ca="1">IF(AND(B311="",NOT(A311="")),VLOOKUP(A311,TaskPlan!A:L,2,FALSE),"")</f>
        <v>Neil</v>
      </c>
      <c r="K311" s="39" t="str">
        <f ca="1">IF(AND(B311="",NOT(A311="")),IF(NOT(LEFT(VLOOKUP(A311,TaskPlan!A:L,3,FALSE),1) = "0"),VLOOKUP(A311,TaskPlan!A:L,3,FALSE),""),"")</f>
        <v/>
      </c>
      <c r="L311" s="55" t="str">
        <f ca="1">IF(AND(B311="",NOT(A311="")),IF(NOT(LEFT(VLOOKUP(A311,TaskPlan!A:L,3,FALSE),1) = "0"),VLOOKUP(A311,TaskPlan!A:M,4,FALSE),""),"")</f>
        <v/>
      </c>
      <c r="M311" s="58" t="str">
        <f ca="1">IF(B311=".",1,IF(AND(B311="",NOT(A311="")),IF(VLOOKUP(A311,TaskPlan!A:L,5,FALSE)&gt;0,VLOOKUP(A311,TaskPlan!A:L,5,FALSE),""),""))</f>
        <v/>
      </c>
      <c r="N311" s="1" t="str">
        <f ca="1">IF(ISNA(VLOOKUP(A311,Projects!B:B,1,FALSE)),"","Yes")</f>
        <v/>
      </c>
    </row>
    <row r="312" spans="1:14" hidden="1" outlineLevel="1">
      <c r="A312" s="43" t="s">
        <v>1404</v>
      </c>
      <c r="C312" s="44" t="s">
        <v>1405</v>
      </c>
      <c r="D312" s="7" t="s">
        <v>32</v>
      </c>
      <c r="E312" s="26">
        <v>40399</v>
      </c>
      <c r="F312" s="25">
        <v>3</v>
      </c>
      <c r="G312" s="25" t="s">
        <v>1099</v>
      </c>
      <c r="H312" s="37">
        <f ca="1">IF(AND(B312="",NOT(A312="")),VLOOKUP(A312,TaskPlan!A:M,13,FALSE),"")</f>
        <v>40410</v>
      </c>
      <c r="I312" s="38" t="str">
        <f ca="1">IF(AND(B312="",NOT(A312="")),VLOOKUP(A312,TaskPlan!A:M,12,FALSE),"")</f>
        <v>Closed</v>
      </c>
      <c r="J312" s="39" t="str">
        <f ca="1">IF(AND(B312="",NOT(A312="")),VLOOKUP(A312,TaskPlan!A:L,2,FALSE),"")</f>
        <v>Ruth</v>
      </c>
      <c r="K312" s="39" t="str">
        <f ca="1">IF(AND(B312="",NOT(A312="")),IF(NOT(LEFT(VLOOKUP(A312,TaskPlan!A:L,3,FALSE),1) = "0"),VLOOKUP(A312,TaskPlan!A:L,3,FALSE),""),"")</f>
        <v/>
      </c>
      <c r="L312" s="55" t="str">
        <f ca="1">IF(AND(B312="",NOT(A312="")),IF(NOT(LEFT(VLOOKUP(A312,TaskPlan!A:L,3,FALSE),1) = "0"),VLOOKUP(A312,TaskPlan!A:M,4,FALSE),""),"")</f>
        <v/>
      </c>
      <c r="M312" s="58" t="str">
        <f ca="1">IF(B312=".",1,IF(AND(B312="",NOT(A312="")),IF(VLOOKUP(A312,TaskPlan!A:L,5,FALSE)&gt;0,VLOOKUP(A312,TaskPlan!A:L,5,FALSE),""),""))</f>
        <v/>
      </c>
      <c r="N312" s="1" t="str">
        <f ca="1">IF(ISNA(VLOOKUP(A312,Projects!B:B,1,FALSE)),"","Yes")</f>
        <v/>
      </c>
    </row>
    <row r="313" spans="1:14" hidden="1" outlineLevel="1">
      <c r="A313" s="43" t="s">
        <v>1511</v>
      </c>
      <c r="C313" s="44" t="s">
        <v>1512</v>
      </c>
      <c r="D313" s="7" t="s">
        <v>32</v>
      </c>
      <c r="E313" s="26">
        <v>40434</v>
      </c>
      <c r="F313" s="25">
        <v>1</v>
      </c>
      <c r="G313" s="25" t="s">
        <v>1099</v>
      </c>
      <c r="H313" s="37">
        <f ca="1">IF(AND(B313="",NOT(A313="")),VLOOKUP(A313,TaskPlan!A:M,13,FALSE),"")</f>
        <v>40455</v>
      </c>
      <c r="I313" s="38" t="str">
        <f ca="1">IF(AND(B313="",NOT(A313="")),VLOOKUP(A313,TaskPlan!A:M,12,FALSE),"")</f>
        <v>Closed</v>
      </c>
      <c r="J313" s="39" t="str">
        <f ca="1">IF(AND(B313="",NOT(A313="")),VLOOKUP(A313,TaskPlan!A:L,2,FALSE),"")</f>
        <v>Pramendra</v>
      </c>
      <c r="K313" s="39" t="str">
        <f ca="1">IF(AND(B313="",NOT(A313="")),IF(NOT(LEFT(VLOOKUP(A313,TaskPlan!A:L,3,FALSE),1) = "0"),VLOOKUP(A313,TaskPlan!A:L,3,FALSE),""),"")</f>
        <v/>
      </c>
      <c r="L313" s="55" t="str">
        <f ca="1">IF(AND(B313="",NOT(A313="")),IF(NOT(LEFT(VLOOKUP(A313,TaskPlan!A:L,3,FALSE),1) = "0"),VLOOKUP(A313,TaskPlan!A:M,4,FALSE),""),"")</f>
        <v/>
      </c>
      <c r="M313" s="58" t="str">
        <f ca="1">IF(B313=".",1,IF(AND(B313="",NOT(A313="")),IF(VLOOKUP(A313,TaskPlan!A:L,5,FALSE)&gt;0,VLOOKUP(A313,TaskPlan!A:L,5,FALSE),""),""))</f>
        <v/>
      </c>
      <c r="N313" s="1" t="str">
        <f ca="1">IF(ISNA(VLOOKUP(A313,Projects!B:B,1,FALSE)),"","Yes")</f>
        <v/>
      </c>
    </row>
    <row r="314" spans="1:14" hidden="1" outlineLevel="1">
      <c r="A314" s="43" t="s">
        <v>1799</v>
      </c>
      <c r="C314" s="44" t="s">
        <v>1800</v>
      </c>
      <c r="D314" s="7" t="s">
        <v>366</v>
      </c>
      <c r="E314" s="26">
        <v>40547</v>
      </c>
      <c r="F314" s="25">
        <v>2</v>
      </c>
      <c r="G314" s="25" t="s">
        <v>1099</v>
      </c>
      <c r="H314" s="37">
        <f ca="1">IF(AND(B314="",NOT(A314="")),VLOOKUP(A314,TaskPlan!A:M,13,FALSE),"")</f>
        <v>40547</v>
      </c>
      <c r="I314" s="38" t="str">
        <f ca="1">IF(AND(B314="",NOT(A314="")),VLOOKUP(A314,TaskPlan!A:M,12,FALSE),"")</f>
        <v>Not Started</v>
      </c>
      <c r="J314" s="39" t="str">
        <f ca="1">IF(AND(B314="",NOT(A314="")),VLOOKUP(A314,TaskPlan!A:L,2,FALSE),"")</f>
        <v>Unassigned</v>
      </c>
      <c r="K314" s="39" t="str">
        <f ca="1">IF(AND(B314="",NOT(A314="")),IF(NOT(LEFT(VLOOKUP(A314,TaskPlan!A:L,3,FALSE),1) = "0"),VLOOKUP(A314,TaskPlan!A:L,3,FALSE),""),"")</f>
        <v>3-MED</v>
      </c>
      <c r="L314" s="55">
        <f ca="1">IF(AND(B314="",NOT(A314="")),IF(NOT(LEFT(VLOOKUP(A314,TaskPlan!A:L,3,FALSE),1) = "0"),VLOOKUP(A314,TaskPlan!A:M,4,FALSE),""),"")</f>
        <v>0</v>
      </c>
      <c r="M314" s="58" t="str">
        <f ca="1">IF(B314=".",1,IF(AND(B314="",NOT(A314="")),IF(VLOOKUP(A314,TaskPlan!A:L,5,FALSE)&gt;0,VLOOKUP(A314,TaskPlan!A:L,5,FALSE),""),""))</f>
        <v/>
      </c>
      <c r="N314" s="1" t="str">
        <f ca="1">IF(ISNA(VLOOKUP(A314,Projects!B:B,1,FALSE)),"","Yes")</f>
        <v/>
      </c>
    </row>
    <row r="315" spans="1:14" hidden="1" outlineLevel="1">
      <c r="A315" s="43" t="s">
        <v>1868</v>
      </c>
      <c r="C315" s="44" t="s">
        <v>1869</v>
      </c>
      <c r="D315" s="7" t="s">
        <v>366</v>
      </c>
      <c r="E315" s="26">
        <v>40563</v>
      </c>
      <c r="F315" s="25">
        <v>2</v>
      </c>
      <c r="G315" s="25" t="s">
        <v>1099</v>
      </c>
      <c r="H315" s="37">
        <f ca="1">IF(AND(B315="",NOT(A315="")),VLOOKUP(A315,TaskPlan!A:M,13,FALSE),"")</f>
        <v>40563</v>
      </c>
      <c r="I315" s="38" t="str">
        <f ca="1">IF(AND(B315="",NOT(A315="")),VLOOKUP(A315,TaskPlan!A:M,12,FALSE),"")</f>
        <v>Not Started</v>
      </c>
      <c r="J315" s="39" t="str">
        <f ca="1">IF(AND(B315="",NOT(A315="")),VLOOKUP(A315,TaskPlan!A:L,2,FALSE),"")</f>
        <v>Unassigned</v>
      </c>
      <c r="K315" s="39" t="str">
        <f ca="1">IF(AND(B315="",NOT(A315="")),IF(NOT(LEFT(VLOOKUP(A315,TaskPlan!A:L,3,FALSE),1) = "0"),VLOOKUP(A315,TaskPlan!A:L,3,FALSE),""),"")</f>
        <v>4-HIGH</v>
      </c>
      <c r="L315" s="55">
        <f ca="1">IF(AND(B315="",NOT(A315="")),IF(NOT(LEFT(VLOOKUP(A315,TaskPlan!A:L,3,FALSE),1) = "0"),VLOOKUP(A315,TaskPlan!A:M,4,FALSE),""),"")</f>
        <v>0</v>
      </c>
      <c r="M315" s="58" t="str">
        <f ca="1">IF(B315=".",1,IF(AND(B315="",NOT(A315="")),IF(VLOOKUP(A315,TaskPlan!A:L,5,FALSE)&gt;0,VLOOKUP(A315,TaskPlan!A:L,5,FALSE),""),""))</f>
        <v/>
      </c>
      <c r="N315" s="1" t="str">
        <f ca="1">IF(ISNA(VLOOKUP(A315,Projects!B:B,1,FALSE)),"","Yes")</f>
        <v/>
      </c>
    </row>
    <row r="316" spans="1:14" hidden="1" outlineLevel="1">
      <c r="A316" s="43" t="s">
        <v>860</v>
      </c>
      <c r="B316" s="1" t="s">
        <v>15</v>
      </c>
      <c r="C316" s="45" t="s">
        <v>861</v>
      </c>
      <c r="D316" s="7"/>
      <c r="E316" s="26"/>
      <c r="H316" s="37" t="str">
        <f ca="1">IF(AND(B316="",NOT(A316="")),VLOOKUP(A316,TaskPlan!A:M,13,FALSE),"")</f>
        <v/>
      </c>
      <c r="I316" s="38" t="str">
        <f ca="1">IF(AND(B316="",NOT(A316="")),VLOOKUP(A316,TaskPlan!A:M,12,FALSE),"")</f>
        <v/>
      </c>
      <c r="L316" s="55" t="str">
        <f ca="1">IF(AND(B316="",NOT(A316="")),IF(NOT(LEFT(VLOOKUP(A316,TaskPlan!A:L,3,FALSE),1) = "0"),VLOOKUP(A316,TaskPlan!A:M,4,FALSE),""),"")</f>
        <v/>
      </c>
      <c r="N316" s="1" t="str">
        <f ca="1">IF(ISNA(VLOOKUP(A316,Projects!B:B,1,FALSE)),"","Yes")</f>
        <v/>
      </c>
    </row>
    <row r="317" spans="1:14" hidden="1" outlineLevel="1">
      <c r="A317" s="43" t="s">
        <v>864</v>
      </c>
      <c r="C317" s="44" t="s">
        <v>862</v>
      </c>
      <c r="D317" s="7" t="s">
        <v>366</v>
      </c>
      <c r="E317" s="26">
        <v>40200</v>
      </c>
      <c r="F317" s="25">
        <v>3</v>
      </c>
      <c r="G317" s="28" t="s">
        <v>1099</v>
      </c>
      <c r="H317" s="37">
        <f ca="1">IF(AND(B317="",NOT(A317="")),VLOOKUP(A317,TaskPlan!A:M,13,FALSE),"")</f>
        <v>40283</v>
      </c>
      <c r="I317" s="38" t="str">
        <f ca="1">IF(AND(B317="",NOT(A317="")),VLOOKUP(A317,TaskPlan!A:M,12,FALSE),"")</f>
        <v>Not started</v>
      </c>
      <c r="J317" s="39" t="str">
        <f ca="1">IF(AND(B317="",NOT(A317="")),VLOOKUP(A317,TaskPlan!A:L,2,FALSE),"")</f>
        <v>Unassigned</v>
      </c>
      <c r="K317" s="39" t="str">
        <f ca="1">IF(AND(B317="",NOT(A317="")),IF(NOT(LEFT(VLOOKUP(A317,TaskPlan!A:L,3,FALSE),1) = "0"),VLOOKUP(A317,TaskPlan!A:L,3,FALSE),""),"")</f>
        <v>2-LOW</v>
      </c>
      <c r="L317" s="55">
        <f ca="1">IF(AND(B317="",NOT(A317="")),IF(NOT(LEFT(VLOOKUP(A317,TaskPlan!A:L,3,FALSE),1) = "0"),VLOOKUP(A317,TaskPlan!A:M,4,FALSE),""),"")</f>
        <v>0</v>
      </c>
      <c r="M317" s="58" t="str">
        <f ca="1">IF(B317=".",1,IF(AND(B317="",NOT(A317="")),IF(VLOOKUP(A317,TaskPlan!A:L,5,FALSE)&gt;0,VLOOKUP(A317,TaskPlan!A:L,5,FALSE),""),""))</f>
        <v/>
      </c>
      <c r="N317" s="1" t="str">
        <f ca="1">IF(ISNA(VLOOKUP(A317,Projects!B:B,1,FALSE)),"","Yes")</f>
        <v/>
      </c>
    </row>
    <row r="318" spans="1:14" hidden="1" outlineLevel="1">
      <c r="A318" s="43" t="s">
        <v>865</v>
      </c>
      <c r="C318" s="44" t="s">
        <v>863</v>
      </c>
      <c r="D318" s="7" t="s">
        <v>366</v>
      </c>
      <c r="E318" s="26">
        <v>40200</v>
      </c>
      <c r="F318" s="25">
        <v>4</v>
      </c>
      <c r="G318" s="28" t="s">
        <v>1099</v>
      </c>
      <c r="H318" s="37">
        <f ca="1">IF(AND(B318="",NOT(A318="")),VLOOKUP(A318,TaskPlan!A:M,13,FALSE),"")</f>
        <v>40283</v>
      </c>
      <c r="I318" s="38" t="str">
        <f ca="1">IF(AND(B318="",NOT(A318="")),VLOOKUP(A318,TaskPlan!A:M,12,FALSE),"")</f>
        <v>Not started</v>
      </c>
      <c r="J318" s="39" t="str">
        <f ca="1">IF(AND(B318="",NOT(A318="")),VLOOKUP(A318,TaskPlan!A:L,2,FALSE),"")</f>
        <v>Unassigned</v>
      </c>
      <c r="K318" s="39" t="str">
        <f ca="1">IF(AND(B318="",NOT(A318="")),IF(NOT(LEFT(VLOOKUP(A318,TaskPlan!A:L,3,FALSE),1) = "0"),VLOOKUP(A318,TaskPlan!A:L,3,FALSE),""),"")</f>
        <v>2-LOW</v>
      </c>
      <c r="L318" s="55">
        <f ca="1">IF(AND(B318="",NOT(A318="")),IF(NOT(LEFT(VLOOKUP(A318,TaskPlan!A:L,3,FALSE),1) = "0"),VLOOKUP(A318,TaskPlan!A:M,4,FALSE),""),"")</f>
        <v>0</v>
      </c>
      <c r="M318" s="58" t="str">
        <f ca="1">IF(B318=".",1,IF(AND(B318="",NOT(A318="")),IF(VLOOKUP(A318,TaskPlan!A:L,5,FALSE)&gt;0,VLOOKUP(A318,TaskPlan!A:L,5,FALSE),""),""))</f>
        <v/>
      </c>
      <c r="N318" s="1" t="str">
        <f ca="1">IF(ISNA(VLOOKUP(A318,Projects!B:B,1,FALSE)),"","Yes")</f>
        <v/>
      </c>
    </row>
    <row r="319" spans="1:14" hidden="1" outlineLevel="1">
      <c r="A319" s="43" t="s">
        <v>881</v>
      </c>
      <c r="B319" s="1" t="s">
        <v>15</v>
      </c>
      <c r="C319" s="45" t="s">
        <v>882</v>
      </c>
      <c r="D319" s="7"/>
      <c r="E319" s="26"/>
      <c r="H319" s="37" t="str">
        <f ca="1">IF(AND(B319="",NOT(A319="")),VLOOKUP(A319,TaskPlan!A:M,13,FALSE),"")</f>
        <v/>
      </c>
      <c r="I319" s="38" t="str">
        <f ca="1">IF(AND(B319="",NOT(A319="")),VLOOKUP(A319,TaskPlan!A:M,12,FALSE),"")</f>
        <v/>
      </c>
      <c r="L319" s="55" t="str">
        <f ca="1">IF(AND(B319="",NOT(A319="")),IF(NOT(LEFT(VLOOKUP(A319,TaskPlan!A:L,3,FALSE),1) = "0"),VLOOKUP(A319,TaskPlan!A:M,4,FALSE),""),"")</f>
        <v/>
      </c>
      <c r="N319" s="1" t="str">
        <f ca="1">IF(ISNA(VLOOKUP(A319,Projects!B:B,1,FALSE)),"","Yes")</f>
        <v/>
      </c>
    </row>
    <row r="320" spans="1:14" hidden="1" outlineLevel="1">
      <c r="A320" s="43" t="s">
        <v>883</v>
      </c>
      <c r="C320" s="44" t="s">
        <v>884</v>
      </c>
      <c r="D320" s="7" t="s">
        <v>366</v>
      </c>
      <c r="E320" s="26">
        <v>40214</v>
      </c>
      <c r="F320" s="25">
        <v>0.5</v>
      </c>
      <c r="G320" s="25" t="s">
        <v>1098</v>
      </c>
      <c r="H320" s="37">
        <f ca="1">IF(AND(B320="",NOT(A320="")),VLOOKUP(A320,TaskPlan!A:M,13,FALSE),"")</f>
        <v>40283</v>
      </c>
      <c r="I320" s="38" t="str">
        <f ca="1">IF(AND(B320="",NOT(A320="")),VLOOKUP(A320,TaskPlan!A:M,12,FALSE),"")</f>
        <v>Not Started</v>
      </c>
      <c r="J320" s="39" t="str">
        <f ca="1">IF(AND(B320="",NOT(A320="")),VLOOKUP(A320,TaskPlan!A:L,2,FALSE),"")</f>
        <v>Unassigned</v>
      </c>
      <c r="K320" s="39" t="str">
        <f ca="1">IF(AND(B320="",NOT(A320="")),IF(NOT(LEFT(VLOOKUP(A320,TaskPlan!A:L,3,FALSE),1) = "0"),VLOOKUP(A320,TaskPlan!A:L,3,FALSE),""),"")</f>
        <v>2-LOW</v>
      </c>
      <c r="L320" s="55">
        <f ca="1">IF(AND(B320="",NOT(A320="")),IF(NOT(LEFT(VLOOKUP(A320,TaskPlan!A:L,3,FALSE),1) = "0"),VLOOKUP(A320,TaskPlan!A:M,4,FALSE),""),"")</f>
        <v>0</v>
      </c>
      <c r="M320" s="58" t="str">
        <f ca="1">IF(B320=".",1,IF(AND(B320="",NOT(A320="")),IF(VLOOKUP(A320,TaskPlan!A:L,5,FALSE)&gt;0,VLOOKUP(A320,TaskPlan!A:L,5,FALSE),""),""))</f>
        <v/>
      </c>
      <c r="N320" s="1" t="str">
        <f ca="1">IF(ISNA(VLOOKUP(A320,Projects!B:B,1,FALSE)),"","Yes")</f>
        <v/>
      </c>
    </row>
    <row r="321" spans="1:14" hidden="1" outlineLevel="1">
      <c r="A321" s="43" t="s">
        <v>1402</v>
      </c>
      <c r="C321" s="44" t="s">
        <v>1403</v>
      </c>
      <c r="D321" s="7" t="s">
        <v>366</v>
      </c>
      <c r="E321" s="26">
        <v>40394</v>
      </c>
      <c r="F321" s="25">
        <v>1</v>
      </c>
      <c r="G321" s="25" t="s">
        <v>1213</v>
      </c>
      <c r="H321" s="37">
        <f ca="1">IF(AND(B321="",NOT(A321="")),VLOOKUP(A321,TaskPlan!A:M,13,FALSE),"")</f>
        <v>40414</v>
      </c>
      <c r="I321" s="38" t="str">
        <f ca="1">IF(AND(B321="",NOT(A321="")),VLOOKUP(A321,TaskPlan!A:M,12,FALSE),"")</f>
        <v>Closed</v>
      </c>
      <c r="J321" s="39" t="str">
        <f ca="1">IF(AND(B321="",NOT(A321="")),VLOOKUP(A321,TaskPlan!A:L,2,FALSE),"")</f>
        <v>Paresh</v>
      </c>
      <c r="K321" s="39" t="str">
        <f ca="1">IF(AND(B321="",NOT(A321="")),IF(NOT(LEFT(VLOOKUP(A321,TaskPlan!A:L,3,FALSE),1) = "0"),VLOOKUP(A321,TaskPlan!A:L,3,FALSE),""),"")</f>
        <v/>
      </c>
      <c r="L321" s="55" t="str">
        <f ca="1">IF(AND(B321="",NOT(A321="")),IF(NOT(LEFT(VLOOKUP(A321,TaskPlan!A:L,3,FALSE),1) = "0"),VLOOKUP(A321,TaskPlan!A:M,4,FALSE),""),"")</f>
        <v/>
      </c>
      <c r="M321" s="58" t="str">
        <f ca="1">IF(B321=".",1,IF(AND(B321="",NOT(A321="")),IF(VLOOKUP(A321,TaskPlan!A:L,5,FALSE)&gt;0,VLOOKUP(A321,TaskPlan!A:L,5,FALSE),""),""))</f>
        <v/>
      </c>
      <c r="N321" s="1" t="str">
        <f ca="1">IF(ISNA(VLOOKUP(A321,Projects!B:B,1,FALSE)),"","Yes")</f>
        <v/>
      </c>
    </row>
    <row r="322" spans="1:14" hidden="1" outlineLevel="1">
      <c r="A322" s="43" t="s">
        <v>1044</v>
      </c>
      <c r="B322" s="1" t="s">
        <v>15</v>
      </c>
      <c r="C322" s="45" t="s">
        <v>1045</v>
      </c>
      <c r="D322" s="7"/>
      <c r="E322" s="26"/>
      <c r="H322" s="37" t="str">
        <f ca="1">IF(AND(B322="",NOT(A322="")),VLOOKUP(A322,TaskPlan!A:M,13,FALSE),"")</f>
        <v/>
      </c>
      <c r="I322" s="38" t="str">
        <f ca="1">IF(AND(B322="",NOT(A322="")),VLOOKUP(A322,TaskPlan!A:M,12,FALSE),"")</f>
        <v/>
      </c>
      <c r="L322" s="55" t="str">
        <f ca="1">IF(AND(B322="",NOT(A322="")),IF(NOT(LEFT(VLOOKUP(A322,TaskPlan!A:L,3,FALSE),1) = "0"),VLOOKUP(A322,TaskPlan!A:M,4,FALSE),""),"")</f>
        <v/>
      </c>
      <c r="N322" s="1" t="str">
        <f ca="1">IF(ISNA(VLOOKUP(A322,Projects!B:B,1,FALSE)),"","Yes")</f>
        <v/>
      </c>
    </row>
    <row r="323" spans="1:14" hidden="1" outlineLevel="1">
      <c r="A323" s="43" t="s">
        <v>1046</v>
      </c>
      <c r="C323" s="44" t="s">
        <v>1387</v>
      </c>
      <c r="D323" s="7" t="s">
        <v>11</v>
      </c>
      <c r="E323" s="26">
        <v>40388</v>
      </c>
      <c r="F323" s="25">
        <v>0.5</v>
      </c>
      <c r="G323" s="25" t="s">
        <v>1098</v>
      </c>
      <c r="H323" s="37">
        <f ca="1">IF(AND(B323="",NOT(A323="")),VLOOKUP(A323,TaskPlan!A:M,13,FALSE),"")</f>
        <v>40373</v>
      </c>
      <c r="I323" s="38" t="str">
        <f ca="1">IF(AND(B323="",NOT(A323="")),VLOOKUP(A323,TaskPlan!A:M,12,FALSE),"")</f>
        <v>Closed</v>
      </c>
      <c r="J323" s="39" t="str">
        <f ca="1">IF(AND(B323="",NOT(A323="")),VLOOKUP(A323,TaskPlan!A:L,2,FALSE),"")</f>
        <v>Pramendra</v>
      </c>
      <c r="K323" s="39" t="str">
        <f ca="1">IF(AND(B323="",NOT(A323="")),IF(NOT(LEFT(VLOOKUP(A323,TaskPlan!A:L,3,FALSE),1) = "0"),VLOOKUP(A323,TaskPlan!A:L,3,FALSE),""),"")</f>
        <v/>
      </c>
      <c r="L323" s="55" t="str">
        <f ca="1">IF(AND(B323="",NOT(A323="")),IF(NOT(LEFT(VLOOKUP(A323,TaskPlan!A:L,3,FALSE),1) = "0"),VLOOKUP(A323,TaskPlan!A:M,4,FALSE),""),"")</f>
        <v/>
      </c>
      <c r="M323" s="58" t="str">
        <f ca="1">IF(B323=".",1,IF(AND(B323="",NOT(A323="")),IF(VLOOKUP(A323,TaskPlan!A:L,5,FALSE)&gt;0,VLOOKUP(A323,TaskPlan!A:L,5,FALSE),""),""))</f>
        <v/>
      </c>
      <c r="N323" s="1" t="str">
        <f ca="1">IF(ISNA(VLOOKUP(A323,Projects!B:B,1,FALSE)),"","Yes")</f>
        <v>Yes</v>
      </c>
    </row>
    <row r="324" spans="1:14" hidden="1" outlineLevel="1">
      <c r="A324" s="43" t="s">
        <v>1047</v>
      </c>
      <c r="C324" s="44" t="s">
        <v>1390</v>
      </c>
      <c r="D324" s="7" t="s">
        <v>32</v>
      </c>
      <c r="E324" s="26">
        <v>40388</v>
      </c>
      <c r="F324" s="25">
        <v>2</v>
      </c>
      <c r="G324" s="25" t="s">
        <v>1098</v>
      </c>
      <c r="H324" s="37">
        <f ca="1">IF(AND(B324="",NOT(A324="")),VLOOKUP(A324,TaskPlan!A:M,13,FALSE),"")</f>
        <v>40429</v>
      </c>
      <c r="I324" s="38" t="str">
        <f ca="1">IF(AND(B324="",NOT(A324="")),VLOOKUP(A324,TaskPlan!A:M,12,FALSE),"")</f>
        <v>Closed</v>
      </c>
      <c r="J324" s="39" t="str">
        <f ca="1">IF(AND(B324="",NOT(A324="")),VLOOKUP(A324,TaskPlan!A:L,2,FALSE),"")</f>
        <v>Pramendra</v>
      </c>
      <c r="K324" s="39" t="str">
        <f ca="1">IF(AND(B324="",NOT(A324="")),IF(NOT(LEFT(VLOOKUP(A324,TaskPlan!A:L,3,FALSE),1) = "0"),VLOOKUP(A324,TaskPlan!A:L,3,FALSE),""),"")</f>
        <v/>
      </c>
      <c r="L324" s="55" t="str">
        <f ca="1">IF(AND(B324="",NOT(A324="")),IF(NOT(LEFT(VLOOKUP(A324,TaskPlan!A:L,3,FALSE),1) = "0"),VLOOKUP(A324,TaskPlan!A:M,4,FALSE),""),"")</f>
        <v/>
      </c>
      <c r="M324" s="58" t="str">
        <f ca="1">IF(B324=".",1,IF(AND(B324="",NOT(A324="")),IF(VLOOKUP(A324,TaskPlan!A:L,5,FALSE)&gt;0,VLOOKUP(A324,TaskPlan!A:L,5,FALSE),""),""))</f>
        <v/>
      </c>
      <c r="N324" s="1" t="str">
        <f ca="1">IF(ISNA(VLOOKUP(A324,Projects!B:B,1,FALSE)),"","Yes")</f>
        <v>Yes</v>
      </c>
    </row>
    <row r="325" spans="1:14" hidden="1" outlineLevel="1">
      <c r="A325" s="43" t="s">
        <v>1048</v>
      </c>
      <c r="C325" s="44" t="s">
        <v>1388</v>
      </c>
      <c r="D325" s="7" t="s">
        <v>32</v>
      </c>
      <c r="E325" s="26">
        <v>40388</v>
      </c>
      <c r="F325" s="25">
        <v>3</v>
      </c>
      <c r="G325" s="28" t="s">
        <v>1099</v>
      </c>
      <c r="H325" s="37">
        <f ca="1">IF(AND(B325="",NOT(A325="")),VLOOKUP(A325,TaskPlan!A:M,13,FALSE),"")</f>
        <v>40455</v>
      </c>
      <c r="I325" s="38" t="str">
        <f ca="1">IF(AND(B325="",NOT(A325="")),VLOOKUP(A325,TaskPlan!A:M,12,FALSE),"")</f>
        <v>Closed</v>
      </c>
      <c r="J325" s="39" t="str">
        <f ca="1">IF(AND(B325="",NOT(A325="")),VLOOKUP(A325,TaskPlan!A:L,2,FALSE),"")</f>
        <v>Pramendra</v>
      </c>
      <c r="K325" s="39" t="str">
        <f ca="1">IF(AND(B325="",NOT(A325="")),IF(NOT(LEFT(VLOOKUP(A325,TaskPlan!A:L,3,FALSE),1) = "0"),VLOOKUP(A325,TaskPlan!A:L,3,FALSE),""),"")</f>
        <v/>
      </c>
      <c r="L325" s="55" t="str">
        <f ca="1">IF(AND(B325="",NOT(A325="")),IF(NOT(LEFT(VLOOKUP(A325,TaskPlan!A:L,3,FALSE),1) = "0"),VLOOKUP(A325,TaskPlan!A:M,4,FALSE),""),"")</f>
        <v/>
      </c>
      <c r="M325" s="58" t="str">
        <f ca="1">IF(B325=".",1,IF(AND(B325="",NOT(A325="")),IF(VLOOKUP(A325,TaskPlan!A:L,5,FALSE)&gt;0,VLOOKUP(A325,TaskPlan!A:L,5,FALSE),""),""))</f>
        <v/>
      </c>
      <c r="N325" s="1" t="str">
        <f ca="1">IF(ISNA(VLOOKUP(A325,Projects!B:B,1,FALSE)),"","Yes")</f>
        <v>Yes</v>
      </c>
    </row>
    <row r="326" spans="1:14" ht="25.5" hidden="1" outlineLevel="1">
      <c r="A326" s="43" t="s">
        <v>1049</v>
      </c>
      <c r="C326" s="44" t="s">
        <v>1391</v>
      </c>
      <c r="D326" s="7" t="s">
        <v>32</v>
      </c>
      <c r="E326" s="26">
        <v>40388</v>
      </c>
      <c r="F326" s="25">
        <v>10</v>
      </c>
      <c r="G326" s="25" t="s">
        <v>1098</v>
      </c>
      <c r="H326" s="37">
        <f ca="1">IF(AND(B326="",NOT(A326="")),VLOOKUP(A326,TaskPlan!A:M,13,FALSE),"")</f>
        <v>40568</v>
      </c>
      <c r="I326" s="38" t="str">
        <f ca="1">IF(AND(B326="",NOT(A326="")),VLOOKUP(A326,TaskPlan!A:M,12,FALSE),"")</f>
        <v>In Progress</v>
      </c>
      <c r="J326" s="39" t="str">
        <f ca="1">IF(AND(B326="",NOT(A326="")),VLOOKUP(A326,TaskPlan!A:L,2,FALSE),"")</f>
        <v>Pramendra</v>
      </c>
      <c r="K326" s="39" t="str">
        <f ca="1">IF(AND(B326="",NOT(A326="")),IF(NOT(LEFT(VLOOKUP(A326,TaskPlan!A:L,3,FALSE),1) = "0"),VLOOKUP(A326,TaskPlan!A:L,3,FALSE),""),"")</f>
        <v>3-MED</v>
      </c>
      <c r="L326" s="55">
        <f ca="1">IF(AND(B326="",NOT(A326="")),IF(NOT(LEFT(VLOOKUP(A326,TaskPlan!A:L,3,FALSE),1) = "0"),VLOOKUP(A326,TaskPlan!A:M,4,FALSE),""),"")</f>
        <v>0</v>
      </c>
      <c r="M326" s="58" t="str">
        <f ca="1">IF(B326=".",1,IF(AND(B326="",NOT(A326="")),IF(VLOOKUP(A326,TaskPlan!A:L,5,FALSE)&gt;0,VLOOKUP(A326,TaskPlan!A:L,5,FALSE),""),""))</f>
        <v/>
      </c>
      <c r="N326" s="1" t="str">
        <f ca="1">IF(ISNA(VLOOKUP(A326,Projects!B:B,1,FALSE)),"","Yes")</f>
        <v>Yes</v>
      </c>
    </row>
    <row r="327" spans="1:14" ht="25.5" hidden="1" outlineLevel="1">
      <c r="A327" s="43" t="s">
        <v>1384</v>
      </c>
      <c r="C327" s="44" t="s">
        <v>1392</v>
      </c>
      <c r="D327" s="7" t="s">
        <v>11</v>
      </c>
      <c r="E327" s="26">
        <v>40388</v>
      </c>
      <c r="F327" s="25">
        <v>3</v>
      </c>
      <c r="G327" s="28" t="s">
        <v>1099</v>
      </c>
      <c r="H327" s="37">
        <f ca="1">IF(AND(B327="",NOT(A327="")),VLOOKUP(A327,TaskPlan!A:M,13,FALSE),"")</f>
        <v>40556</v>
      </c>
      <c r="I327" s="38" t="str">
        <f ca="1">IF(AND(B327="",NOT(A327="")),VLOOKUP(A327,TaskPlan!A:M,12,FALSE),"")</f>
        <v>Not Started</v>
      </c>
      <c r="J327" s="39" t="str">
        <f ca="1">IF(AND(B327="",NOT(A327="")),VLOOKUP(A327,TaskPlan!A:L,2,FALSE),"")</f>
        <v>Unassigned</v>
      </c>
      <c r="K327" s="39" t="str">
        <f ca="1">IF(AND(B327="",NOT(A327="")),IF(NOT(LEFT(VLOOKUP(A327,TaskPlan!A:L,3,FALSE),1) = "0"),VLOOKUP(A327,TaskPlan!A:L,3,FALSE),""),"")</f>
        <v>1-LOW</v>
      </c>
      <c r="L327" s="55">
        <f ca="1">IF(AND(B327="",NOT(A327="")),IF(NOT(LEFT(VLOOKUP(A327,TaskPlan!A:L,3,FALSE),1) = "0"),VLOOKUP(A327,TaskPlan!A:M,4,FALSE),""),"")</f>
        <v>0</v>
      </c>
      <c r="M327" s="58" t="str">
        <f ca="1">IF(B327=".",1,IF(AND(B327="",NOT(A327="")),IF(VLOOKUP(A327,TaskPlan!A:L,5,FALSE)&gt;0,VLOOKUP(A327,TaskPlan!A:L,5,FALSE),""),""))</f>
        <v/>
      </c>
      <c r="N327" s="1" t="str">
        <f ca="1">IF(ISNA(VLOOKUP(A327,Projects!B:B,1,FALSE)),"","Yes")</f>
        <v>Yes</v>
      </c>
    </row>
    <row r="328" spans="1:14" hidden="1" outlineLevel="1">
      <c r="A328" s="43" t="s">
        <v>1385</v>
      </c>
      <c r="C328" s="44" t="s">
        <v>1393</v>
      </c>
      <c r="D328" s="7" t="s">
        <v>11</v>
      </c>
      <c r="E328" s="26">
        <v>40388</v>
      </c>
      <c r="F328" s="25">
        <v>3</v>
      </c>
      <c r="G328" s="28" t="s">
        <v>1099</v>
      </c>
      <c r="H328" s="37">
        <f ca="1">IF(AND(B328="",NOT(A328="")),VLOOKUP(A328,TaskPlan!A:M,13,FALSE),"")</f>
        <v>40483</v>
      </c>
      <c r="I328" s="38" t="str">
        <f ca="1">IF(AND(B328="",NOT(A328="")),VLOOKUP(A328,TaskPlan!A:M,12,FALSE),"")</f>
        <v>Closed</v>
      </c>
      <c r="J328" s="39" t="str">
        <f ca="1">IF(AND(B328="",NOT(A328="")),VLOOKUP(A328,TaskPlan!A:L,2,FALSE),"")</f>
        <v>All</v>
      </c>
      <c r="K328" s="39" t="str">
        <f ca="1">IF(AND(B328="",NOT(A328="")),IF(NOT(LEFT(VLOOKUP(A328,TaskPlan!A:L,3,FALSE),1) = "0"),VLOOKUP(A328,TaskPlan!A:L,3,FALSE),""),"")</f>
        <v/>
      </c>
      <c r="L328" s="55" t="str">
        <f ca="1">IF(AND(B328="",NOT(A328="")),IF(NOT(LEFT(VLOOKUP(A328,TaskPlan!A:L,3,FALSE),1) = "0"),VLOOKUP(A328,TaskPlan!A:M,4,FALSE),""),"")</f>
        <v/>
      </c>
      <c r="M328" s="58" t="str">
        <f ca="1">IF(B328=".",1,IF(AND(B328="",NOT(A328="")),IF(VLOOKUP(A328,TaskPlan!A:L,5,FALSE)&gt;0,VLOOKUP(A328,TaskPlan!A:L,5,FALSE),""),""))</f>
        <v/>
      </c>
      <c r="N328" s="1" t="str">
        <f ca="1">IF(ISNA(VLOOKUP(A328,Projects!B:B,1,FALSE)),"","Yes")</f>
        <v>Yes</v>
      </c>
    </row>
    <row r="329" spans="1:14" hidden="1" outlineLevel="1">
      <c r="A329" s="43" t="s">
        <v>1386</v>
      </c>
      <c r="C329" s="44" t="s">
        <v>1389</v>
      </c>
      <c r="D329" s="7" t="s">
        <v>32</v>
      </c>
      <c r="E329" s="26">
        <v>40429</v>
      </c>
      <c r="F329" s="25">
        <v>12</v>
      </c>
      <c r="G329" s="28" t="s">
        <v>1099</v>
      </c>
      <c r="H329" s="37">
        <f ca="1">IF(AND(B329="",NOT(A329="")),VLOOKUP(A329,TaskPlan!A:M,13,FALSE),"")</f>
        <v>40483</v>
      </c>
      <c r="I329" s="38" t="str">
        <f ca="1">IF(AND(B329="",NOT(A329="")),VLOOKUP(A329,TaskPlan!A:M,12,FALSE),"")</f>
        <v>In Progress</v>
      </c>
      <c r="J329" s="39" t="str">
        <f ca="1">IF(AND(B329="",NOT(A329="")),VLOOKUP(A329,TaskPlan!A:L,2,FALSE),"")</f>
        <v>Pramendra</v>
      </c>
      <c r="K329" s="39" t="str">
        <f ca="1">IF(AND(B329="",NOT(A329="")),IF(NOT(LEFT(VLOOKUP(A329,TaskPlan!A:L,3,FALSE),1) = "0"),VLOOKUP(A329,TaskPlan!A:L,3,FALSE),""),"")</f>
        <v>3-MED</v>
      </c>
      <c r="L329" s="55">
        <f ca="1">IF(AND(B329="",NOT(A329="")),IF(NOT(LEFT(VLOOKUP(A329,TaskPlan!A:L,3,FALSE),1) = "0"),VLOOKUP(A329,TaskPlan!A:M,4,FALSE),""),"")</f>
        <v>0</v>
      </c>
      <c r="M329" s="58" t="str">
        <f ca="1">IF(B329=".",1,IF(AND(B329="",NOT(A329="")),IF(VLOOKUP(A329,TaskPlan!A:L,5,FALSE)&gt;0,VLOOKUP(A329,TaskPlan!A:L,5,FALSE),""),""))</f>
        <v/>
      </c>
      <c r="N329" s="1" t="str">
        <f ca="1">IF(ISNA(VLOOKUP(A329,Projects!B:B,1,FALSE)),"","Yes")</f>
        <v>Yes</v>
      </c>
    </row>
    <row r="330" spans="1:14" hidden="1" outlineLevel="1">
      <c r="A330" s="43" t="s">
        <v>1501</v>
      </c>
      <c r="C330" s="44" t="s">
        <v>1506</v>
      </c>
      <c r="D330" s="7" t="s">
        <v>32</v>
      </c>
      <c r="E330" s="26">
        <v>40429</v>
      </c>
      <c r="F330" s="25">
        <v>3</v>
      </c>
      <c r="G330" s="28" t="s">
        <v>1213</v>
      </c>
      <c r="H330" s="37">
        <f ca="1">IF(AND(B330="",NOT(A330="")),VLOOKUP(A330,TaskPlan!A:M,13,FALSE),"")</f>
        <v>40483</v>
      </c>
      <c r="I330" s="38" t="str">
        <f ca="1">IF(AND(B330="",NOT(A330="")),VLOOKUP(A330,TaskPlan!A:M,12,FALSE),"")</f>
        <v>Closed</v>
      </c>
      <c r="J330" s="39" t="str">
        <f ca="1">IF(AND(B330="",NOT(A330="")),VLOOKUP(A330,TaskPlan!A:L,2,FALSE),"")</f>
        <v>Neil</v>
      </c>
      <c r="K330" s="39" t="str">
        <f ca="1">IF(AND(B330="",NOT(A330="")),IF(NOT(LEFT(VLOOKUP(A330,TaskPlan!A:L,3,FALSE),1) = "0"),VLOOKUP(A330,TaskPlan!A:L,3,FALSE),""),"")</f>
        <v/>
      </c>
      <c r="L330" s="55" t="str">
        <f ca="1">IF(AND(B330="",NOT(A330="")),IF(NOT(LEFT(VLOOKUP(A330,TaskPlan!A:L,3,FALSE),1) = "0"),VLOOKUP(A330,TaskPlan!A:M,4,FALSE),""),"")</f>
        <v/>
      </c>
      <c r="M330" s="58" t="str">
        <f ca="1">IF(B330=".",1,IF(AND(B330="",NOT(A330="")),IF(VLOOKUP(A330,TaskPlan!A:L,5,FALSE)&gt;0,VLOOKUP(A330,TaskPlan!A:L,5,FALSE),""),""))</f>
        <v/>
      </c>
      <c r="N330" s="1" t="str">
        <f ca="1">IF(ISNA(VLOOKUP(A330,Projects!B:B,1,FALSE)),"","Yes")</f>
        <v>Yes</v>
      </c>
    </row>
    <row r="331" spans="1:14" hidden="1" outlineLevel="1">
      <c r="A331" s="43" t="s">
        <v>1502</v>
      </c>
      <c r="C331" s="44" t="s">
        <v>1507</v>
      </c>
      <c r="D331" s="7" t="s">
        <v>32</v>
      </c>
      <c r="E331" s="26">
        <v>40429</v>
      </c>
      <c r="F331" s="25">
        <v>3</v>
      </c>
      <c r="G331" s="28" t="s">
        <v>1213</v>
      </c>
      <c r="H331" s="37">
        <f ca="1">IF(AND(B331="",NOT(A331="")),VLOOKUP(A331,TaskPlan!A:M,13,FALSE),"")</f>
        <v>40556</v>
      </c>
      <c r="I331" s="38" t="str">
        <f ca="1">IF(AND(B331="",NOT(A331="")),VLOOKUP(A331,TaskPlan!A:M,12,FALSE),"")</f>
        <v>Not Started</v>
      </c>
      <c r="J331" s="39" t="str">
        <f ca="1">IF(AND(B331="",NOT(A331="")),VLOOKUP(A331,TaskPlan!A:L,2,FALSE),"")</f>
        <v>Unassigned</v>
      </c>
      <c r="K331" s="39" t="str">
        <f ca="1">IF(AND(B331="",NOT(A331="")),IF(NOT(LEFT(VLOOKUP(A331,TaskPlan!A:L,3,FALSE),1) = "0"),VLOOKUP(A331,TaskPlan!A:L,3,FALSE),""),"")</f>
        <v>1-LOW</v>
      </c>
      <c r="L331" s="55">
        <f ca="1">IF(AND(B331="",NOT(A331="")),IF(NOT(LEFT(VLOOKUP(A331,TaskPlan!A:L,3,FALSE),1) = "0"),VLOOKUP(A331,TaskPlan!A:M,4,FALSE),""),"")</f>
        <v>0</v>
      </c>
      <c r="M331" s="58" t="str">
        <f ca="1">IF(B331=".",1,IF(AND(B331="",NOT(A331="")),IF(VLOOKUP(A331,TaskPlan!A:L,5,FALSE)&gt;0,VLOOKUP(A331,TaskPlan!A:L,5,FALSE),""),""))</f>
        <v/>
      </c>
      <c r="N331" s="1" t="str">
        <f ca="1">IF(ISNA(VLOOKUP(A331,Projects!B:B,1,FALSE)),"","Yes")</f>
        <v>Yes</v>
      </c>
    </row>
    <row r="332" spans="1:14" ht="25.5" hidden="1" outlineLevel="1">
      <c r="A332" s="43" t="s">
        <v>1503</v>
      </c>
      <c r="C332" s="44" t="s">
        <v>1508</v>
      </c>
      <c r="D332" s="7" t="s">
        <v>32</v>
      </c>
      <c r="E332" s="26">
        <v>40429</v>
      </c>
      <c r="F332" s="25">
        <v>3</v>
      </c>
      <c r="G332" s="28" t="s">
        <v>1213</v>
      </c>
      <c r="H332" s="37">
        <f ca="1">IF(AND(B332="",NOT(A332="")),VLOOKUP(A332,TaskPlan!A:M,13,FALSE),"")</f>
        <v>40483</v>
      </c>
      <c r="I332" s="38" t="str">
        <f ca="1">IF(AND(B332="",NOT(A332="")),VLOOKUP(A332,TaskPlan!A:M,12,FALSE),"")</f>
        <v>In Progress</v>
      </c>
      <c r="J332" s="39" t="str">
        <f ca="1">IF(AND(B332="",NOT(A332="")),VLOOKUP(A332,TaskPlan!A:L,2,FALSE),"")</f>
        <v>Unassigned</v>
      </c>
      <c r="K332" s="39" t="str">
        <f ca="1">IF(AND(B332="",NOT(A332="")),IF(NOT(LEFT(VLOOKUP(A332,TaskPlan!A:L,3,FALSE),1) = "0"),VLOOKUP(A332,TaskPlan!A:L,3,FALSE),""),"")</f>
        <v>4-HIGH</v>
      </c>
      <c r="L332" s="55">
        <f ca="1">IF(AND(B332="",NOT(A332="")),IF(NOT(LEFT(VLOOKUP(A332,TaskPlan!A:L,3,FALSE),1) = "0"),VLOOKUP(A332,TaskPlan!A:M,4,FALSE),""),"")</f>
        <v>0</v>
      </c>
      <c r="M332" s="58" t="str">
        <f ca="1">IF(B332=".",1,IF(AND(B332="",NOT(A332="")),IF(VLOOKUP(A332,TaskPlan!A:L,5,FALSE)&gt;0,VLOOKUP(A332,TaskPlan!A:L,5,FALSE),""),""))</f>
        <v/>
      </c>
      <c r="N332" s="1" t="str">
        <f ca="1">IF(ISNA(VLOOKUP(A332,Projects!B:B,1,FALSE)),"","Yes")</f>
        <v>Yes</v>
      </c>
    </row>
    <row r="333" spans="1:14" hidden="1" outlineLevel="1">
      <c r="A333" s="43" t="s">
        <v>1504</v>
      </c>
      <c r="C333" s="44" t="s">
        <v>1509</v>
      </c>
      <c r="D333" s="7" t="s">
        <v>32</v>
      </c>
      <c r="E333" s="26">
        <v>40429</v>
      </c>
      <c r="F333" s="25">
        <v>3</v>
      </c>
      <c r="G333" s="28" t="s">
        <v>1213</v>
      </c>
      <c r="H333" s="37">
        <f ca="1">IF(AND(B333="",NOT(A333="")),VLOOKUP(A333,TaskPlan!A:M,13,FALSE),"")</f>
        <v>40455</v>
      </c>
      <c r="I333" s="38" t="str">
        <f ca="1">IF(AND(B333="",NOT(A333="")),VLOOKUP(A333,TaskPlan!A:M,12,FALSE),"")</f>
        <v>In Progress</v>
      </c>
      <c r="J333" s="39" t="str">
        <f ca="1">IF(AND(B333="",NOT(A333="")),VLOOKUP(A333,TaskPlan!A:L,2,FALSE),"")</f>
        <v>Parth</v>
      </c>
      <c r="K333" s="39" t="str">
        <f ca="1">IF(AND(B333="",NOT(A333="")),IF(NOT(LEFT(VLOOKUP(A333,TaskPlan!A:L,3,FALSE),1) = "0"),VLOOKUP(A333,TaskPlan!A:L,3,FALSE),""),"")</f>
        <v>4-HIGH</v>
      </c>
      <c r="L333" s="55">
        <f ca="1">IF(AND(B333="",NOT(A333="")),IF(NOT(LEFT(VLOOKUP(A333,TaskPlan!A:L,3,FALSE),1) = "0"),VLOOKUP(A333,TaskPlan!A:M,4,FALSE),""),"")</f>
        <v>0</v>
      </c>
      <c r="M333" s="58" t="str">
        <f ca="1">IF(B333=".",1,IF(AND(B333="",NOT(A333="")),IF(VLOOKUP(A333,TaskPlan!A:L,5,FALSE)&gt;0,VLOOKUP(A333,TaskPlan!A:L,5,FALSE),""),""))</f>
        <v/>
      </c>
      <c r="N333" s="1" t="str">
        <f ca="1">IF(ISNA(VLOOKUP(A333,Projects!B:B,1,FALSE)),"","Yes")</f>
        <v>Yes</v>
      </c>
    </row>
    <row r="334" spans="1:14" hidden="1" outlineLevel="1">
      <c r="A334" s="43" t="s">
        <v>1505</v>
      </c>
      <c r="C334" s="44" t="s">
        <v>1510</v>
      </c>
      <c r="D334" s="7" t="s">
        <v>32</v>
      </c>
      <c r="E334" s="26">
        <v>40429</v>
      </c>
      <c r="F334" s="25">
        <v>3</v>
      </c>
      <c r="G334" s="28" t="s">
        <v>1213</v>
      </c>
      <c r="H334" s="37">
        <f ca="1">IF(AND(B334="",NOT(A334="")),VLOOKUP(A334,TaskPlan!A:M,13,FALSE),"")</f>
        <v>40429</v>
      </c>
      <c r="I334" s="38" t="str">
        <f ca="1">IF(AND(B334="",NOT(A334="")),VLOOKUP(A334,TaskPlan!A:M,12,FALSE),"")</f>
        <v>Not Started</v>
      </c>
      <c r="J334" s="39" t="str">
        <f ca="1">IF(AND(B334="",NOT(A334="")),VLOOKUP(A334,TaskPlan!A:L,2,FALSE),"")</f>
        <v>Parth</v>
      </c>
      <c r="K334" s="39" t="str">
        <f ca="1">IF(AND(B334="",NOT(A334="")),IF(NOT(LEFT(VLOOKUP(A334,TaskPlan!A:L,3,FALSE),1) = "0"),VLOOKUP(A334,TaskPlan!A:L,3,FALSE),""),"")</f>
        <v>4-HIGH</v>
      </c>
      <c r="L334" s="55">
        <f ca="1">IF(AND(B334="",NOT(A334="")),IF(NOT(LEFT(VLOOKUP(A334,TaskPlan!A:L,3,FALSE),1) = "0"),VLOOKUP(A334,TaskPlan!A:M,4,FALSE),""),"")</f>
        <v>0</v>
      </c>
      <c r="M334" s="58" t="str">
        <f ca="1">IF(B334=".",1,IF(AND(B334="",NOT(A334="")),IF(VLOOKUP(A334,TaskPlan!A:L,5,FALSE)&gt;0,VLOOKUP(A334,TaskPlan!A:L,5,FALSE),""),""))</f>
        <v/>
      </c>
      <c r="N334" s="1" t="str">
        <f ca="1">IF(ISNA(VLOOKUP(A334,Projects!B:B,1,FALSE)),"","Yes")</f>
        <v>Yes</v>
      </c>
    </row>
    <row r="335" spans="1:14" hidden="1" outlineLevel="1">
      <c r="A335" s="43" t="s">
        <v>1770</v>
      </c>
      <c r="B335" s="1" t="s">
        <v>15</v>
      </c>
      <c r="C335" s="45" t="s">
        <v>1771</v>
      </c>
      <c r="D335" s="7"/>
      <c r="E335" s="26"/>
      <c r="G335" s="28"/>
      <c r="L335" s="55"/>
    </row>
    <row r="336" spans="1:14" hidden="1" outlineLevel="1">
      <c r="A336" s="43" t="s">
        <v>1772</v>
      </c>
      <c r="C336" s="44" t="s">
        <v>1773</v>
      </c>
      <c r="D336" s="7" t="s">
        <v>366</v>
      </c>
      <c r="E336" s="26">
        <v>40521</v>
      </c>
      <c r="F336" s="25">
        <v>1</v>
      </c>
      <c r="G336" s="28" t="s">
        <v>1100</v>
      </c>
      <c r="H336" s="37">
        <f ca="1">IF(AND(B336="",NOT(A336="")),VLOOKUP(A336,TaskPlan!A:M,13,FALSE),"")</f>
        <v>40246</v>
      </c>
      <c r="I336" s="38" t="str">
        <f ca="1">IF(AND(B336="",NOT(A336="")),VLOOKUP(A336,TaskPlan!A:M,12,FALSE),"")</f>
        <v>Not Started</v>
      </c>
      <c r="J336" s="39" t="str">
        <f ca="1">IF(AND(B336="",NOT(A336="")),VLOOKUP(A336,TaskPlan!A:L,2,FALSE),"")</f>
        <v>Unassigned</v>
      </c>
      <c r="K336" s="39" t="str">
        <f ca="1">IF(AND(B336="",NOT(A336="")),IF(NOT(LEFT(VLOOKUP(A336,TaskPlan!A:L,3,FALSE),1) = "0"),VLOOKUP(A336,TaskPlan!A:L,3,FALSE),""),"")</f>
        <v>2-LOW</v>
      </c>
      <c r="L336" s="55">
        <f ca="1">IF(AND(B336="",NOT(A336="")),IF(NOT(LEFT(VLOOKUP(A336,TaskPlan!A:L,3,FALSE),1) = "0"),VLOOKUP(A336,TaskPlan!A:M,4,FALSE),""),"")</f>
        <v>0</v>
      </c>
      <c r="M336" s="58" t="str">
        <f ca="1">IF(B336=".",1,IF(AND(B336="",NOT(A336="")),IF(VLOOKUP(A336,TaskPlan!A:L,5,FALSE)&gt;0,VLOOKUP(A336,TaskPlan!A:L,5,FALSE),""),""))</f>
        <v/>
      </c>
      <c r="N336" s="1" t="str">
        <f ca="1">IF(ISNA(VLOOKUP(A336,Projects!B:B,1,FALSE)),"","Yes")</f>
        <v/>
      </c>
    </row>
    <row r="337" spans="1:14" hidden="1" outlineLevel="1">
      <c r="A337" s="43"/>
      <c r="C337" s="44"/>
      <c r="D337" s="7"/>
      <c r="E337" s="26"/>
      <c r="G337" s="28"/>
      <c r="L337" s="55"/>
    </row>
    <row r="338" spans="1:14" hidden="1" outlineLevel="1">
      <c r="A338" s="43"/>
      <c r="C338" s="44"/>
      <c r="D338" s="7"/>
      <c r="E338" s="26"/>
      <c r="G338" s="28"/>
      <c r="L338" s="55"/>
    </row>
    <row r="339" spans="1:14" hidden="1" outlineLevel="1">
      <c r="A339" s="43"/>
      <c r="C339" s="44"/>
      <c r="D339" s="7"/>
      <c r="E339" s="26"/>
      <c r="G339" s="28"/>
      <c r="L339" s="55"/>
    </row>
    <row r="340" spans="1:14" collapsed="1">
      <c r="A340" s="43"/>
      <c r="C340" s="44"/>
      <c r="E340" s="26"/>
      <c r="H340" s="37" t="str">
        <f ca="1">IF(AND(B340="",NOT(A340="")),VLOOKUP(A340,TaskPlan!A:M,13,FALSE),"")</f>
        <v/>
      </c>
      <c r="I340" s="38" t="str">
        <f ca="1">IF(AND(B340="",NOT(A340="")),VLOOKUP(A340,TaskPlan!A:M,12,FALSE),"")</f>
        <v/>
      </c>
      <c r="J340" s="39" t="str">
        <f ca="1">IF(AND(B340="",NOT(A340="")),VLOOKUP(A340,TaskPlan!A:L,2,FALSE),"")</f>
        <v/>
      </c>
      <c r="K340" s="39" t="str">
        <f ca="1">IF(AND(B340="",NOT(A340="")),IF(NOT(LEFT(VLOOKUP(A340,TaskPlan!A:L,3,FALSE),1) = "0"),VLOOKUP(A340,TaskPlan!A:L,3,FALSE),""),"")</f>
        <v/>
      </c>
      <c r="L340" s="55" t="str">
        <f ca="1">IF(AND(B340="",NOT(A340="")),IF(NOT(LEFT(VLOOKUP(A340,TaskPlan!A:L,3,FALSE),1) = "0"),VLOOKUP(A340,TaskPlan!A:M,4,FALSE),""),"")</f>
        <v/>
      </c>
      <c r="M340" s="58" t="str">
        <f ca="1">IF(B340=".",1,IF(AND(B340="",NOT(A340="")),IF(VLOOKUP(A340,TaskPlan!A:L,5,FALSE)&gt;0,VLOOKUP(A340,TaskPlan!A:L,5,FALSE),""),""))</f>
        <v/>
      </c>
      <c r="N340" s="1" t="str">
        <f ca="1">IF(ISNA(VLOOKUP(A340,Projects!B:B,1,FALSE)),"","Yes")</f>
        <v/>
      </c>
    </row>
    <row r="341" spans="1:14" ht="15.75">
      <c r="A341" s="41" t="s">
        <v>91</v>
      </c>
      <c r="B341" s="7" t="s">
        <v>15</v>
      </c>
      <c r="C341" s="36" t="s">
        <v>59</v>
      </c>
      <c r="E341" s="26"/>
      <c r="H341" s="37" t="str">
        <f ca="1">IF(AND(B341="",NOT(A341="")),VLOOKUP(A341,TaskPlan!A:M,13,FALSE),"")</f>
        <v/>
      </c>
      <c r="I341" s="38" t="str">
        <f ca="1">IF(AND(B341="",NOT(A341="")),VLOOKUP(A341,TaskPlan!A:M,12,FALSE),"")</f>
        <v/>
      </c>
      <c r="J341" s="39" t="str">
        <f ca="1">IF(AND(B341="",NOT(A341="")),VLOOKUP(A341,TaskPlan!A:L,2,FALSE),"")</f>
        <v/>
      </c>
      <c r="K341" s="39" t="str">
        <f ca="1">IF(AND(B341="",NOT(A341="")),IF(NOT(LEFT(VLOOKUP(A341,TaskPlan!A:L,3,FALSE),1) = "0"),VLOOKUP(A341,TaskPlan!A:L,3,FALSE),""),"")</f>
        <v/>
      </c>
      <c r="L341" s="55" t="str">
        <f ca="1">IF(AND(B341="",NOT(A341="")),IF(NOT(LEFT(VLOOKUP(A341,TaskPlan!A:L,3,FALSE),1) = "0"),VLOOKUP(A341,TaskPlan!A:M,4,FALSE),""),"")</f>
        <v/>
      </c>
      <c r="M341" s="58">
        <f ca="1">IF(B341=".",1,IF(AND(B341="",NOT(A341="")),IF(VLOOKUP(A341,TaskPlan!A:L,5,FALSE)&gt;0,VLOOKUP(A341,TaskPlan!A:L,5,FALSE),""),""))</f>
        <v>1</v>
      </c>
      <c r="N341" s="1" t="str">
        <f ca="1">IF(ISNA(VLOOKUP(A341,Projects!B:B,1,FALSE)),"","Yes")</f>
        <v/>
      </c>
    </row>
    <row r="342" spans="1:14" hidden="1" outlineLevel="1">
      <c r="A342" s="41" t="s">
        <v>92</v>
      </c>
      <c r="B342" s="7" t="s">
        <v>15</v>
      </c>
      <c r="C342" s="45" t="s">
        <v>34</v>
      </c>
      <c r="E342" s="26"/>
      <c r="H342" s="37" t="str">
        <f ca="1">IF(AND(B342="",NOT(A342="")),VLOOKUP(A342,TaskPlan!A:M,13,FALSE),"")</f>
        <v/>
      </c>
      <c r="I342" s="38" t="str">
        <f ca="1">IF(AND(B342="",NOT(A342="")),VLOOKUP(A342,TaskPlan!A:M,12,FALSE),"")</f>
        <v/>
      </c>
      <c r="J342" s="39" t="str">
        <f ca="1">IF(AND(B342="",NOT(A342="")),VLOOKUP(A342,TaskPlan!A:L,2,FALSE),"")</f>
        <v/>
      </c>
      <c r="K342" s="39" t="str">
        <f ca="1">IF(AND(B342="",NOT(A342="")),IF(NOT(LEFT(VLOOKUP(A342,TaskPlan!A:L,3,FALSE),1) = "0"),VLOOKUP(A342,TaskPlan!A:L,3,FALSE),""),"")</f>
        <v/>
      </c>
      <c r="L342" s="55" t="str">
        <f ca="1">IF(AND(B342="",NOT(A342="")),IF(NOT(LEFT(VLOOKUP(A342,TaskPlan!A:L,3,FALSE),1) = "0"),VLOOKUP(A342,TaskPlan!A:M,4,FALSE),""),"")</f>
        <v/>
      </c>
      <c r="M342" s="58">
        <f ca="1">IF(B342=".",1,IF(AND(B342="",NOT(A342="")),IF(VLOOKUP(A342,TaskPlan!A:L,5,FALSE)&gt;0,VLOOKUP(A342,TaskPlan!A:L,5,FALSE),""),""))</f>
        <v>1</v>
      </c>
      <c r="N342" s="1" t="str">
        <f ca="1">IF(ISNA(VLOOKUP(A342,Projects!B:B,1,FALSE)),"","Yes")</f>
        <v/>
      </c>
    </row>
    <row r="343" spans="1:14" hidden="1" outlineLevel="1">
      <c r="A343" s="41" t="s">
        <v>93</v>
      </c>
      <c r="C343" s="44" t="s">
        <v>39</v>
      </c>
      <c r="D343" s="7" t="s">
        <v>11</v>
      </c>
      <c r="E343" s="26">
        <v>39911</v>
      </c>
      <c r="H343" s="37">
        <f ca="1">IF(AND(B343="",NOT(A343="")),VLOOKUP(A343,TaskPlan!A:M,13,FALSE),"")</f>
        <v>39941</v>
      </c>
      <c r="I343" s="38" t="str">
        <f ca="1">IF(AND(B343="",NOT(A343="")),VLOOKUP(A343,TaskPlan!A:M,12,FALSE),"")</f>
        <v>Closed</v>
      </c>
      <c r="J343" s="39" t="str">
        <f ca="1">IF(AND(B343="",NOT(A343="")),VLOOKUP(A343,TaskPlan!A:L,2,FALSE),"")</f>
        <v>Pramendra</v>
      </c>
      <c r="K343" s="39" t="str">
        <f ca="1">IF(AND(B343="",NOT(A343="")),IF(NOT(LEFT(VLOOKUP(A343,TaskPlan!A:L,3,FALSE),1) = "0"),VLOOKUP(A343,TaskPlan!A:L,3,FALSE),""),"")</f>
        <v/>
      </c>
      <c r="L343" s="55" t="str">
        <f ca="1">IF(AND(B343="",NOT(A343="")),IF(NOT(LEFT(VLOOKUP(A343,TaskPlan!A:L,3,FALSE),1) = "0"),VLOOKUP(A343,TaskPlan!A:M,4,FALSE),""),"")</f>
        <v/>
      </c>
      <c r="M343" s="58" t="str">
        <f ca="1">IF(B343=".",1,IF(AND(B343="",NOT(A343="")),IF(VLOOKUP(A343,TaskPlan!A:L,5,FALSE)&gt;0,VLOOKUP(A343,TaskPlan!A:L,5,FALSE),""),""))</f>
        <v/>
      </c>
      <c r="N343" s="1" t="str">
        <f ca="1">IF(ISNA(VLOOKUP(A343,Projects!B:B,1,FALSE)),"","Yes")</f>
        <v/>
      </c>
    </row>
    <row r="344" spans="1:14" hidden="1" outlineLevel="1">
      <c r="A344" s="41" t="s">
        <v>94</v>
      </c>
      <c r="C344" s="44" t="s">
        <v>40</v>
      </c>
      <c r="D344" s="7" t="s">
        <v>11</v>
      </c>
      <c r="E344" s="26">
        <v>39911</v>
      </c>
      <c r="H344" s="37">
        <f ca="1">IF(AND(B344="",NOT(A344="")),VLOOKUP(A344,TaskPlan!A:M,13,FALSE),"")</f>
        <v>39924</v>
      </c>
      <c r="I344" s="38" t="str">
        <f ca="1">IF(AND(B344="",NOT(A344="")),VLOOKUP(A344,TaskPlan!A:M,12,FALSE),"")</f>
        <v>Closed</v>
      </c>
      <c r="J344" s="39" t="str">
        <f ca="1">IF(AND(B344="",NOT(A344="")),VLOOKUP(A344,TaskPlan!A:L,2,FALSE),"")</f>
        <v>Paresh</v>
      </c>
      <c r="K344" s="39" t="str">
        <f ca="1">IF(AND(B344="",NOT(A344="")),IF(NOT(LEFT(VLOOKUP(A344,TaskPlan!A:L,3,FALSE),1) = "0"),VLOOKUP(A344,TaskPlan!A:L,3,FALSE),""),"")</f>
        <v/>
      </c>
      <c r="L344" s="55" t="str">
        <f ca="1">IF(AND(B344="",NOT(A344="")),IF(NOT(LEFT(VLOOKUP(A344,TaskPlan!A:L,3,FALSE),1) = "0"),VLOOKUP(A344,TaskPlan!A:M,4,FALSE),""),"")</f>
        <v/>
      </c>
      <c r="M344" s="58" t="str">
        <f ca="1">IF(B344=".",1,IF(AND(B344="",NOT(A344="")),IF(VLOOKUP(A344,TaskPlan!A:L,5,FALSE)&gt;0,VLOOKUP(A344,TaskPlan!A:L,5,FALSE),""),""))</f>
        <v/>
      </c>
      <c r="N344" s="1" t="str">
        <f ca="1">IF(ISNA(VLOOKUP(A344,Projects!B:B,1,FALSE)),"","Yes")</f>
        <v/>
      </c>
    </row>
    <row r="345" spans="1:14" hidden="1" outlineLevel="1">
      <c r="A345" s="41" t="s">
        <v>95</v>
      </c>
      <c r="C345" s="44" t="s">
        <v>71</v>
      </c>
      <c r="D345" s="7" t="s">
        <v>11</v>
      </c>
      <c r="E345" s="26">
        <v>39926</v>
      </c>
      <c r="H345" s="37">
        <f ca="1">IF(AND(B345="",NOT(A345="")),VLOOKUP(A345,TaskPlan!A:M,13,FALSE),"")</f>
        <v>39959</v>
      </c>
      <c r="I345" s="38" t="str">
        <f ca="1">IF(AND(B345="",NOT(A345="")),VLOOKUP(A345,TaskPlan!A:M,12,FALSE),"")</f>
        <v>Closed</v>
      </c>
      <c r="J345" s="39" t="str">
        <f ca="1">IF(AND(B345="",NOT(A345="")),VLOOKUP(A345,TaskPlan!A:L,2,FALSE),"")</f>
        <v>Paresh</v>
      </c>
      <c r="K345" s="39" t="str">
        <f ca="1">IF(AND(B345="",NOT(A345="")),IF(NOT(LEFT(VLOOKUP(A345,TaskPlan!A:L,3,FALSE),1) = "0"),VLOOKUP(A345,TaskPlan!A:L,3,FALSE),""),"")</f>
        <v/>
      </c>
      <c r="L345" s="55" t="str">
        <f ca="1">IF(AND(B345="",NOT(A345="")),IF(NOT(LEFT(VLOOKUP(A345,TaskPlan!A:L,3,FALSE),1) = "0"),VLOOKUP(A345,TaskPlan!A:M,4,FALSE),""),"")</f>
        <v/>
      </c>
      <c r="M345" s="58" t="str">
        <f ca="1">IF(B345=".",1,IF(AND(B345="",NOT(A345="")),IF(VLOOKUP(A345,TaskPlan!A:L,5,FALSE)&gt;0,VLOOKUP(A345,TaskPlan!A:L,5,FALSE),""),""))</f>
        <v/>
      </c>
      <c r="N345" s="1" t="str">
        <f ca="1">IF(ISNA(VLOOKUP(A345,Projects!B:B,1,FALSE)),"","Yes")</f>
        <v/>
      </c>
    </row>
    <row r="346" spans="1:14" hidden="1" outlineLevel="1">
      <c r="A346" s="43" t="s">
        <v>284</v>
      </c>
      <c r="C346" s="44" t="s">
        <v>285</v>
      </c>
      <c r="D346" s="7" t="s">
        <v>32</v>
      </c>
      <c r="E346" s="26">
        <v>39981</v>
      </c>
      <c r="H346" s="37">
        <f ca="1">IF(AND(B346="",NOT(A346="")),VLOOKUP(A346,TaskPlan!A:M,13,FALSE),"")</f>
        <v>39997</v>
      </c>
      <c r="I346" s="38" t="str">
        <f ca="1">IF(AND(B346="",NOT(A346="")),VLOOKUP(A346,TaskPlan!A:M,12,FALSE),"")</f>
        <v>Closed</v>
      </c>
      <c r="J346" s="39" t="str">
        <f ca="1">IF(AND(B346="",NOT(A346="")),VLOOKUP(A346,TaskPlan!A:L,2,FALSE),"")</f>
        <v>Paresh</v>
      </c>
      <c r="K346" s="39" t="str">
        <f ca="1">IF(AND(B346="",NOT(A346="")),IF(NOT(LEFT(VLOOKUP(A346,TaskPlan!A:L,3,FALSE),1) = "0"),VLOOKUP(A346,TaskPlan!A:L,3,FALSE),""),"")</f>
        <v/>
      </c>
      <c r="L346" s="55" t="str">
        <f ca="1">IF(AND(B346="",NOT(A346="")),IF(NOT(LEFT(VLOOKUP(A346,TaskPlan!A:L,3,FALSE),1) = "0"),VLOOKUP(A346,TaskPlan!A:M,4,FALSE),""),"")</f>
        <v/>
      </c>
      <c r="M346" s="58" t="str">
        <f ca="1">IF(B346=".",1,IF(AND(B346="",NOT(A346="")),IF(VLOOKUP(A346,TaskPlan!A:L,5,FALSE)&gt;0,VLOOKUP(A346,TaskPlan!A:L,5,FALSE),""),""))</f>
        <v/>
      </c>
      <c r="N346" s="1" t="str">
        <f ca="1">IF(ISNA(VLOOKUP(A346,Projects!B:B,1,FALSE)),"","Yes")</f>
        <v/>
      </c>
    </row>
    <row r="347" spans="1:14" ht="25.5" hidden="1" outlineLevel="1">
      <c r="A347" s="43" t="s">
        <v>1055</v>
      </c>
      <c r="C347" s="44" t="s">
        <v>1064</v>
      </c>
      <c r="D347" s="7" t="s">
        <v>11</v>
      </c>
      <c r="E347" s="26">
        <v>40283</v>
      </c>
      <c r="F347" s="25">
        <v>1</v>
      </c>
      <c r="G347" s="25" t="s">
        <v>1098</v>
      </c>
      <c r="H347" s="37">
        <f ca="1">IF(AND(B347="",NOT(A347="")),VLOOKUP(A347,TaskPlan!A:M,13,FALSE),"")</f>
        <v>40403</v>
      </c>
      <c r="I347" s="38" t="str">
        <f ca="1">IF(AND(B347="",NOT(A347="")),VLOOKUP(A347,TaskPlan!A:M,12,FALSE),"")</f>
        <v>Closed</v>
      </c>
      <c r="J347" s="39" t="str">
        <f ca="1">IF(AND(B347="",NOT(A347="")),VLOOKUP(A347,TaskPlan!A:L,2,FALSE),"")</f>
        <v>Sreevani</v>
      </c>
      <c r="K347" s="39" t="str">
        <f ca="1">IF(AND(B347="",NOT(A347="")),IF(NOT(LEFT(VLOOKUP(A347,TaskPlan!A:L,3,FALSE),1) = "0"),VLOOKUP(A347,TaskPlan!A:L,3,FALSE),""),"")</f>
        <v/>
      </c>
      <c r="L347" s="55" t="str">
        <f ca="1">IF(AND(B347="",NOT(A347="")),IF(NOT(LEFT(VLOOKUP(A347,TaskPlan!A:L,3,FALSE),1) = "0"),VLOOKUP(A347,TaskPlan!A:M,4,FALSE),""),"")</f>
        <v/>
      </c>
      <c r="M347" s="58" t="str">
        <f ca="1">IF(B347=".",1,IF(AND(B347="",NOT(A347="")),IF(VLOOKUP(A347,TaskPlan!A:L,5,FALSE)&gt;0,VLOOKUP(A347,TaskPlan!A:L,5,FALSE),""),""))</f>
        <v/>
      </c>
      <c r="N347" s="1" t="str">
        <f ca="1">IF(ISNA(VLOOKUP(A347,Projects!B:B,1,FALSE)),"","Yes")</f>
        <v>Yes</v>
      </c>
    </row>
    <row r="348" spans="1:14" hidden="1" outlineLevel="1">
      <c r="A348" s="41" t="s">
        <v>96</v>
      </c>
      <c r="B348" s="7" t="s">
        <v>15</v>
      </c>
      <c r="C348" s="45" t="s">
        <v>35</v>
      </c>
      <c r="H348" s="37" t="str">
        <f ca="1">IF(AND(B348="",NOT(A348="")),VLOOKUP(A348,TaskPlan!A:M,13,FALSE),"")</f>
        <v/>
      </c>
      <c r="I348" s="38" t="str">
        <f ca="1">IF(AND(B348="",NOT(A348="")),VLOOKUP(A348,TaskPlan!A:M,12,FALSE),"")</f>
        <v/>
      </c>
      <c r="J348" s="39" t="str">
        <f ca="1">IF(AND(B348="",NOT(A348="")),VLOOKUP(A348,TaskPlan!A:L,2,FALSE),"")</f>
        <v/>
      </c>
      <c r="K348" s="39" t="str">
        <f ca="1">IF(AND(B348="",NOT(A348="")),IF(NOT(LEFT(VLOOKUP(A348,TaskPlan!A:L,3,FALSE),1) = "0"),VLOOKUP(A348,TaskPlan!A:L,3,FALSE),""),"")</f>
        <v/>
      </c>
      <c r="L348" s="55" t="str">
        <f ca="1">IF(AND(B348="",NOT(A348="")),IF(NOT(LEFT(VLOOKUP(A348,TaskPlan!A:L,3,FALSE),1) = "0"),VLOOKUP(A348,TaskPlan!A:M,4,FALSE),""),"")</f>
        <v/>
      </c>
      <c r="M348" s="58">
        <f ca="1">IF(B348=".",1,IF(AND(B348="",NOT(A348="")),IF(VLOOKUP(A348,TaskPlan!A:L,5,FALSE)&gt;0,VLOOKUP(A348,TaskPlan!A:L,5,FALSE),""),""))</f>
        <v>1</v>
      </c>
      <c r="N348" s="1" t="str">
        <f ca="1">IF(ISNA(VLOOKUP(A348,Projects!B:B,1,FALSE)),"","Yes")</f>
        <v/>
      </c>
    </row>
    <row r="349" spans="1:14" hidden="1" outlineLevel="1">
      <c r="A349" s="41" t="s">
        <v>97</v>
      </c>
      <c r="C349" s="44" t="s">
        <v>51</v>
      </c>
      <c r="D349" s="7" t="s">
        <v>11</v>
      </c>
      <c r="E349" s="26">
        <v>39917</v>
      </c>
      <c r="H349" s="37">
        <f ca="1">IF(AND(B349="",NOT(A349="")),VLOOKUP(A349,TaskPlan!A:M,13,FALSE),"")</f>
        <v>39924</v>
      </c>
      <c r="I349" s="38" t="str">
        <f ca="1">IF(AND(B349="",NOT(A349="")),VLOOKUP(A349,TaskPlan!A:M,12,FALSE),"")</f>
        <v>Closed</v>
      </c>
      <c r="J349" s="39" t="str">
        <f ca="1">IF(AND(B349="",NOT(A349="")),VLOOKUP(A349,TaskPlan!A:L,2,FALSE),"")</f>
        <v>Paresh</v>
      </c>
      <c r="K349" s="39" t="str">
        <f ca="1">IF(AND(B349="",NOT(A349="")),IF(NOT(LEFT(VLOOKUP(A349,TaskPlan!A:L,3,FALSE),1) = "0"),VLOOKUP(A349,TaskPlan!A:L,3,FALSE),""),"")</f>
        <v/>
      </c>
      <c r="L349" s="55" t="str">
        <f ca="1">IF(AND(B349="",NOT(A349="")),IF(NOT(LEFT(VLOOKUP(A349,TaskPlan!A:L,3,FALSE),1) = "0"),VLOOKUP(A349,TaskPlan!A:M,4,FALSE),""),"")</f>
        <v/>
      </c>
      <c r="M349" s="58" t="str">
        <f ca="1">IF(B349=".",1,IF(AND(B349="",NOT(A349="")),IF(VLOOKUP(A349,TaskPlan!A:L,5,FALSE)&gt;0,VLOOKUP(A349,TaskPlan!A:L,5,FALSE),""),""))</f>
        <v/>
      </c>
      <c r="N349" s="1" t="str">
        <f ca="1">IF(ISNA(VLOOKUP(A349,Projects!B:B,1,FALSE)),"","Yes")</f>
        <v/>
      </c>
    </row>
    <row r="350" spans="1:14" hidden="1" outlineLevel="1">
      <c r="A350" s="41" t="s">
        <v>98</v>
      </c>
      <c r="C350" s="44" t="s">
        <v>65</v>
      </c>
      <c r="D350" s="7" t="s">
        <v>11</v>
      </c>
      <c r="E350" s="26">
        <v>39924</v>
      </c>
      <c r="H350" s="37">
        <f ca="1">IF(AND(B350="",NOT(A350="")),VLOOKUP(A350,TaskPlan!A:M,13,FALSE),"")</f>
        <v>40031</v>
      </c>
      <c r="I350" s="38" t="str">
        <f ca="1">IF(AND(B350="",NOT(A350="")),VLOOKUP(A350,TaskPlan!A:M,12,FALSE),"")</f>
        <v>Closed</v>
      </c>
      <c r="J350" s="39" t="str">
        <f ca="1">IF(AND(B350="",NOT(A350="")),VLOOKUP(A350,TaskPlan!A:L,2,FALSE),"")</f>
        <v>Paresh</v>
      </c>
      <c r="K350" s="39" t="str">
        <f ca="1">IF(AND(B350="",NOT(A350="")),IF(NOT(LEFT(VLOOKUP(A350,TaskPlan!A:L,3,FALSE),1) = "0"),VLOOKUP(A350,TaskPlan!A:L,3,FALSE),""),"")</f>
        <v/>
      </c>
      <c r="L350" s="55" t="str">
        <f ca="1">IF(AND(B350="",NOT(A350="")),IF(NOT(LEFT(VLOOKUP(A350,TaskPlan!A:L,3,FALSE),1) = "0"),VLOOKUP(A350,TaskPlan!A:M,4,FALSE),""),"")</f>
        <v/>
      </c>
      <c r="M350" s="58" t="str">
        <f ca="1">IF(B350=".",1,IF(AND(B350="",NOT(A350="")),IF(VLOOKUP(A350,TaskPlan!A:L,5,FALSE)&gt;0,VLOOKUP(A350,TaskPlan!A:L,5,FALSE),""),""))</f>
        <v/>
      </c>
      <c r="N350" s="1" t="str">
        <f ca="1">IF(ISNA(VLOOKUP(A350,Projects!B:B,1,FALSE)),"","Yes")</f>
        <v/>
      </c>
    </row>
    <row r="351" spans="1:14" hidden="1" outlineLevel="1">
      <c r="A351" s="43" t="s">
        <v>393</v>
      </c>
      <c r="C351" s="44" t="s">
        <v>392</v>
      </c>
      <c r="D351" s="7" t="s">
        <v>11</v>
      </c>
      <c r="E351" s="26">
        <v>40031</v>
      </c>
      <c r="F351" s="25">
        <v>3</v>
      </c>
      <c r="G351" s="28" t="s">
        <v>1099</v>
      </c>
      <c r="H351" s="37">
        <f ca="1">IF(AND(B351="",NOT(A351="")),VLOOKUP(A351,TaskPlan!A:M,13,FALSE),"")</f>
        <v>40283</v>
      </c>
      <c r="I351" s="38" t="str">
        <f ca="1">IF(AND(B351="",NOT(A351="")),VLOOKUP(A351,TaskPlan!A:M,12,FALSE),"")</f>
        <v>Not Started</v>
      </c>
      <c r="J351" s="39" t="str">
        <f ca="1">IF(AND(B351="",NOT(A351="")),VLOOKUP(A351,TaskPlan!A:L,2,FALSE),"")</f>
        <v>Unassigned</v>
      </c>
      <c r="K351" s="39" t="str">
        <f ca="1">IF(AND(B351="",NOT(A351="")),IF(NOT(LEFT(VLOOKUP(A351,TaskPlan!A:L,3,FALSE),1) = "0"),VLOOKUP(A351,TaskPlan!A:L,3,FALSE),""),"")</f>
        <v>1-LOW</v>
      </c>
      <c r="L351" s="55">
        <f ca="1">IF(AND(B351="",NOT(A351="")),IF(NOT(LEFT(VLOOKUP(A351,TaskPlan!A:L,3,FALSE),1) = "0"),VLOOKUP(A351,TaskPlan!A:M,4,FALSE),""),"")</f>
        <v>0</v>
      </c>
      <c r="M351" s="58" t="str">
        <f ca="1">IF(B351=".",1,IF(AND(B351="",NOT(A351="")),IF(VLOOKUP(A351,TaskPlan!A:L,5,FALSE)&gt;0,VLOOKUP(A351,TaskPlan!A:L,5,FALSE),""),""))</f>
        <v/>
      </c>
      <c r="N351" s="1" t="str">
        <f ca="1">IF(ISNA(VLOOKUP(A351,Projects!B:B,1,FALSE)),"","Yes")</f>
        <v/>
      </c>
    </row>
    <row r="352" spans="1:14" hidden="1" outlineLevel="1">
      <c r="A352" s="41" t="s">
        <v>99</v>
      </c>
      <c r="B352" s="7" t="s">
        <v>15</v>
      </c>
      <c r="C352" s="45" t="s">
        <v>36</v>
      </c>
      <c r="E352" s="26"/>
      <c r="H352" s="37" t="str">
        <f ca="1">IF(AND(B352="",NOT(A352="")),VLOOKUP(A352,TaskPlan!A:M,13,FALSE),"")</f>
        <v/>
      </c>
      <c r="I352" s="38" t="str">
        <f ca="1">IF(AND(B352="",NOT(A352="")),VLOOKUP(A352,TaskPlan!A:M,12,FALSE),"")</f>
        <v/>
      </c>
      <c r="J352" s="39" t="str">
        <f ca="1">IF(AND(B352="",NOT(A352="")),VLOOKUP(A352,TaskPlan!A:L,2,FALSE),"")</f>
        <v/>
      </c>
      <c r="K352" s="39" t="str">
        <f ca="1">IF(AND(B352="",NOT(A352="")),IF(NOT(LEFT(VLOOKUP(A352,TaskPlan!A:L,3,FALSE),1) = "0"),VLOOKUP(A352,TaskPlan!A:L,3,FALSE),""),"")</f>
        <v/>
      </c>
      <c r="L352" s="55" t="str">
        <f ca="1">IF(AND(B352="",NOT(A352="")),IF(NOT(LEFT(VLOOKUP(A352,TaskPlan!A:L,3,FALSE),1) = "0"),VLOOKUP(A352,TaskPlan!A:M,4,FALSE),""),"")</f>
        <v/>
      </c>
      <c r="M352" s="58">
        <f ca="1">IF(B352=".",1,IF(AND(B352="",NOT(A352="")),IF(VLOOKUP(A352,TaskPlan!A:L,5,FALSE)&gt;0,VLOOKUP(A352,TaskPlan!A:L,5,FALSE),""),""))</f>
        <v>1</v>
      </c>
      <c r="N352" s="1" t="str">
        <f ca="1">IF(ISNA(VLOOKUP(A352,Projects!B:B,1,FALSE)),"","Yes")</f>
        <v/>
      </c>
    </row>
    <row r="353" spans="1:14" hidden="1" outlineLevel="1">
      <c r="A353" s="41" t="s">
        <v>100</v>
      </c>
      <c r="C353" s="44" t="s">
        <v>41</v>
      </c>
      <c r="D353" s="7" t="s">
        <v>11</v>
      </c>
      <c r="E353" s="26">
        <v>39911</v>
      </c>
      <c r="H353" s="37">
        <f ca="1">IF(AND(B353="",NOT(A353="")),VLOOKUP(A353,TaskPlan!A:M,13,FALSE),"")</f>
        <v>40532</v>
      </c>
      <c r="I353" s="38" t="str">
        <f ca="1">IF(AND(B353="",NOT(A353="")),VLOOKUP(A353,TaskPlan!A:M,12,FALSE),"")</f>
        <v>Closed</v>
      </c>
      <c r="J353" s="39" t="str">
        <f ca="1">IF(AND(B353="",NOT(A353="")),VLOOKUP(A353,TaskPlan!A:L,2,FALSE),"")</f>
        <v>Ruth</v>
      </c>
      <c r="K353" s="39" t="str">
        <f ca="1">IF(AND(B353="",NOT(A353="")),IF(NOT(LEFT(VLOOKUP(A353,TaskPlan!A:L,3,FALSE),1) = "0"),VLOOKUP(A353,TaskPlan!A:L,3,FALSE),""),"")</f>
        <v/>
      </c>
      <c r="L353" s="55" t="str">
        <f ca="1">IF(AND(B353="",NOT(A353="")),IF(NOT(LEFT(VLOOKUP(A353,TaskPlan!A:L,3,FALSE),1) = "0"),VLOOKUP(A353,TaskPlan!A:M,4,FALSE),""),"")</f>
        <v/>
      </c>
      <c r="M353" s="58" t="str">
        <f ca="1">IF(B353=".",1,IF(AND(B353="",NOT(A353="")),IF(VLOOKUP(A353,TaskPlan!A:L,5,FALSE)&gt;0,VLOOKUP(A353,TaskPlan!A:L,5,FALSE),""),""))</f>
        <v/>
      </c>
      <c r="N353" s="1" t="str">
        <f ca="1">IF(ISNA(VLOOKUP(A353,Projects!B:B,1,FALSE)),"","Yes")</f>
        <v/>
      </c>
    </row>
    <row r="354" spans="1:14" hidden="1" outlineLevel="1">
      <c r="A354" s="41" t="s">
        <v>101</v>
      </c>
      <c r="C354" s="44" t="s">
        <v>42</v>
      </c>
      <c r="D354" s="7" t="s">
        <v>11</v>
      </c>
      <c r="E354" s="26">
        <v>39911</v>
      </c>
      <c r="H354" s="37">
        <f ca="1">IF(AND(B354="",NOT(A354="")),VLOOKUP(A354,TaskPlan!A:M,13,FALSE),"")</f>
        <v>40532</v>
      </c>
      <c r="I354" s="38" t="str">
        <f ca="1">IF(AND(B354="",NOT(A354="")),VLOOKUP(A354,TaskPlan!A:M,12,FALSE),"")</f>
        <v>Closed</v>
      </c>
      <c r="J354" s="39" t="str">
        <f ca="1">IF(AND(B354="",NOT(A354="")),VLOOKUP(A354,TaskPlan!A:L,2,FALSE),"")</f>
        <v>Ruth</v>
      </c>
      <c r="K354" s="39" t="str">
        <f ca="1">IF(AND(B354="",NOT(A354="")),IF(NOT(LEFT(VLOOKUP(A354,TaskPlan!A:L,3,FALSE),1) = "0"),VLOOKUP(A354,TaskPlan!A:L,3,FALSE),""),"")</f>
        <v/>
      </c>
      <c r="L354" s="55" t="str">
        <f ca="1">IF(AND(B354="",NOT(A354="")),IF(NOT(LEFT(VLOOKUP(A354,TaskPlan!A:L,3,FALSE),1) = "0"),VLOOKUP(A354,TaskPlan!A:M,4,FALSE),""),"")</f>
        <v/>
      </c>
      <c r="M354" s="58" t="str">
        <f ca="1">IF(B354=".",1,IF(AND(B354="",NOT(A354="")),IF(VLOOKUP(A354,TaskPlan!A:L,5,FALSE)&gt;0,VLOOKUP(A354,TaskPlan!A:L,5,FALSE),""),""))</f>
        <v/>
      </c>
      <c r="N354" s="1" t="str">
        <f ca="1">IF(ISNA(VLOOKUP(A354,Projects!B:B,1,FALSE)),"","Yes")</f>
        <v/>
      </c>
    </row>
    <row r="355" spans="1:14" hidden="1" outlineLevel="1">
      <c r="A355" s="43" t="s">
        <v>1354</v>
      </c>
      <c r="C355" s="44" t="s">
        <v>1355</v>
      </c>
      <c r="D355" s="7" t="s">
        <v>11</v>
      </c>
      <c r="E355" s="26">
        <v>40368</v>
      </c>
      <c r="F355" s="25">
        <v>2</v>
      </c>
      <c r="G355" s="28" t="s">
        <v>1099</v>
      </c>
      <c r="H355" s="37">
        <f ca="1">IF(AND(B355="",NOT(A355="")),VLOOKUP(A355,TaskPlan!A:M,13,FALSE),"")</f>
        <v>40400</v>
      </c>
      <c r="I355" s="38" t="str">
        <f ca="1">IF(AND(B355="",NOT(A355="")),VLOOKUP(A355,TaskPlan!A:M,12,FALSE),"")</f>
        <v>Closed</v>
      </c>
      <c r="J355" s="39" t="str">
        <f ca="1">IF(AND(B355="",NOT(A355="")),VLOOKUP(A355,TaskPlan!A:L,2,FALSE),"")</f>
        <v>Neil</v>
      </c>
      <c r="K355" s="39" t="str">
        <f ca="1">IF(AND(B355="",NOT(A355="")),IF(NOT(LEFT(VLOOKUP(A355,TaskPlan!A:L,3,FALSE),1) = "0"),VLOOKUP(A355,TaskPlan!A:L,3,FALSE),""),"")</f>
        <v/>
      </c>
      <c r="L355" s="55" t="str">
        <f ca="1">IF(AND(B355="",NOT(A355="")),IF(NOT(LEFT(VLOOKUP(A355,TaskPlan!A:L,3,FALSE),1) = "0"),VLOOKUP(A355,TaskPlan!A:M,4,FALSE),""),"")</f>
        <v/>
      </c>
      <c r="M355" s="58" t="str">
        <f ca="1">IF(B355=".",1,IF(AND(B355="",NOT(A355="")),IF(VLOOKUP(A355,TaskPlan!A:L,5,FALSE)&gt;0,VLOOKUP(A355,TaskPlan!A:L,5,FALSE),""),""))</f>
        <v/>
      </c>
      <c r="N355" s="1" t="str">
        <f ca="1">IF(ISNA(VLOOKUP(A355,Projects!B:B,1,FALSE)),"","Yes")</f>
        <v/>
      </c>
    </row>
    <row r="356" spans="1:14" hidden="1" outlineLevel="1">
      <c r="A356" s="43" t="s">
        <v>1727</v>
      </c>
      <c r="C356" s="44" t="s">
        <v>1728</v>
      </c>
      <c r="D356" s="7" t="s">
        <v>11</v>
      </c>
      <c r="E356" s="26">
        <v>40514</v>
      </c>
      <c r="F356" s="25">
        <v>1</v>
      </c>
      <c r="G356" s="28" t="s">
        <v>1098</v>
      </c>
      <c r="H356" s="37">
        <f ca="1">IF(AND(B356="",NOT(A356="")),VLOOKUP(A356,TaskPlan!A:M,13,FALSE),"")</f>
        <v>40246</v>
      </c>
      <c r="I356" s="38" t="str">
        <f ca="1">IF(AND(B356="",NOT(A356="")),VLOOKUP(A356,TaskPlan!A:M,12,FALSE),"")</f>
        <v>Not Started</v>
      </c>
      <c r="J356" s="39" t="str">
        <f ca="1">IF(AND(B356="",NOT(A356="")),VLOOKUP(A356,TaskPlan!A:L,2,FALSE),"")</f>
        <v>Unassigned</v>
      </c>
      <c r="K356" s="39" t="str">
        <f ca="1">IF(AND(B356="",NOT(A356="")),IF(NOT(LEFT(VLOOKUP(A356,TaskPlan!A:L,3,FALSE),1) = "0"),VLOOKUP(A356,TaskPlan!A:L,3,FALSE),""),"")</f>
        <v>4-HIGH</v>
      </c>
      <c r="L356" s="55">
        <f ca="1">IF(AND(B356="",NOT(A356="")),IF(NOT(LEFT(VLOOKUP(A356,TaskPlan!A:L,3,FALSE),1) = "0"),VLOOKUP(A356,TaskPlan!A:M,4,FALSE),""),"")</f>
        <v>0</v>
      </c>
      <c r="M356" s="58" t="str">
        <f ca="1">IF(B356=".",1,IF(AND(B356="",NOT(A356="")),IF(VLOOKUP(A356,TaskPlan!A:L,5,FALSE)&gt;0,VLOOKUP(A356,TaskPlan!A:L,5,FALSE),""),""))</f>
        <v/>
      </c>
      <c r="N356" s="1" t="str">
        <f ca="1">IF(ISNA(VLOOKUP(A356,Projects!B:B,1,FALSE)),"","Yes")</f>
        <v/>
      </c>
    </row>
    <row r="357" spans="1:14" hidden="1" outlineLevel="1">
      <c r="A357" s="41" t="s">
        <v>102</v>
      </c>
      <c r="B357" s="7" t="s">
        <v>15</v>
      </c>
      <c r="C357" s="45" t="s">
        <v>56</v>
      </c>
      <c r="D357" s="7"/>
      <c r="E357" s="26"/>
      <c r="H357" s="37" t="str">
        <f ca="1">IF(AND(B357="",NOT(A357="")),VLOOKUP(A357,TaskPlan!A:M,13,FALSE),"")</f>
        <v/>
      </c>
      <c r="I357" s="38" t="str">
        <f ca="1">IF(AND(B357="",NOT(A357="")),VLOOKUP(A357,TaskPlan!A:M,12,FALSE),"")</f>
        <v/>
      </c>
      <c r="J357" s="39" t="str">
        <f ca="1">IF(AND(B357="",NOT(A357="")),VLOOKUP(A357,TaskPlan!A:L,2,FALSE),"")</f>
        <v/>
      </c>
      <c r="K357" s="39" t="str">
        <f ca="1">IF(AND(B357="",NOT(A357="")),IF(NOT(LEFT(VLOOKUP(A357,TaskPlan!A:L,3,FALSE),1) = "0"),VLOOKUP(A357,TaskPlan!A:L,3,FALSE),""),"")</f>
        <v/>
      </c>
      <c r="L357" s="55" t="str">
        <f ca="1">IF(AND(B357="",NOT(A357="")),IF(NOT(LEFT(VLOOKUP(A357,TaskPlan!A:L,3,FALSE),1) = "0"),VLOOKUP(A357,TaskPlan!A:M,4,FALSE),""),"")</f>
        <v/>
      </c>
      <c r="M357" s="58">
        <f ca="1">IF(B357=".",1,IF(AND(B357="",NOT(A357="")),IF(VLOOKUP(A357,TaskPlan!A:L,5,FALSE)&gt;0,VLOOKUP(A357,TaskPlan!A:L,5,FALSE),""),""))</f>
        <v>1</v>
      </c>
      <c r="N357" s="1" t="str">
        <f ca="1">IF(ISNA(VLOOKUP(A357,Projects!B:B,1,FALSE)),"","Yes")</f>
        <v/>
      </c>
    </row>
    <row r="358" spans="1:14" hidden="1" outlineLevel="1">
      <c r="A358" s="41" t="s">
        <v>103</v>
      </c>
      <c r="C358" s="44" t="s">
        <v>57</v>
      </c>
      <c r="D358" s="7" t="s">
        <v>11</v>
      </c>
      <c r="E358" s="26">
        <v>39917</v>
      </c>
      <c r="H358" s="37">
        <f ca="1">IF(AND(B358="",NOT(A358="")),VLOOKUP(A358,TaskPlan!A:M,13,FALSE),"")</f>
        <v>40532</v>
      </c>
      <c r="I358" s="38" t="str">
        <f ca="1">IF(AND(B358="",NOT(A358="")),VLOOKUP(A358,TaskPlan!A:M,12,FALSE),"")</f>
        <v>Closed</v>
      </c>
      <c r="J358" s="39" t="str">
        <f ca="1">IF(AND(B358="",NOT(A358="")),VLOOKUP(A358,TaskPlan!A:L,2,FALSE),"")</f>
        <v>Ruth</v>
      </c>
      <c r="K358" s="39" t="str">
        <f ca="1">IF(AND(B358="",NOT(A358="")),IF(NOT(LEFT(VLOOKUP(A358,TaskPlan!A:L,3,FALSE),1) = "0"),VLOOKUP(A358,TaskPlan!A:L,3,FALSE),""),"")</f>
        <v/>
      </c>
      <c r="L358" s="55" t="str">
        <f ca="1">IF(AND(B358="",NOT(A358="")),IF(NOT(LEFT(VLOOKUP(A358,TaskPlan!A:L,3,FALSE),1) = "0"),VLOOKUP(A358,TaskPlan!A:M,4,FALSE),""),"")</f>
        <v/>
      </c>
      <c r="M358" s="58" t="str">
        <f ca="1">IF(B358=".",1,IF(AND(B358="",NOT(A358="")),IF(VLOOKUP(A358,TaskPlan!A:L,5,FALSE)&gt;0,VLOOKUP(A358,TaskPlan!A:L,5,FALSE),""),""))</f>
        <v/>
      </c>
      <c r="N358" s="1" t="str">
        <f ca="1">IF(ISNA(VLOOKUP(A358,Projects!B:B,1,FALSE)),"","Yes")</f>
        <v/>
      </c>
    </row>
    <row r="359" spans="1:14" hidden="1" outlineLevel="1">
      <c r="A359" s="43" t="s">
        <v>1548</v>
      </c>
      <c r="C359" s="44" t="s">
        <v>1549</v>
      </c>
      <c r="D359" s="7" t="s">
        <v>11</v>
      </c>
      <c r="E359" s="26">
        <v>40452</v>
      </c>
      <c r="F359" s="25">
        <v>3</v>
      </c>
      <c r="G359" s="28" t="s">
        <v>1099</v>
      </c>
      <c r="H359" s="37">
        <f ca="1">IF(AND(B359="",NOT(A359="")),VLOOKUP(A359,TaskPlan!A:M,13,FALSE),"")</f>
        <v>40452</v>
      </c>
      <c r="I359" s="38" t="str">
        <f ca="1">IF(AND(B359="",NOT(A359="")),VLOOKUP(A359,TaskPlan!A:M,12,FALSE),"")</f>
        <v>Not Started</v>
      </c>
      <c r="J359" s="39" t="str">
        <f ca="1">IF(AND(B359="",NOT(A359="")),VLOOKUP(A359,TaskPlan!A:L,2,FALSE),"")</f>
        <v>Neil</v>
      </c>
      <c r="K359" s="39" t="str">
        <f ca="1">IF(AND(B359="",NOT(A359="")),IF(NOT(LEFT(VLOOKUP(A359,TaskPlan!A:L,3,FALSE),1) = "0"),VLOOKUP(A359,TaskPlan!A:L,3,FALSE),""),"")</f>
        <v>3-MED</v>
      </c>
      <c r="L359" s="55">
        <f ca="1">IF(AND(B359="",NOT(A359="")),IF(NOT(LEFT(VLOOKUP(A359,TaskPlan!A:L,3,FALSE),1) = "0"),VLOOKUP(A359,TaskPlan!A:M,4,FALSE),""),"")</f>
        <v>0</v>
      </c>
      <c r="M359" s="58" t="str">
        <f ca="1">IF(B359=".",1,IF(AND(B359="",NOT(A359="")),IF(VLOOKUP(A359,TaskPlan!A:L,5,FALSE)&gt;0,VLOOKUP(A359,TaskPlan!A:L,5,FALSE),""),""))</f>
        <v/>
      </c>
    </row>
    <row r="360" spans="1:14" hidden="1" outlineLevel="1">
      <c r="A360" s="43" t="s">
        <v>1550</v>
      </c>
      <c r="C360" s="44" t="s">
        <v>1552</v>
      </c>
      <c r="D360" s="7" t="s">
        <v>11</v>
      </c>
      <c r="E360" s="26">
        <v>40452</v>
      </c>
      <c r="F360" s="25">
        <v>3</v>
      </c>
      <c r="G360" s="28" t="s">
        <v>1099</v>
      </c>
      <c r="H360" s="37">
        <f ca="1">IF(AND(B360="",NOT(A360="")),VLOOKUP(A360,TaskPlan!A:M,13,FALSE),"")</f>
        <v>40568</v>
      </c>
      <c r="I360" s="38" t="str">
        <f ca="1">IF(AND(B360="",NOT(A360="")),VLOOKUP(A360,TaskPlan!A:M,12,FALSE),"")</f>
        <v>Not Started</v>
      </c>
      <c r="J360" s="39" t="str">
        <f ca="1">IF(AND(B360="",NOT(A360="")),VLOOKUP(A360,TaskPlan!A:L,2,FALSE),"")</f>
        <v>Pramendra</v>
      </c>
      <c r="K360" s="39" t="str">
        <f ca="1">IF(AND(B360="",NOT(A360="")),IF(NOT(LEFT(VLOOKUP(A360,TaskPlan!A:L,3,FALSE),1) = "0"),VLOOKUP(A360,TaskPlan!A:L,3,FALSE),""),"")</f>
        <v>2-LOW</v>
      </c>
      <c r="L360" s="55">
        <f ca="1">IF(AND(B360="",NOT(A360="")),IF(NOT(LEFT(VLOOKUP(A360,TaskPlan!A:L,3,FALSE),1) = "0"),VLOOKUP(A360,TaskPlan!A:M,4,FALSE),""),"")</f>
        <v>0</v>
      </c>
      <c r="M360" s="58" t="str">
        <f ca="1">IF(B360=".",1,IF(AND(B360="",NOT(A360="")),IF(VLOOKUP(A360,TaskPlan!A:L,5,FALSE)&gt;0,VLOOKUP(A360,TaskPlan!A:L,5,FALSE),""),""))</f>
        <v/>
      </c>
    </row>
    <row r="361" spans="1:14" hidden="1" outlineLevel="1">
      <c r="A361" s="43" t="s">
        <v>1551</v>
      </c>
      <c r="C361" s="44" t="s">
        <v>1552</v>
      </c>
      <c r="D361" s="7" t="s">
        <v>11</v>
      </c>
      <c r="E361" s="26">
        <v>40452</v>
      </c>
      <c r="F361" s="25">
        <v>3</v>
      </c>
      <c r="G361" s="28" t="s">
        <v>1099</v>
      </c>
      <c r="H361" s="37">
        <f ca="1">IF(AND(B361="",NOT(A361="")),VLOOKUP(A361,TaskPlan!A:M,13,FALSE),"")</f>
        <v>40568</v>
      </c>
      <c r="I361" s="38" t="str">
        <f ca="1">IF(AND(B361="",NOT(A361="")),VLOOKUP(A361,TaskPlan!A:M,12,FALSE),"")</f>
        <v>Not Started</v>
      </c>
      <c r="J361" s="39" t="str">
        <f ca="1">IF(AND(B361="",NOT(A361="")),VLOOKUP(A361,TaskPlan!A:L,2,FALSE),"")</f>
        <v>Paresh</v>
      </c>
      <c r="K361" s="39" t="str">
        <f ca="1">IF(AND(B361="",NOT(A361="")),IF(NOT(LEFT(VLOOKUP(A361,TaskPlan!A:L,3,FALSE),1) = "0"),VLOOKUP(A361,TaskPlan!A:L,3,FALSE),""),"")</f>
        <v>2-LOW</v>
      </c>
      <c r="L361" s="55">
        <f ca="1">IF(AND(B361="",NOT(A361="")),IF(NOT(LEFT(VLOOKUP(A361,TaskPlan!A:L,3,FALSE),1) = "0"),VLOOKUP(A361,TaskPlan!A:M,4,FALSE),""),"")</f>
        <v>0</v>
      </c>
      <c r="M361" s="58" t="str">
        <f ca="1">IF(B361=".",1,IF(AND(B361="",NOT(A361="")),IF(VLOOKUP(A361,TaskPlan!A:L,5,FALSE)&gt;0,VLOOKUP(A361,TaskPlan!A:L,5,FALSE),""),""))</f>
        <v/>
      </c>
    </row>
    <row r="362" spans="1:14" hidden="1" outlineLevel="1">
      <c r="A362" s="43" t="s">
        <v>148</v>
      </c>
      <c r="B362" s="7" t="s">
        <v>15</v>
      </c>
      <c r="C362" s="45" t="s">
        <v>151</v>
      </c>
      <c r="D362" s="7"/>
      <c r="E362" s="26"/>
      <c r="H362" s="37" t="str">
        <f ca="1">IF(AND(B362="",NOT(A362="")),VLOOKUP(A362,TaskPlan!A:M,13,FALSE),"")</f>
        <v/>
      </c>
      <c r="I362" s="38" t="str">
        <f ca="1">IF(AND(B362="",NOT(A362="")),VLOOKUP(A362,TaskPlan!A:M,12,FALSE),"")</f>
        <v/>
      </c>
      <c r="J362" s="39" t="str">
        <f ca="1">IF(AND(B362="",NOT(A362="")),VLOOKUP(A362,TaskPlan!A:L,2,FALSE),"")</f>
        <v/>
      </c>
      <c r="K362" s="39" t="str">
        <f ca="1">IF(AND(B362="",NOT(A362="")),IF(NOT(LEFT(VLOOKUP(A362,TaskPlan!A:L,3,FALSE),1) = "0"),VLOOKUP(A362,TaskPlan!A:L,3,FALSE),""),"")</f>
        <v/>
      </c>
      <c r="L362" s="55" t="str">
        <f ca="1">IF(AND(B362="",NOT(A362="")),IF(NOT(LEFT(VLOOKUP(A362,TaskPlan!A:L,3,FALSE),1) = "0"),VLOOKUP(A362,TaskPlan!A:M,4,FALSE),""),"")</f>
        <v/>
      </c>
      <c r="M362" s="58">
        <f ca="1">IF(B362=".",1,IF(AND(B362="",NOT(A362="")),IF(VLOOKUP(A362,TaskPlan!A:L,5,FALSE)&gt;0,VLOOKUP(A362,TaskPlan!A:L,5,FALSE),""),""))</f>
        <v>1</v>
      </c>
      <c r="N362" s="1" t="str">
        <f ca="1">IF(ISNA(VLOOKUP(A362,Projects!B:B,1,FALSE)),"","Yes")</f>
        <v/>
      </c>
    </row>
    <row r="363" spans="1:14" hidden="1" outlineLevel="1">
      <c r="A363" s="43" t="s">
        <v>150</v>
      </c>
      <c r="C363" s="44" t="s">
        <v>149</v>
      </c>
      <c r="D363" s="7" t="s">
        <v>11</v>
      </c>
      <c r="E363" s="26">
        <v>39932</v>
      </c>
      <c r="H363" s="37">
        <f ca="1">IF(AND(B363="",NOT(A363="")),VLOOKUP(A363,TaskPlan!A:M,13,FALSE),"")</f>
        <v>39933</v>
      </c>
      <c r="I363" s="38" t="str">
        <f ca="1">IF(AND(B363="",NOT(A363="")),VLOOKUP(A363,TaskPlan!A:M,12,FALSE),"")</f>
        <v>Closed</v>
      </c>
      <c r="J363" s="39" t="str">
        <f ca="1">IF(AND(B363="",NOT(A363="")),VLOOKUP(A363,TaskPlan!A:L,2,FALSE),"")</f>
        <v>Neil</v>
      </c>
      <c r="K363" s="39" t="str">
        <f ca="1">IF(AND(B363="",NOT(A363="")),IF(NOT(LEFT(VLOOKUP(A363,TaskPlan!A:L,3,FALSE),1) = "0"),VLOOKUP(A363,TaskPlan!A:L,3,FALSE),""),"")</f>
        <v/>
      </c>
      <c r="L363" s="55" t="str">
        <f ca="1">IF(AND(B363="",NOT(A363="")),IF(NOT(LEFT(VLOOKUP(A363,TaskPlan!A:L,3,FALSE),1) = "0"),VLOOKUP(A363,TaskPlan!A:M,4,FALSE),""),"")</f>
        <v/>
      </c>
      <c r="M363" s="58" t="str">
        <f ca="1">IF(B363=".",1,IF(AND(B363="",NOT(A363="")),IF(VLOOKUP(A363,TaskPlan!A:L,5,FALSE)&gt;0,VLOOKUP(A363,TaskPlan!A:L,5,FALSE),""),""))</f>
        <v/>
      </c>
      <c r="N363" s="1" t="str">
        <f ca="1">IF(ISNA(VLOOKUP(A363,Projects!B:B,1,FALSE)),"","Yes")</f>
        <v/>
      </c>
    </row>
    <row r="364" spans="1:14" hidden="1" outlineLevel="1">
      <c r="A364" s="43" t="s">
        <v>204</v>
      </c>
      <c r="C364" s="44" t="s">
        <v>205</v>
      </c>
      <c r="D364" s="7" t="s">
        <v>11</v>
      </c>
      <c r="E364" s="26">
        <v>39954</v>
      </c>
      <c r="H364" s="37">
        <f ca="1">IF(AND(B364="",NOT(A364="")),VLOOKUP(A364,TaskPlan!A:M,13,FALSE),"")</f>
        <v>39966</v>
      </c>
      <c r="I364" s="38" t="str">
        <f ca="1">IF(AND(B364="",NOT(A364="")),VLOOKUP(A364,TaskPlan!A:M,12,FALSE),"")</f>
        <v>Closed</v>
      </c>
      <c r="J364" s="39" t="str">
        <f ca="1">IF(AND(B364="",NOT(A364="")),VLOOKUP(A364,TaskPlan!A:L,2,FALSE),"")</f>
        <v>Neil</v>
      </c>
      <c r="K364" s="39" t="str">
        <f ca="1">IF(AND(B364="",NOT(A364="")),IF(NOT(LEFT(VLOOKUP(A364,TaskPlan!A:L,3,FALSE),1) = "0"),VLOOKUP(A364,TaskPlan!A:L,3,FALSE),""),"")</f>
        <v/>
      </c>
      <c r="L364" s="55" t="str">
        <f ca="1">IF(AND(B364="",NOT(A364="")),IF(NOT(LEFT(VLOOKUP(A364,TaskPlan!A:L,3,FALSE),1) = "0"),VLOOKUP(A364,TaskPlan!A:M,4,FALSE),""),"")</f>
        <v/>
      </c>
      <c r="M364" s="58" t="str">
        <f ca="1">IF(B364=".",1,IF(AND(B364="",NOT(A364="")),IF(VLOOKUP(A364,TaskPlan!A:L,5,FALSE)&gt;0,VLOOKUP(A364,TaskPlan!A:L,5,FALSE),""),""))</f>
        <v/>
      </c>
      <c r="N364" s="1" t="str">
        <f ca="1">IF(ISNA(VLOOKUP(A364,Projects!B:B,1,FALSE)),"","Yes")</f>
        <v/>
      </c>
    </row>
    <row r="365" spans="1:14" hidden="1" outlineLevel="1">
      <c r="A365" s="43" t="s">
        <v>252</v>
      </c>
      <c r="B365" s="7" t="s">
        <v>15</v>
      </c>
      <c r="C365" s="45" t="s">
        <v>251</v>
      </c>
      <c r="D365" s="7"/>
      <c r="E365" s="26"/>
      <c r="H365" s="37" t="str">
        <f ca="1">IF(AND(B365="",NOT(A365="")),VLOOKUP(A365,TaskPlan!A:M,13,FALSE),"")</f>
        <v/>
      </c>
      <c r="I365" s="38" t="str">
        <f ca="1">IF(AND(B365="",NOT(A365="")),VLOOKUP(A365,TaskPlan!A:M,12,FALSE),"")</f>
        <v/>
      </c>
      <c r="J365" s="39" t="str">
        <f ca="1">IF(AND(B365="",NOT(A365="")),VLOOKUP(A365,TaskPlan!A:L,2,FALSE),"")</f>
        <v/>
      </c>
      <c r="K365" s="39" t="str">
        <f ca="1">IF(AND(B365="",NOT(A365="")),IF(NOT(LEFT(VLOOKUP(A365,TaskPlan!A:L,3,FALSE),1) = "0"),VLOOKUP(A365,TaskPlan!A:L,3,FALSE),""),"")</f>
        <v/>
      </c>
      <c r="L365" s="55" t="str">
        <f ca="1">IF(AND(B365="",NOT(A365="")),IF(NOT(LEFT(VLOOKUP(A365,TaskPlan!A:L,3,FALSE),1) = "0"),VLOOKUP(A365,TaskPlan!A:M,4,FALSE),""),"")</f>
        <v/>
      </c>
      <c r="M365" s="58">
        <f ca="1">IF(B365=".",1,IF(AND(B365="",NOT(A365="")),IF(VLOOKUP(A365,TaskPlan!A:L,5,FALSE)&gt;0,VLOOKUP(A365,TaskPlan!A:L,5,FALSE),""),""))</f>
        <v>1</v>
      </c>
      <c r="N365" s="1" t="str">
        <f ca="1">IF(ISNA(VLOOKUP(A365,Projects!B:B,1,FALSE)),"","Yes")</f>
        <v/>
      </c>
    </row>
    <row r="366" spans="1:14" hidden="1" outlineLevel="1">
      <c r="A366" s="43" t="s">
        <v>253</v>
      </c>
      <c r="B366" s="7"/>
      <c r="C366" s="44" t="s">
        <v>254</v>
      </c>
      <c r="D366" s="7" t="s">
        <v>11</v>
      </c>
      <c r="E366" s="26">
        <v>39975</v>
      </c>
      <c r="H366" s="37">
        <f ca="1">IF(AND(B366="",NOT(A366="")),VLOOKUP(A366,TaskPlan!A:M,13,FALSE),"")</f>
        <v>40008</v>
      </c>
      <c r="I366" s="38" t="str">
        <f ca="1">IF(AND(B366="",NOT(A366="")),VLOOKUP(A366,TaskPlan!A:M,12,FALSE),"")</f>
        <v>Closed</v>
      </c>
      <c r="J366" s="39" t="str">
        <f ca="1">IF(AND(B366="",NOT(A366="")),VLOOKUP(A366,TaskPlan!A:L,2,FALSE),"")</f>
        <v>Pramendra</v>
      </c>
      <c r="K366" s="39" t="str">
        <f ca="1">IF(AND(B366="",NOT(A366="")),IF(NOT(LEFT(VLOOKUP(A366,TaskPlan!A:L,3,FALSE),1) = "0"),VLOOKUP(A366,TaskPlan!A:L,3,FALSE),""),"")</f>
        <v/>
      </c>
      <c r="L366" s="55" t="str">
        <f ca="1">IF(AND(B366="",NOT(A366="")),IF(NOT(LEFT(VLOOKUP(A366,TaskPlan!A:L,3,FALSE),1) = "0"),VLOOKUP(A366,TaskPlan!A:M,4,FALSE),""),"")</f>
        <v/>
      </c>
      <c r="M366" s="58" t="str">
        <f ca="1">IF(B366=".",1,IF(AND(B366="",NOT(A366="")),IF(VLOOKUP(A366,TaskPlan!A:L,5,FALSE)&gt;0,VLOOKUP(A366,TaskPlan!A:L,5,FALSE),""),""))</f>
        <v/>
      </c>
      <c r="N366" s="1" t="str">
        <f ca="1">IF(ISNA(VLOOKUP(A366,Projects!B:B,1,FALSE)),"","Yes")</f>
        <v/>
      </c>
    </row>
    <row r="367" spans="1:14" hidden="1" outlineLevel="1">
      <c r="A367" s="43" t="s">
        <v>255</v>
      </c>
      <c r="B367" s="7"/>
      <c r="C367" s="44" t="s">
        <v>256</v>
      </c>
      <c r="D367" s="7" t="s">
        <v>11</v>
      </c>
      <c r="E367" s="26">
        <v>39975</v>
      </c>
      <c r="H367" s="37">
        <f ca="1">IF(AND(B367="",NOT(A367="")),VLOOKUP(A367,TaskPlan!A:M,13,FALSE),"")</f>
        <v>40025</v>
      </c>
      <c r="I367" s="38" t="str">
        <f ca="1">IF(AND(B367="",NOT(A367="")),VLOOKUP(A367,TaskPlan!A:M,12,FALSE),"")</f>
        <v>Closed</v>
      </c>
      <c r="J367" s="39" t="str">
        <f ca="1">IF(AND(B367="",NOT(A367="")),VLOOKUP(A367,TaskPlan!A:L,2,FALSE),"")</f>
        <v>Ruth</v>
      </c>
      <c r="K367" s="39" t="str">
        <f ca="1">IF(AND(B367="",NOT(A367="")),IF(NOT(LEFT(VLOOKUP(A367,TaskPlan!A:L,3,FALSE),1) = "0"),VLOOKUP(A367,TaskPlan!A:L,3,FALSE),""),"")</f>
        <v/>
      </c>
      <c r="L367" s="55" t="str">
        <f ca="1">IF(AND(B367="",NOT(A367="")),IF(NOT(LEFT(VLOOKUP(A367,TaskPlan!A:L,3,FALSE),1) = "0"),VLOOKUP(A367,TaskPlan!A:M,4,FALSE),""),"")</f>
        <v/>
      </c>
      <c r="M367" s="58" t="str">
        <f ca="1">IF(B367=".",1,IF(AND(B367="",NOT(A367="")),IF(VLOOKUP(A367,TaskPlan!A:L,5,FALSE)&gt;0,VLOOKUP(A367,TaskPlan!A:L,5,FALSE),""),""))</f>
        <v/>
      </c>
      <c r="N367" s="1" t="str">
        <f ca="1">IF(ISNA(VLOOKUP(A367,Projects!B:B,1,FALSE)),"","Yes")</f>
        <v/>
      </c>
    </row>
    <row r="368" spans="1:14" hidden="1" outlineLevel="1">
      <c r="A368" s="43" t="s">
        <v>337</v>
      </c>
      <c r="B368" s="7"/>
      <c r="C368" s="44" t="s">
        <v>338</v>
      </c>
      <c r="D368" s="7" t="s">
        <v>11</v>
      </c>
      <c r="E368" s="26">
        <v>40024</v>
      </c>
      <c r="H368" s="37">
        <f ca="1">IF(AND(B368="",NOT(A368="")),VLOOKUP(A368,TaskPlan!A:M,13,FALSE),"")</f>
        <v>40025</v>
      </c>
      <c r="I368" s="38" t="str">
        <f ca="1">IF(AND(B368="",NOT(A368="")),VLOOKUP(A368,TaskPlan!A:M,12,FALSE),"")</f>
        <v>Closed</v>
      </c>
      <c r="J368" s="39" t="str">
        <f ca="1">IF(AND(B368="",NOT(A368="")),VLOOKUP(A368,TaskPlan!A:L,2,FALSE),"")</f>
        <v>Ruth</v>
      </c>
      <c r="K368" s="39" t="str">
        <f ca="1">IF(AND(B368="",NOT(A368="")),IF(NOT(LEFT(VLOOKUP(A368,TaskPlan!A:L,3,FALSE),1) = "0"),VLOOKUP(A368,TaskPlan!A:L,3,FALSE),""),"")</f>
        <v/>
      </c>
      <c r="L368" s="55" t="str">
        <f ca="1">IF(AND(B368="",NOT(A368="")),IF(NOT(LEFT(VLOOKUP(A368,TaskPlan!A:L,3,FALSE),1) = "0"),VLOOKUP(A368,TaskPlan!A:M,4,FALSE),""),"")</f>
        <v/>
      </c>
      <c r="M368" s="58" t="str">
        <f ca="1">IF(B368=".",1,IF(AND(B368="",NOT(A368="")),IF(VLOOKUP(A368,TaskPlan!A:L,5,FALSE)&gt;0,VLOOKUP(A368,TaskPlan!A:L,5,FALSE),""),""))</f>
        <v/>
      </c>
      <c r="N368" s="1" t="str">
        <f ca="1">IF(ISNA(VLOOKUP(A368,Projects!B:B,1,FALSE)),"","Yes")</f>
        <v/>
      </c>
    </row>
    <row r="369" spans="1:14" hidden="1" outlineLevel="1">
      <c r="A369" s="43" t="s">
        <v>410</v>
      </c>
      <c r="B369" s="7"/>
      <c r="C369" s="44" t="s">
        <v>411</v>
      </c>
      <c r="D369" s="7" t="s">
        <v>11</v>
      </c>
      <c r="E369" s="26">
        <v>40045</v>
      </c>
      <c r="H369" s="37">
        <f ca="1">IF(AND(B369="",NOT(A369="")),VLOOKUP(A369,TaskPlan!A:M,13,FALSE),"")</f>
        <v>40053</v>
      </c>
      <c r="I369" s="38" t="str">
        <f ca="1">IF(AND(B369="",NOT(A369="")),VLOOKUP(A369,TaskPlan!A:M,12,FALSE),"")</f>
        <v>Closed</v>
      </c>
      <c r="J369" s="39" t="str">
        <f ca="1">IF(AND(B369="",NOT(A369="")),VLOOKUP(A369,TaskPlan!A:L,2,FALSE),"")</f>
        <v>Ruth</v>
      </c>
      <c r="K369" s="39" t="str">
        <f ca="1">IF(AND(B369="",NOT(A369="")),IF(NOT(LEFT(VLOOKUP(A369,TaskPlan!A:L,3,FALSE),1) = "0"),VLOOKUP(A369,TaskPlan!A:L,3,FALSE),""),"")</f>
        <v/>
      </c>
      <c r="L369" s="55" t="str">
        <f ca="1">IF(AND(B369="",NOT(A369="")),IF(NOT(LEFT(VLOOKUP(A369,TaskPlan!A:L,3,FALSE),1) = "0"),VLOOKUP(A369,TaskPlan!A:M,4,FALSE),""),"")</f>
        <v/>
      </c>
      <c r="M369" s="58" t="str">
        <f ca="1">IF(B369=".",1,IF(AND(B369="",NOT(A369="")),IF(VLOOKUP(A369,TaskPlan!A:L,5,FALSE)&gt;0,VLOOKUP(A369,TaskPlan!A:L,5,FALSE),""),""))</f>
        <v/>
      </c>
      <c r="N369" s="1" t="str">
        <f ca="1">IF(ISNA(VLOOKUP(A369,Projects!B:B,1,FALSE)),"","Yes")</f>
        <v/>
      </c>
    </row>
    <row r="370" spans="1:14" ht="25.5" hidden="1" outlineLevel="1">
      <c r="A370" s="43" t="s">
        <v>1534</v>
      </c>
      <c r="B370" s="7"/>
      <c r="C370" s="44" t="s">
        <v>1535</v>
      </c>
      <c r="D370" s="7" t="s">
        <v>11</v>
      </c>
      <c r="E370" s="26">
        <v>40438</v>
      </c>
      <c r="F370" s="25">
        <v>3</v>
      </c>
      <c r="G370" s="25" t="s">
        <v>1098</v>
      </c>
      <c r="H370" s="37">
        <f ca="1">IF(AND(B370="",NOT(A370="")),VLOOKUP(A370,TaskPlan!A:M,13,FALSE),"")</f>
        <v>40438</v>
      </c>
      <c r="I370" s="38" t="str">
        <f ca="1">IF(AND(B370="",NOT(A370="")),VLOOKUP(A370,TaskPlan!A:M,12,FALSE),"")</f>
        <v>Not Started</v>
      </c>
      <c r="J370" s="39" t="str">
        <f ca="1">IF(AND(B370="",NOT(A370="")),VLOOKUP(A370,TaskPlan!A:L,2,FALSE),"")</f>
        <v>Unassigned</v>
      </c>
      <c r="K370" s="39" t="str">
        <f ca="1">IF(AND(B370="",NOT(A370="")),IF(NOT(LEFT(VLOOKUP(A370,TaskPlan!A:L,3,FALSE),1) = "0"),VLOOKUP(A370,TaskPlan!A:L,3,FALSE),""),"")</f>
        <v>3-MED</v>
      </c>
      <c r="L370" s="55">
        <f ca="1">IF(AND(B370="",NOT(A370="")),IF(NOT(LEFT(VLOOKUP(A370,TaskPlan!A:L,3,FALSE),1) = "0"),VLOOKUP(A370,TaskPlan!A:M,4,FALSE),""),"")</f>
        <v>0</v>
      </c>
      <c r="M370" s="58" t="str">
        <f ca="1">IF(B370=".",1,IF(AND(B370="",NOT(A370="")),IF(VLOOKUP(A370,TaskPlan!A:L,5,FALSE)&gt;0,VLOOKUP(A370,TaskPlan!A:L,5,FALSE),""),""))</f>
        <v/>
      </c>
      <c r="N370" s="1" t="str">
        <f ca="1">IF(ISNA(VLOOKUP(A370,Projects!B:B,1,FALSE)),"","Yes")</f>
        <v/>
      </c>
    </row>
    <row r="371" spans="1:14" hidden="1" outlineLevel="1">
      <c r="A371" s="43" t="s">
        <v>702</v>
      </c>
      <c r="B371" s="7" t="s">
        <v>15</v>
      </c>
      <c r="C371" s="45" t="s">
        <v>703</v>
      </c>
      <c r="D371" s="7"/>
      <c r="E371" s="26"/>
      <c r="H371" s="37" t="str">
        <f ca="1">IF(AND(B371="",NOT(A371="")),VLOOKUP(A371,TaskPlan!A:M,13,FALSE),"")</f>
        <v/>
      </c>
      <c r="I371" s="38" t="str">
        <f ca="1">IF(AND(B371="",NOT(A371="")),VLOOKUP(A371,TaskPlan!A:M,12,FALSE),"")</f>
        <v/>
      </c>
      <c r="J371" s="39" t="str">
        <f ca="1">IF(AND(B371="",NOT(A371="")),VLOOKUP(A371,TaskPlan!A:L,2,FALSE),"")</f>
        <v/>
      </c>
      <c r="K371" s="39" t="str">
        <f ca="1">IF(AND(B371="",NOT(A371="")),IF(NOT(LEFT(VLOOKUP(A371,TaskPlan!A:L,3,FALSE),1) = "0"),VLOOKUP(A371,TaskPlan!A:L,3,FALSE),""),"")</f>
        <v/>
      </c>
      <c r="L371" s="55" t="str">
        <f ca="1">IF(AND(B371="",NOT(A371="")),IF(NOT(LEFT(VLOOKUP(A371,TaskPlan!A:L,3,FALSE),1) = "0"),VLOOKUP(A371,TaskPlan!A:M,4,FALSE),""),"")</f>
        <v/>
      </c>
      <c r="M371" s="58">
        <f ca="1">IF(B371=".",1,IF(AND(B371="",NOT(A371="")),IF(VLOOKUP(A371,TaskPlan!A:L,5,FALSE)&gt;0,VLOOKUP(A371,TaskPlan!A:L,5,FALSE),""),""))</f>
        <v>1</v>
      </c>
      <c r="N371" s="1" t="str">
        <f ca="1">IF(ISNA(VLOOKUP(A371,Projects!B:B,1,FALSE)),"","Yes")</f>
        <v/>
      </c>
    </row>
    <row r="372" spans="1:14" hidden="1" outlineLevel="1">
      <c r="A372" s="43" t="s">
        <v>704</v>
      </c>
      <c r="C372" s="44" t="s">
        <v>1716</v>
      </c>
      <c r="D372" s="7" t="s">
        <v>11</v>
      </c>
      <c r="E372" s="26">
        <v>40505</v>
      </c>
      <c r="F372" s="25">
        <v>5</v>
      </c>
      <c r="G372" s="28" t="s">
        <v>1099</v>
      </c>
      <c r="H372" s="37">
        <f ca="1">IF(AND(B372="",NOT(A372="")),VLOOKUP(A372,TaskPlan!A:M,13,FALSE),"")</f>
        <v>40394</v>
      </c>
      <c r="I372" s="38" t="str">
        <f ca="1">IF(AND(B372="",NOT(A372="")),VLOOKUP(A372,TaskPlan!A:M,12,FALSE),"")</f>
        <v>Closed</v>
      </c>
      <c r="J372" s="39" t="str">
        <f ca="1">IF(AND(B372="",NOT(A372="")),VLOOKUP(A372,TaskPlan!A:L,2,FALSE),"")</f>
        <v>Sachin</v>
      </c>
      <c r="K372" s="39" t="str">
        <f ca="1">IF(AND(B372="",NOT(A372="")),IF(NOT(LEFT(VLOOKUP(A372,TaskPlan!A:L,3,FALSE),1) = "0"),VLOOKUP(A372,TaskPlan!A:L,3,FALSE),""),"")</f>
        <v/>
      </c>
      <c r="L372" s="55" t="str">
        <f ca="1">IF(AND(B372="",NOT(A372="")),IF(NOT(LEFT(VLOOKUP(A372,TaskPlan!A:L,3,FALSE),1) = "0"),VLOOKUP(A372,TaskPlan!A:M,4,FALSE),""),"")</f>
        <v/>
      </c>
      <c r="M372" s="58" t="str">
        <f ca="1">IF(B372=".",1,IF(AND(B372="",NOT(A372="")),IF(VLOOKUP(A372,TaskPlan!A:L,5,FALSE)&gt;0,VLOOKUP(A372,TaskPlan!A:L,5,FALSE),""),""))</f>
        <v/>
      </c>
      <c r="N372" s="1" t="str">
        <f ca="1">IF(ISNA(VLOOKUP(A372,Projects!B:B,1,FALSE)),"","Yes")</f>
        <v>Yes</v>
      </c>
    </row>
    <row r="373" spans="1:14" hidden="1" outlineLevel="1">
      <c r="A373" s="43" t="s">
        <v>705</v>
      </c>
      <c r="C373" s="44" t="s">
        <v>1717</v>
      </c>
      <c r="D373" s="7" t="s">
        <v>919</v>
      </c>
      <c r="E373" s="26">
        <v>40505</v>
      </c>
      <c r="F373" s="25">
        <v>9</v>
      </c>
      <c r="G373" s="28" t="s">
        <v>1099</v>
      </c>
      <c r="H373" s="37">
        <f ca="1">IF(AND(B373="",NOT(A373="")),VLOOKUP(A373,TaskPlan!A:M,13,FALSE),"")</f>
        <v>40483</v>
      </c>
      <c r="I373" s="38" t="str">
        <f ca="1">IF(AND(B373="",NOT(A373="")),VLOOKUP(A373,TaskPlan!A:M,12,FALSE),"")</f>
        <v>Closed</v>
      </c>
      <c r="J373" s="39" t="str">
        <f ca="1">IF(AND(B373="",NOT(A373="")),VLOOKUP(A373,TaskPlan!A:L,2,FALSE),"")</f>
        <v>Sachin</v>
      </c>
      <c r="K373" s="39" t="str">
        <f ca="1">IF(AND(B373="",NOT(A373="")),IF(NOT(LEFT(VLOOKUP(A373,TaskPlan!A:L,3,FALSE),1) = "0"),VLOOKUP(A373,TaskPlan!A:L,3,FALSE),""),"")</f>
        <v/>
      </c>
      <c r="L373" s="55" t="str">
        <f ca="1">IF(AND(B373="",NOT(A373="")),IF(NOT(LEFT(VLOOKUP(A373,TaskPlan!A:L,3,FALSE),1) = "0"),VLOOKUP(A373,TaskPlan!A:M,4,FALSE),""),"")</f>
        <v/>
      </c>
      <c r="M373" s="58" t="str">
        <f ca="1">IF(B373=".",1,IF(AND(B373="",NOT(A373="")),IF(VLOOKUP(A373,TaskPlan!A:L,5,FALSE)&gt;0,VLOOKUP(A373,TaskPlan!A:L,5,FALSE),""),""))</f>
        <v/>
      </c>
      <c r="N373" s="1" t="str">
        <f ca="1">IF(ISNA(VLOOKUP(A373,Projects!B:B,1,FALSE)),"","Yes")</f>
        <v>Yes</v>
      </c>
    </row>
    <row r="374" spans="1:14" ht="25.5" hidden="1" outlineLevel="1">
      <c r="A374" s="43" t="s">
        <v>1397</v>
      </c>
      <c r="C374" s="44" t="s">
        <v>1718</v>
      </c>
      <c r="D374" s="7" t="s">
        <v>11</v>
      </c>
      <c r="E374" s="26">
        <v>40505</v>
      </c>
      <c r="F374" s="25">
        <v>2</v>
      </c>
      <c r="G374" s="28" t="s">
        <v>1099</v>
      </c>
      <c r="H374" s="37">
        <f ca="1">IF(AND(B374="",NOT(A374="")),VLOOKUP(A374,TaskPlan!A:M,13,FALSE),"")</f>
        <v>40483</v>
      </c>
      <c r="I374" s="38" t="str">
        <f ca="1">IF(AND(B374="",NOT(A374="")),VLOOKUP(A374,TaskPlan!A:M,12,FALSE),"")</f>
        <v>Closed</v>
      </c>
      <c r="J374" s="39" t="str">
        <f ca="1">IF(AND(B374="",NOT(A374="")),VLOOKUP(A374,TaskPlan!A:L,2,FALSE),"")</f>
        <v>Sachin</v>
      </c>
      <c r="K374" s="39" t="str">
        <f ca="1">IF(AND(B374="",NOT(A374="")),IF(NOT(LEFT(VLOOKUP(A374,TaskPlan!A:L,3,FALSE),1) = "0"),VLOOKUP(A374,TaskPlan!A:L,3,FALSE),""),"")</f>
        <v/>
      </c>
      <c r="L374" s="55" t="str">
        <f ca="1">IF(AND(B374="",NOT(A374="")),IF(NOT(LEFT(VLOOKUP(A374,TaskPlan!A:L,3,FALSE),1) = "0"),VLOOKUP(A374,TaskPlan!A:M,4,FALSE),""),"")</f>
        <v/>
      </c>
      <c r="M374" s="58" t="str">
        <f ca="1">IF(B374=".",1,IF(AND(B374="",NOT(A374="")),IF(VLOOKUP(A374,TaskPlan!A:L,5,FALSE)&gt;0,VLOOKUP(A374,TaskPlan!A:L,5,FALSE),""),""))</f>
        <v/>
      </c>
      <c r="N374" s="1" t="str">
        <f ca="1">IF(ISNA(VLOOKUP(A374,Projects!B:B,1,FALSE)),"","Yes")</f>
        <v>Yes</v>
      </c>
    </row>
    <row r="375" spans="1:14" hidden="1" outlineLevel="1">
      <c r="A375" s="43" t="s">
        <v>1398</v>
      </c>
      <c r="C375" s="44" t="s">
        <v>1719</v>
      </c>
      <c r="D375" s="7" t="s">
        <v>919</v>
      </c>
      <c r="E375" s="26">
        <v>40505</v>
      </c>
      <c r="F375" s="25">
        <v>2</v>
      </c>
      <c r="G375" s="28" t="s">
        <v>1099</v>
      </c>
      <c r="H375" s="37">
        <f ca="1">IF(AND(B375="",NOT(A375="")),VLOOKUP(A375,TaskPlan!A:M,13,FALSE),"")</f>
        <v>40505</v>
      </c>
      <c r="I375" s="38" t="str">
        <f ca="1">IF(AND(B375="",NOT(A375="")),VLOOKUP(A375,TaskPlan!A:M,12,FALSE),"")</f>
        <v>In Progress</v>
      </c>
      <c r="J375" s="39" t="str">
        <f ca="1">IF(AND(B375="",NOT(A375="")),VLOOKUP(A375,TaskPlan!A:L,2,FALSE),"")</f>
        <v>Sachin</v>
      </c>
      <c r="K375" s="39" t="str">
        <f ca="1">IF(AND(B375="",NOT(A375="")),IF(NOT(LEFT(VLOOKUP(A375,TaskPlan!A:L,3,FALSE),1) = "0"),VLOOKUP(A375,TaskPlan!A:L,3,FALSE),""),"")</f>
        <v>4-HIGH</v>
      </c>
      <c r="L375" s="55">
        <f ca="1">IF(AND(B375="",NOT(A375="")),IF(NOT(LEFT(VLOOKUP(A375,TaskPlan!A:L,3,FALSE),1) = "0"),VLOOKUP(A375,TaskPlan!A:M,4,FALSE),""),"")</f>
        <v>0</v>
      </c>
      <c r="M375" s="58" t="str">
        <f ca="1">IF(B375=".",1,IF(AND(B375="",NOT(A375="")),IF(VLOOKUP(A375,TaskPlan!A:L,5,FALSE)&gt;0,VLOOKUP(A375,TaskPlan!A:L,5,FALSE),""),""))</f>
        <v/>
      </c>
      <c r="N375" s="1" t="str">
        <f ca="1">IF(ISNA(VLOOKUP(A375,Projects!B:B,1,FALSE)),"","Yes")</f>
        <v>Yes</v>
      </c>
    </row>
    <row r="376" spans="1:14" hidden="1" outlineLevel="1">
      <c r="A376" s="43" t="s">
        <v>1399</v>
      </c>
      <c r="C376" s="44" t="s">
        <v>1720</v>
      </c>
      <c r="D376" s="7" t="s">
        <v>11</v>
      </c>
      <c r="E376" s="26">
        <v>40505</v>
      </c>
      <c r="F376" s="25">
        <v>1</v>
      </c>
      <c r="G376" s="28" t="s">
        <v>1099</v>
      </c>
      <c r="H376" s="37">
        <f ca="1">IF(AND(B376="",NOT(A376="")),VLOOKUP(A376,TaskPlan!A:M,13,FALSE),"")</f>
        <v>40505</v>
      </c>
      <c r="I376" s="38" t="str">
        <f ca="1">IF(AND(B376="",NOT(A376="")),VLOOKUP(A376,TaskPlan!A:M,12,FALSE),"")</f>
        <v>Not Started</v>
      </c>
      <c r="J376" s="39" t="str">
        <f ca="1">IF(AND(B376="",NOT(A376="")),VLOOKUP(A376,TaskPlan!A:L,2,FALSE),"")</f>
        <v>Sachin</v>
      </c>
      <c r="K376" s="39" t="str">
        <f ca="1">IF(AND(B376="",NOT(A376="")),IF(NOT(LEFT(VLOOKUP(A376,TaskPlan!A:L,3,FALSE),1) = "0"),VLOOKUP(A376,TaskPlan!A:L,3,FALSE),""),"")</f>
        <v>4-HIGH</v>
      </c>
      <c r="L376" s="55">
        <f ca="1">IF(AND(B376="",NOT(A376="")),IF(NOT(LEFT(VLOOKUP(A376,TaskPlan!A:L,3,FALSE),1) = "0"),VLOOKUP(A376,TaskPlan!A:M,4,FALSE),""),"")</f>
        <v>0</v>
      </c>
      <c r="M376" s="58" t="str">
        <f ca="1">IF(B376=".",1,IF(AND(B376="",NOT(A376="")),IF(VLOOKUP(A376,TaskPlan!A:L,5,FALSE)&gt;0,VLOOKUP(A376,TaskPlan!A:L,5,FALSE),""),""))</f>
        <v/>
      </c>
      <c r="N376" s="1" t="str">
        <f ca="1">IF(ISNA(VLOOKUP(A376,Projects!B:B,1,FALSE)),"","Yes")</f>
        <v>Yes</v>
      </c>
    </row>
    <row r="377" spans="1:14" hidden="1" outlineLevel="1">
      <c r="A377" s="43" t="s">
        <v>1400</v>
      </c>
      <c r="C377" s="44" t="s">
        <v>1721</v>
      </c>
      <c r="D377" s="7" t="s">
        <v>11</v>
      </c>
      <c r="E377" s="26">
        <v>40505</v>
      </c>
      <c r="F377" s="25">
        <v>1</v>
      </c>
      <c r="G377" s="28" t="s">
        <v>1099</v>
      </c>
      <c r="H377" s="37">
        <f ca="1">IF(AND(B377="",NOT(A377="")),VLOOKUP(A377,TaskPlan!A:M,13,FALSE),"")</f>
        <v>40505</v>
      </c>
      <c r="I377" s="38" t="str">
        <f ca="1">IF(AND(B377="",NOT(A377="")),VLOOKUP(A377,TaskPlan!A:M,12,FALSE),"")</f>
        <v>Not Started</v>
      </c>
      <c r="J377" s="39" t="str">
        <f ca="1">IF(AND(B377="",NOT(A377="")),VLOOKUP(A377,TaskPlan!A:L,2,FALSE),"")</f>
        <v>Sachin</v>
      </c>
      <c r="K377" s="39" t="str">
        <f ca="1">IF(AND(B377="",NOT(A377="")),IF(NOT(LEFT(VLOOKUP(A377,TaskPlan!A:L,3,FALSE),1) = "0"),VLOOKUP(A377,TaskPlan!A:L,3,FALSE),""),"")</f>
        <v>4-HIGH</v>
      </c>
      <c r="L377" s="55">
        <f ca="1">IF(AND(B377="",NOT(A377="")),IF(NOT(LEFT(VLOOKUP(A377,TaskPlan!A:L,3,FALSE),1) = "0"),VLOOKUP(A377,TaskPlan!A:M,4,FALSE),""),"")</f>
        <v>0</v>
      </c>
      <c r="M377" s="58" t="str">
        <f ca="1">IF(B377=".",1,IF(AND(B377="",NOT(A377="")),IF(VLOOKUP(A377,TaskPlan!A:L,5,FALSE)&gt;0,VLOOKUP(A377,TaskPlan!A:L,5,FALSE),""),""))</f>
        <v/>
      </c>
      <c r="N377" s="1" t="str">
        <f ca="1">IF(ISNA(VLOOKUP(A377,Projects!B:B,1,FALSE)),"","Yes")</f>
        <v>Yes</v>
      </c>
    </row>
    <row r="378" spans="1:14" hidden="1" outlineLevel="1">
      <c r="A378" s="43" t="s">
        <v>1056</v>
      </c>
      <c r="B378" s="7" t="s">
        <v>15</v>
      </c>
      <c r="C378" s="45" t="s">
        <v>1057</v>
      </c>
      <c r="D378" s="7"/>
      <c r="E378" s="26"/>
      <c r="H378" s="37" t="str">
        <f ca="1">IF(AND(B378="",NOT(A378="")),VLOOKUP(A378,TaskPlan!A:M,13,FALSE),"")</f>
        <v/>
      </c>
      <c r="I378" s="38" t="str">
        <f ca="1">IF(AND(B378="",NOT(A378="")),VLOOKUP(A378,TaskPlan!A:M,12,FALSE),"")</f>
        <v/>
      </c>
      <c r="J378" s="39" t="str">
        <f ca="1">IF(AND(B378="",NOT(A378="")),VLOOKUP(A378,TaskPlan!A:L,2,FALSE),"")</f>
        <v/>
      </c>
      <c r="K378" s="39" t="str">
        <f ca="1">IF(AND(B378="",NOT(A378="")),IF(NOT(LEFT(VLOOKUP(A378,TaskPlan!A:L,3,FALSE),1) = "0"),VLOOKUP(A378,TaskPlan!A:L,3,FALSE),""),"")</f>
        <v/>
      </c>
      <c r="L378" s="55" t="str">
        <f ca="1">IF(AND(B378="",NOT(A378="")),IF(NOT(LEFT(VLOOKUP(A378,TaskPlan!A:L,3,FALSE),1) = "0"),VLOOKUP(A378,TaskPlan!A:M,4,FALSE),""),"")</f>
        <v/>
      </c>
      <c r="M378" s="58">
        <f ca="1">IF(B378=".",1,IF(AND(B378="",NOT(A378="")),IF(VLOOKUP(A378,TaskPlan!A:L,5,FALSE)&gt;0,VLOOKUP(A378,TaskPlan!A:L,5,FALSE),""),""))</f>
        <v>1</v>
      </c>
      <c r="N378" s="1" t="str">
        <f ca="1">IF(ISNA(VLOOKUP(A378,Projects!B:B,1,FALSE)),"","Yes")</f>
        <v/>
      </c>
    </row>
    <row r="379" spans="1:14" ht="25.5" hidden="1" outlineLevel="1">
      <c r="A379" s="43" t="s">
        <v>1058</v>
      </c>
      <c r="C379" s="44" t="s">
        <v>1059</v>
      </c>
      <c r="D379" s="7" t="s">
        <v>11</v>
      </c>
      <c r="E379" s="26">
        <v>40281</v>
      </c>
      <c r="F379" s="25">
        <v>1</v>
      </c>
      <c r="G379" s="25" t="s">
        <v>1098</v>
      </c>
      <c r="H379" s="37">
        <f ca="1">IF(AND(B379="",NOT(A379="")),VLOOKUP(A379,TaskPlan!A:M,13,FALSE),"")</f>
        <v>40457</v>
      </c>
      <c r="I379" s="38" t="str">
        <f ca="1">IF(AND(B379="",NOT(A379="")),VLOOKUP(A379,TaskPlan!A:M,12,FALSE),"")</f>
        <v>Closed</v>
      </c>
      <c r="J379" s="39" t="str">
        <f ca="1">IF(AND(B379="",NOT(A379="")),VLOOKUP(A379,TaskPlan!A:L,2,FALSE),"")</f>
        <v>Unassigned</v>
      </c>
      <c r="K379" s="39" t="str">
        <f ca="1">IF(AND(B379="",NOT(A379="")),IF(NOT(LEFT(VLOOKUP(A379,TaskPlan!A:L,3,FALSE),1) = "0"),VLOOKUP(A379,TaskPlan!A:L,3,FALSE),""),"")</f>
        <v/>
      </c>
      <c r="L379" s="55" t="str">
        <f ca="1">IF(AND(B379="",NOT(A379="")),IF(NOT(LEFT(VLOOKUP(A379,TaskPlan!A:L,3,FALSE),1) = "0"),VLOOKUP(A379,TaskPlan!A:M,4,FALSE),""),"")</f>
        <v/>
      </c>
      <c r="M379" s="58" t="str">
        <f ca="1">IF(B379=".",1,IF(AND(B379="",NOT(A379="")),IF(VLOOKUP(A379,TaskPlan!A:L,5,FALSE)&gt;0,VLOOKUP(A379,TaskPlan!A:L,5,FALSE),""),""))</f>
        <v/>
      </c>
      <c r="N379" s="1" t="str">
        <f ca="1">IF(ISNA(VLOOKUP(A379,Projects!B:B,1,FALSE)),"","Yes")</f>
        <v/>
      </c>
    </row>
    <row r="380" spans="1:14" ht="38.25" hidden="1" outlineLevel="1">
      <c r="A380" s="43" t="s">
        <v>1060</v>
      </c>
      <c r="C380" s="44" t="s">
        <v>1061</v>
      </c>
      <c r="D380" s="7" t="s">
        <v>11</v>
      </c>
      <c r="E380" s="26">
        <v>40281</v>
      </c>
      <c r="F380" s="25">
        <v>1</v>
      </c>
      <c r="G380" s="25" t="s">
        <v>1098</v>
      </c>
      <c r="H380" s="37">
        <f ca="1">IF(AND(B380="",NOT(A380="")),VLOOKUP(A380,TaskPlan!A:M,13,FALSE),"")</f>
        <v>40308</v>
      </c>
      <c r="I380" s="38" t="str">
        <f ca="1">IF(AND(B380="",NOT(A380="")),VLOOKUP(A380,TaskPlan!A:M,12,FALSE),"")</f>
        <v>Not Started</v>
      </c>
      <c r="J380" s="39" t="str">
        <f ca="1">IF(AND(B380="",NOT(A380="")),VLOOKUP(A380,TaskPlan!A:L,2,FALSE),"")</f>
        <v>Neil</v>
      </c>
      <c r="K380" s="39" t="str">
        <f ca="1">IF(AND(B380="",NOT(A380="")),IF(NOT(LEFT(VLOOKUP(A380,TaskPlan!A:L,3,FALSE),1) = "0"),VLOOKUP(A380,TaskPlan!A:L,3,FALSE),""),"")</f>
        <v>3-MED</v>
      </c>
      <c r="L380" s="55">
        <f ca="1">IF(AND(B380="",NOT(A380="")),IF(NOT(LEFT(VLOOKUP(A380,TaskPlan!A:L,3,FALSE),1) = "0"),VLOOKUP(A380,TaskPlan!A:M,4,FALSE),""),"")</f>
        <v>0</v>
      </c>
      <c r="M380" s="58" t="str">
        <f ca="1">IF(B380=".",1,IF(AND(B380="",NOT(A380="")),IF(VLOOKUP(A380,TaskPlan!A:L,5,FALSE)&gt;0,VLOOKUP(A380,TaskPlan!A:L,5,FALSE),""),""))</f>
        <v/>
      </c>
      <c r="N380" s="1" t="str">
        <f ca="1">IF(ISNA(VLOOKUP(A380,Projects!B:B,1,FALSE)),"","Yes")</f>
        <v/>
      </c>
    </row>
    <row r="381" spans="1:14" ht="25.5" hidden="1" outlineLevel="1">
      <c r="A381" s="43" t="s">
        <v>1369</v>
      </c>
      <c r="C381" s="44" t="s">
        <v>1370</v>
      </c>
      <c r="D381" s="7" t="s">
        <v>11</v>
      </c>
      <c r="E381" s="26">
        <v>40387</v>
      </c>
      <c r="F381" s="25">
        <v>1</v>
      </c>
      <c r="G381" s="25" t="s">
        <v>1098</v>
      </c>
      <c r="H381" s="37">
        <f ca="1">IF(AND(B381="",NOT(A381="")),VLOOKUP(A381,TaskPlan!A:M,13,FALSE),"")</f>
        <v>40387</v>
      </c>
      <c r="I381" s="38" t="str">
        <f ca="1">IF(AND(B381="",NOT(A381="")),VLOOKUP(A381,TaskPlan!A:M,12,FALSE),"")</f>
        <v>Not Started</v>
      </c>
      <c r="J381" s="39" t="str">
        <f ca="1">IF(AND(B381="",NOT(A381="")),VLOOKUP(A381,TaskPlan!A:L,2,FALSE),"")</f>
        <v>Unassigned</v>
      </c>
      <c r="K381" s="39" t="str">
        <f ca="1">IF(AND(B381="",NOT(A381="")),IF(NOT(LEFT(VLOOKUP(A381,TaskPlan!A:L,3,FALSE),1) = "0"),VLOOKUP(A381,TaskPlan!A:L,3,FALSE),""),"")</f>
        <v>3-MED</v>
      </c>
      <c r="L381" s="55">
        <f ca="1">IF(AND(B381="",NOT(A381="")),IF(NOT(LEFT(VLOOKUP(A381,TaskPlan!A:L,3,FALSE),1) = "0"),VLOOKUP(A381,TaskPlan!A:M,4,FALSE),""),"")</f>
        <v>0</v>
      </c>
      <c r="M381" s="58" t="str">
        <f ca="1">IF(B381=".",1,IF(AND(B381="",NOT(A381="")),IF(VLOOKUP(A381,TaskPlan!A:L,5,FALSE)&gt;0,VLOOKUP(A381,TaskPlan!A:L,5,FALSE),""),""))</f>
        <v/>
      </c>
      <c r="N381" s="1" t="str">
        <f ca="1">IF(ISNA(VLOOKUP(A381,Projects!B:B,1,FALSE)),"","Yes")</f>
        <v/>
      </c>
    </row>
    <row r="382" spans="1:14" ht="38.25" hidden="1" outlineLevel="1">
      <c r="A382" s="43" t="s">
        <v>1712</v>
      </c>
      <c r="C382" s="44" t="s">
        <v>1713</v>
      </c>
      <c r="D382" s="7" t="s">
        <v>11</v>
      </c>
      <c r="E382" s="26">
        <v>40505</v>
      </c>
      <c r="F382" s="25">
        <v>1</v>
      </c>
      <c r="G382" s="25" t="s">
        <v>1098</v>
      </c>
      <c r="H382" s="37">
        <f ca="1">IF(AND(B382="",NOT(A382="")),VLOOKUP(A382,TaskPlan!A:M,13,FALSE),"")</f>
        <v>40505</v>
      </c>
      <c r="I382" s="38" t="str">
        <f ca="1">IF(AND(B382="",NOT(A382="")),VLOOKUP(A382,TaskPlan!A:M,12,FALSE),"")</f>
        <v>Not Started</v>
      </c>
      <c r="J382" s="39" t="str">
        <f ca="1">IF(AND(B382="",NOT(A382="")),VLOOKUP(A382,TaskPlan!A:L,2,FALSE),"")</f>
        <v>Unassigned</v>
      </c>
      <c r="K382" s="39" t="str">
        <f ca="1">IF(AND(B382="",NOT(A382="")),IF(NOT(LEFT(VLOOKUP(A382,TaskPlan!A:L,3,FALSE),1) = "0"),VLOOKUP(A382,TaskPlan!A:L,3,FALSE),""),"")</f>
        <v>4-HIGH</v>
      </c>
      <c r="L382" s="55">
        <f ca="1">IF(AND(B382="",NOT(A382="")),IF(NOT(LEFT(VLOOKUP(A382,TaskPlan!A:L,3,FALSE),1) = "0"),VLOOKUP(A382,TaskPlan!A:M,4,FALSE),""),"")</f>
        <v>0</v>
      </c>
      <c r="M382" s="58" t="str">
        <f ca="1">IF(B382=".",1,IF(AND(B382="",NOT(A382="")),IF(VLOOKUP(A382,TaskPlan!A:L,5,FALSE)&gt;0,VLOOKUP(A382,TaskPlan!A:L,5,FALSE),""),""))</f>
        <v/>
      </c>
      <c r="N382" s="1" t="str">
        <f ca="1">IF(ISNA(VLOOKUP(A382,Projects!B:B,1,FALSE)),"","Yes")</f>
        <v/>
      </c>
    </row>
    <row r="383" spans="1:14" ht="38.25" hidden="1" outlineLevel="1">
      <c r="A383" s="43" t="s">
        <v>1714</v>
      </c>
      <c r="C383" s="44" t="s">
        <v>1715</v>
      </c>
      <c r="D383" s="7" t="s">
        <v>11</v>
      </c>
      <c r="E383" s="26">
        <v>40505</v>
      </c>
      <c r="F383" s="25">
        <v>1</v>
      </c>
      <c r="G383" s="25" t="s">
        <v>1098</v>
      </c>
      <c r="H383" s="37">
        <f ca="1">IF(AND(B383="",NOT(A383="")),VLOOKUP(A383,TaskPlan!A:M,13,FALSE),"")</f>
        <v>40505</v>
      </c>
      <c r="I383" s="38" t="str">
        <f ca="1">IF(AND(B383="",NOT(A383="")),VLOOKUP(A383,TaskPlan!A:M,12,FALSE),"")</f>
        <v>Closed</v>
      </c>
      <c r="J383" s="39" t="str">
        <f ca="1">IF(AND(B383="",NOT(A383="")),VLOOKUP(A383,TaskPlan!A:L,2,FALSE),"")</f>
        <v>Neil</v>
      </c>
      <c r="K383" s="39" t="str">
        <f ca="1">IF(AND(B383="",NOT(A383="")),IF(NOT(LEFT(VLOOKUP(A383,TaskPlan!A:L,3,FALSE),1) = "0"),VLOOKUP(A383,TaskPlan!A:L,3,FALSE),""),"")</f>
        <v/>
      </c>
      <c r="L383" s="55" t="str">
        <f ca="1">IF(AND(B383="",NOT(A383="")),IF(NOT(LEFT(VLOOKUP(A383,TaskPlan!A:L,3,FALSE),1) = "0"),VLOOKUP(A383,TaskPlan!A:M,4,FALSE),""),"")</f>
        <v/>
      </c>
      <c r="M383" s="58" t="str">
        <f ca="1">IF(B383=".",1,IF(AND(B383="",NOT(A383="")),IF(VLOOKUP(A383,TaskPlan!A:L,5,FALSE)&gt;0,VLOOKUP(A383,TaskPlan!A:L,5,FALSE),""),""))</f>
        <v/>
      </c>
      <c r="N383" s="1" t="str">
        <f ca="1">IF(ISNA(VLOOKUP(A383,Projects!B:B,1,FALSE)),"","Yes")</f>
        <v/>
      </c>
    </row>
    <row r="384" spans="1:14" ht="25.5" hidden="1" outlineLevel="1">
      <c r="A384" s="43" t="s">
        <v>1870</v>
      </c>
      <c r="C384" s="44" t="s">
        <v>1871</v>
      </c>
      <c r="D384" s="7" t="s">
        <v>11</v>
      </c>
      <c r="E384" s="26">
        <v>40563</v>
      </c>
      <c r="F384" s="25">
        <v>1</v>
      </c>
      <c r="G384" s="28" t="s">
        <v>1099</v>
      </c>
      <c r="H384" s="37">
        <f ca="1">IF(AND(B384="",NOT(A384="")),VLOOKUP(A384,TaskPlan!A:M,13,FALSE),"")</f>
        <v>40589</v>
      </c>
      <c r="I384" s="38" t="str">
        <f ca="1">IF(AND(B384="",NOT(A384="")),VLOOKUP(A384,TaskPlan!A:M,12,FALSE),"")</f>
        <v>Closed</v>
      </c>
      <c r="J384" s="39" t="str">
        <f ca="1">IF(AND(B384="",NOT(A384="")),VLOOKUP(A384,TaskPlan!A:L,2,FALSE),"")</f>
        <v>Neil</v>
      </c>
      <c r="K384" s="39" t="str">
        <f ca="1">IF(AND(B384="",NOT(A384="")),IF(NOT(LEFT(VLOOKUP(A384,TaskPlan!A:L,3,FALSE),1) = "0"),VLOOKUP(A384,TaskPlan!A:L,3,FALSE),""),"")</f>
        <v/>
      </c>
      <c r="L384" s="55" t="str">
        <f ca="1">IF(AND(B384="",NOT(A384="")),IF(NOT(LEFT(VLOOKUP(A384,TaskPlan!A:L,3,FALSE),1) = "0"),VLOOKUP(A384,TaskPlan!A:M,4,FALSE),""),"")</f>
        <v/>
      </c>
      <c r="M384" s="58" t="str">
        <f ca="1">IF(B384=".",1,IF(AND(B384="",NOT(A384="")),IF(VLOOKUP(A384,TaskPlan!A:L,5,FALSE)&gt;0,VLOOKUP(A384,TaskPlan!A:L,5,FALSE),""),""))</f>
        <v/>
      </c>
      <c r="N384" s="1" t="str">
        <f ca="1">IF(ISNA(VLOOKUP(A384,Projects!B:B,1,FALSE)),"","Yes")</f>
        <v/>
      </c>
    </row>
    <row r="385" spans="1:14" hidden="1" outlineLevel="1">
      <c r="A385" s="43" t="s">
        <v>1328</v>
      </c>
      <c r="B385" s="7" t="s">
        <v>15</v>
      </c>
      <c r="C385" s="45" t="s">
        <v>1359</v>
      </c>
      <c r="D385" s="7"/>
      <c r="E385" s="26"/>
      <c r="H385" s="37" t="str">
        <f ca="1">IF(AND(B385="",NOT(A385="")),VLOOKUP(A385,TaskPlan!A:M,13,FALSE),"")</f>
        <v/>
      </c>
      <c r="I385" s="38" t="str">
        <f ca="1">IF(AND(B385="",NOT(A385="")),VLOOKUP(A385,TaskPlan!A:M,12,FALSE),"")</f>
        <v/>
      </c>
      <c r="J385" s="39" t="str">
        <f ca="1">IF(AND(B385="",NOT(A385="")),VLOOKUP(A385,TaskPlan!A:L,2,FALSE),"")</f>
        <v/>
      </c>
      <c r="K385" s="39" t="str">
        <f ca="1">IF(AND(B385="",NOT(A385="")),IF(NOT(LEFT(VLOOKUP(A385,TaskPlan!A:L,3,FALSE),1) = "0"),VLOOKUP(A385,TaskPlan!A:L,3,FALSE),""),"")</f>
        <v/>
      </c>
      <c r="L385" s="55" t="str">
        <f ca="1">IF(AND(B385="",NOT(A385="")),IF(NOT(LEFT(VLOOKUP(A385,TaskPlan!A:L,3,FALSE),1) = "0"),VLOOKUP(A385,TaskPlan!A:M,4,FALSE),""),"")</f>
        <v/>
      </c>
      <c r="M385" s="58">
        <f ca="1">IF(B385=".",1,IF(AND(B385="",NOT(A385="")),IF(VLOOKUP(A385,TaskPlan!A:L,5,FALSE)&gt;0,VLOOKUP(A385,TaskPlan!A:L,5,FALSE),""),""))</f>
        <v>1</v>
      </c>
      <c r="N385" s="1" t="str">
        <f ca="1">IF(ISNA(VLOOKUP(A385,Projects!B:B,1,FALSE)),"","Yes")</f>
        <v/>
      </c>
    </row>
    <row r="386" spans="1:14" hidden="1" outlineLevel="1">
      <c r="A386" s="43" t="s">
        <v>1329</v>
      </c>
      <c r="C386" s="44" t="s">
        <v>1360</v>
      </c>
      <c r="D386" s="7" t="s">
        <v>29</v>
      </c>
      <c r="E386" s="26">
        <v>40387</v>
      </c>
      <c r="F386" s="25">
        <v>1</v>
      </c>
      <c r="G386" s="28" t="s">
        <v>1099</v>
      </c>
      <c r="H386" s="37">
        <f ca="1">IF(AND(B386="",NOT(A386="")),VLOOKUP(A386,TaskPlan!A:M,13,FALSE),"")</f>
        <v>40361</v>
      </c>
      <c r="I386" s="38" t="str">
        <f ca="1">IF(AND(B386="",NOT(A386="")),VLOOKUP(A386,TaskPlan!A:M,12,FALSE),"")</f>
        <v>Closed</v>
      </c>
      <c r="J386" s="39" t="str">
        <f ca="1">IF(AND(B386="",NOT(A386="")),VLOOKUP(A386,TaskPlan!A:L,2,FALSE),"")</f>
        <v>Ruth</v>
      </c>
      <c r="K386" s="39" t="str">
        <f ca="1">IF(AND(B386="",NOT(A386="")),IF(NOT(LEFT(VLOOKUP(A386,TaskPlan!A:L,3,FALSE),1) = "0"),VLOOKUP(A386,TaskPlan!A:L,3,FALSE),""),"")</f>
        <v/>
      </c>
      <c r="L386" s="55" t="str">
        <f ca="1">IF(AND(B386="",NOT(A386="")),IF(NOT(LEFT(VLOOKUP(A386,TaskPlan!A:L,3,FALSE),1) = "0"),VLOOKUP(A386,TaskPlan!A:M,4,FALSE),""),"")</f>
        <v/>
      </c>
      <c r="M386" s="58" t="str">
        <f ca="1">IF(B386=".",1,IF(AND(B386="",NOT(A386="")),IF(VLOOKUP(A386,TaskPlan!A:L,5,FALSE)&gt;0,VLOOKUP(A386,TaskPlan!A:L,5,FALSE),""),""))</f>
        <v/>
      </c>
      <c r="N386" s="1" t="str">
        <f ca="1">IF(ISNA(VLOOKUP(A386,Projects!B:B,1,FALSE)),"","Yes")</f>
        <v/>
      </c>
    </row>
    <row r="387" spans="1:14" hidden="1" outlineLevel="1">
      <c r="A387" s="43" t="s">
        <v>1330</v>
      </c>
      <c r="C387" s="44" t="s">
        <v>1361</v>
      </c>
      <c r="D387" s="7" t="s">
        <v>29</v>
      </c>
      <c r="E387" s="26">
        <v>40387</v>
      </c>
      <c r="F387" s="25">
        <v>3</v>
      </c>
      <c r="G387" s="28" t="s">
        <v>1099</v>
      </c>
      <c r="H387" s="37">
        <f ca="1">IF(AND(B387="",NOT(A387="")),VLOOKUP(A387,TaskPlan!A:M,13,FALSE),"")</f>
        <v>40407</v>
      </c>
      <c r="I387" s="38" t="str">
        <f ca="1">IF(AND(B387="",NOT(A387="")),VLOOKUP(A387,TaskPlan!A:M,12,FALSE),"")</f>
        <v>Closed</v>
      </c>
      <c r="J387" s="39" t="str">
        <f ca="1">IF(AND(B387="",NOT(A387="")),VLOOKUP(A387,TaskPlan!A:L,2,FALSE),"")</f>
        <v>Ruth</v>
      </c>
      <c r="K387" s="39" t="str">
        <f ca="1">IF(AND(B387="",NOT(A387="")),IF(NOT(LEFT(VLOOKUP(A387,TaskPlan!A:L,3,FALSE),1) = "0"),VLOOKUP(A387,TaskPlan!A:L,3,FALSE),""),"")</f>
        <v/>
      </c>
      <c r="L387" s="55" t="str">
        <f ca="1">IF(AND(B387="",NOT(A387="")),IF(NOT(LEFT(VLOOKUP(A387,TaskPlan!A:L,3,FALSE),1) = "0"),VLOOKUP(A387,TaskPlan!A:M,4,FALSE),""),"")</f>
        <v/>
      </c>
      <c r="M387" s="58" t="str">
        <f ca="1">IF(B387=".",1,IF(AND(B387="",NOT(A387="")),IF(VLOOKUP(A387,TaskPlan!A:L,5,FALSE)&gt;0,VLOOKUP(A387,TaskPlan!A:L,5,FALSE),""),""))</f>
        <v/>
      </c>
      <c r="N387" s="1" t="str">
        <f ca="1">IF(ISNA(VLOOKUP(A387,Projects!B:B,1,FALSE)),"","Yes")</f>
        <v/>
      </c>
    </row>
    <row r="388" spans="1:14" hidden="1" outlineLevel="1">
      <c r="A388" s="43" t="s">
        <v>1331</v>
      </c>
      <c r="C388" s="44" t="s">
        <v>1362</v>
      </c>
      <c r="D388" s="7" t="s">
        <v>29</v>
      </c>
      <c r="E388" s="26">
        <v>40387</v>
      </c>
      <c r="F388" s="25">
        <v>1</v>
      </c>
      <c r="G388" s="28" t="s">
        <v>1099</v>
      </c>
      <c r="H388" s="37">
        <f ca="1">IF(AND(B388="",NOT(A388="")),VLOOKUP(A388,TaskPlan!A:M,13,FALSE),"")</f>
        <v>40414</v>
      </c>
      <c r="I388" s="38" t="str">
        <f ca="1">IF(AND(B388="",NOT(A388="")),VLOOKUP(A388,TaskPlan!A:M,12,FALSE),"")</f>
        <v>Closed</v>
      </c>
      <c r="J388" s="39" t="str">
        <f ca="1">IF(AND(B388="",NOT(A388="")),VLOOKUP(A388,TaskPlan!A:L,2,FALSE),"")</f>
        <v>Neil</v>
      </c>
      <c r="K388" s="39" t="str">
        <f ca="1">IF(AND(B388="",NOT(A388="")),IF(NOT(LEFT(VLOOKUP(A388,TaskPlan!A:L,3,FALSE),1) = "0"),VLOOKUP(A388,TaskPlan!A:L,3,FALSE),""),"")</f>
        <v/>
      </c>
      <c r="L388" s="55" t="str">
        <f ca="1">IF(AND(B388="",NOT(A388="")),IF(NOT(LEFT(VLOOKUP(A388,TaskPlan!A:L,3,FALSE),1) = "0"),VLOOKUP(A388,TaskPlan!A:M,4,FALSE),""),"")</f>
        <v/>
      </c>
      <c r="M388" s="58" t="str">
        <f ca="1">IF(B388=".",1,IF(AND(B388="",NOT(A388="")),IF(VLOOKUP(A388,TaskPlan!A:L,5,FALSE)&gt;0,VLOOKUP(A388,TaskPlan!A:L,5,FALSE),""),""))</f>
        <v/>
      </c>
      <c r="N388" s="1" t="str">
        <f ca="1">IF(ISNA(VLOOKUP(A388,Projects!B:B,1,FALSE)),"","Yes")</f>
        <v/>
      </c>
    </row>
    <row r="389" spans="1:14" hidden="1" outlineLevel="1">
      <c r="A389" s="43" t="s">
        <v>1348</v>
      </c>
      <c r="B389" s="1" t="s">
        <v>15</v>
      </c>
      <c r="C389" s="45" t="s">
        <v>1349</v>
      </c>
      <c r="D389" s="7"/>
      <c r="E389" s="26"/>
      <c r="G389" s="28"/>
      <c r="H389" s="37" t="str">
        <f ca="1">IF(AND(B389="",NOT(A389="")),VLOOKUP(A389,TaskPlan!A:M,13,FALSE),"")</f>
        <v/>
      </c>
      <c r="I389" s="38" t="str">
        <f ca="1">IF(AND(B389="",NOT(A389="")),VLOOKUP(A389,TaskPlan!A:M,12,FALSE),"")</f>
        <v/>
      </c>
      <c r="J389" s="39" t="str">
        <f ca="1">IF(AND(B389="",NOT(A389="")),VLOOKUP(A389,TaskPlan!A:L,2,FALSE),"")</f>
        <v/>
      </c>
      <c r="K389" s="39" t="str">
        <f ca="1">IF(AND(B389="",NOT(A389="")),IF(NOT(LEFT(VLOOKUP(A389,TaskPlan!A:L,3,FALSE),1) = "0"),VLOOKUP(A389,TaskPlan!A:L,3,FALSE),""),"")</f>
        <v/>
      </c>
      <c r="L389" s="55" t="str">
        <f ca="1">IF(AND(B389="",NOT(A389="")),IF(NOT(LEFT(VLOOKUP(A389,TaskPlan!A:L,3,FALSE),1) = "0"),VLOOKUP(A389,TaskPlan!A:M,4,FALSE),""),"")</f>
        <v/>
      </c>
      <c r="M389" s="58">
        <f ca="1">IF(B389=".",1,IF(AND(B389="",NOT(A389="")),IF(VLOOKUP(A389,TaskPlan!A:L,5,FALSE)&gt;0,VLOOKUP(A389,TaskPlan!A:L,5,FALSE),""),""))</f>
        <v>1</v>
      </c>
      <c r="N389" s="1" t="str">
        <f ca="1">IF(ISNA(VLOOKUP(A389,Projects!B:B,1,FALSE)),"","Yes")</f>
        <v/>
      </c>
    </row>
    <row r="390" spans="1:14" hidden="1" outlineLevel="1">
      <c r="A390" s="43" t="s">
        <v>1350</v>
      </c>
      <c r="C390" s="44" t="s">
        <v>1351</v>
      </c>
      <c r="D390" s="7" t="s">
        <v>11</v>
      </c>
      <c r="E390" s="26">
        <v>40365</v>
      </c>
      <c r="F390" s="25">
        <v>2</v>
      </c>
      <c r="G390" s="28" t="s">
        <v>1099</v>
      </c>
      <c r="H390" s="37">
        <f ca="1">IF(AND(B390="",NOT(A390="")),VLOOKUP(A390,TaskPlan!A:M,13,FALSE),"")</f>
        <v>40386</v>
      </c>
      <c r="I390" s="38" t="str">
        <f ca="1">IF(AND(B390="",NOT(A390="")),VLOOKUP(A390,TaskPlan!A:M,12,FALSE),"")</f>
        <v>Closed</v>
      </c>
      <c r="J390" s="39" t="str">
        <f ca="1">IF(AND(B390="",NOT(A390="")),VLOOKUP(A390,TaskPlan!A:L,2,FALSE),"")</f>
        <v>Neil</v>
      </c>
      <c r="K390" s="39" t="str">
        <f ca="1">IF(AND(B390="",NOT(A390="")),IF(NOT(LEFT(VLOOKUP(A390,TaskPlan!A:L,3,FALSE),1) = "0"),VLOOKUP(A390,TaskPlan!A:L,3,FALSE),""),"")</f>
        <v/>
      </c>
      <c r="L390" s="55" t="str">
        <f ca="1">IF(AND(B390="",NOT(A390="")),IF(NOT(LEFT(VLOOKUP(A390,TaskPlan!A:L,3,FALSE),1) = "0"),VLOOKUP(A390,TaskPlan!A:M,4,FALSE),""),"")</f>
        <v/>
      </c>
      <c r="M390" s="58" t="str">
        <f ca="1">IF(B390=".",1,IF(AND(B390="",NOT(A390="")),IF(VLOOKUP(A390,TaskPlan!A:L,5,FALSE)&gt;0,VLOOKUP(A390,TaskPlan!A:L,5,FALSE),""),""))</f>
        <v/>
      </c>
      <c r="N390" s="1" t="str">
        <f ca="1">IF(ISNA(VLOOKUP(A390,Projects!B:B,1,FALSE)),"","Yes")</f>
        <v>Yes</v>
      </c>
    </row>
    <row r="391" spans="1:14" hidden="1" outlineLevel="1">
      <c r="A391" s="43" t="s">
        <v>1878</v>
      </c>
      <c r="C391" s="44" t="s">
        <v>1879</v>
      </c>
      <c r="D391" s="7" t="s">
        <v>11</v>
      </c>
      <c r="E391" s="26">
        <v>40563</v>
      </c>
      <c r="F391" s="25">
        <v>2</v>
      </c>
      <c r="G391" s="28" t="s">
        <v>1099</v>
      </c>
      <c r="H391" s="37">
        <f ca="1">IF(AND(B391="",NOT(A391="")),VLOOKUP(A391,TaskPlan!A:M,13,FALSE),"")</f>
        <v>40563</v>
      </c>
      <c r="I391" s="38" t="str">
        <f ca="1">IF(AND(B391="",NOT(A391="")),VLOOKUP(A391,TaskPlan!A:M,12,FALSE),"")</f>
        <v>Not Started</v>
      </c>
      <c r="J391" s="39" t="str">
        <f ca="1">IF(AND(B391="",NOT(A391="")),VLOOKUP(A391,TaskPlan!A:L,2,FALSE),"")</f>
        <v>Unassigned</v>
      </c>
      <c r="K391" s="39" t="str">
        <f ca="1">IF(AND(B391="",NOT(A391="")),IF(NOT(LEFT(VLOOKUP(A391,TaskPlan!A:L,3,FALSE),1) = "0"),VLOOKUP(A391,TaskPlan!A:L,3,FALSE),""),"")</f>
        <v>3-MED</v>
      </c>
      <c r="L391" s="55">
        <f ca="1">IF(AND(B391="",NOT(A391="")),IF(NOT(LEFT(VLOOKUP(A391,TaskPlan!A:L,3,FALSE),1) = "0"),VLOOKUP(A391,TaskPlan!A:M,4,FALSE),""),"")</f>
        <v>0</v>
      </c>
      <c r="M391" s="58" t="str">
        <f ca="1">IF(B391=".",1,IF(AND(B391="",NOT(A391="")),IF(VLOOKUP(A391,TaskPlan!A:L,5,FALSE)&gt;0,VLOOKUP(A391,TaskPlan!A:L,5,FALSE),""),""))</f>
        <v/>
      </c>
      <c r="N391" s="1" t="str">
        <f ca="1">IF(ISNA(VLOOKUP(A391,Projects!B:B,1,FALSE)),"","Yes")</f>
        <v/>
      </c>
    </row>
    <row r="392" spans="1:14" hidden="1" outlineLevel="1">
      <c r="A392" s="43" t="s">
        <v>1625</v>
      </c>
      <c r="B392" s="7" t="s">
        <v>15</v>
      </c>
      <c r="C392" s="45" t="s">
        <v>1626</v>
      </c>
      <c r="D392" s="7"/>
      <c r="E392" s="26"/>
      <c r="G392" s="28"/>
      <c r="L392" s="55"/>
    </row>
    <row r="393" spans="1:14" hidden="1" outlineLevel="1">
      <c r="A393" s="43" t="s">
        <v>1627</v>
      </c>
      <c r="C393" s="44" t="s">
        <v>1628</v>
      </c>
      <c r="D393" s="7" t="s">
        <v>11</v>
      </c>
      <c r="E393" s="26">
        <v>40477</v>
      </c>
      <c r="F393" s="25">
        <v>1</v>
      </c>
      <c r="G393" s="25" t="s">
        <v>1098</v>
      </c>
      <c r="H393" s="37">
        <f ca="1">IF(AND(B393="",NOT(A393="")),VLOOKUP(A393,TaskPlan!A:M,13,FALSE),"")</f>
        <v>40477</v>
      </c>
      <c r="I393" s="38" t="str">
        <f ca="1">IF(AND(B393="",NOT(A393="")),VLOOKUP(A393,TaskPlan!A:M,12,FALSE),"")</f>
        <v>Not Started</v>
      </c>
      <c r="J393" s="39" t="str">
        <f ca="1">IF(AND(B393="",NOT(A393="")),VLOOKUP(A393,TaskPlan!A:L,2,FALSE),"")</f>
        <v>Unassigned</v>
      </c>
      <c r="K393" s="39" t="str">
        <f ca="1">IF(AND(B393="",NOT(A393="")),IF(NOT(LEFT(VLOOKUP(A393,TaskPlan!A:L,3,FALSE),1) = "0"),VLOOKUP(A393,TaskPlan!A:L,3,FALSE),""),"")</f>
        <v>2-LOW</v>
      </c>
      <c r="L393" s="55">
        <f ca="1">IF(AND(B393="",NOT(A393="")),IF(NOT(LEFT(VLOOKUP(A393,TaskPlan!A:L,3,FALSE),1) = "0"),VLOOKUP(A393,TaskPlan!A:M,4,FALSE),""),"")</f>
        <v>0</v>
      </c>
      <c r="M393" s="58" t="str">
        <f ca="1">IF(B393=".",1,IF(AND(B393="",NOT(A393="")),IF(VLOOKUP(A393,TaskPlan!A:L,5,FALSE)&gt;0,VLOOKUP(A393,TaskPlan!A:L,5,FALSE),""),""))</f>
        <v/>
      </c>
      <c r="N393" s="1" t="str">
        <f ca="1">IF(ISNA(VLOOKUP(A393,Projects!B:B,1,FALSE)),"","Yes")</f>
        <v/>
      </c>
    </row>
    <row r="394" spans="1:14" hidden="1" outlineLevel="1">
      <c r="A394" s="43" t="s">
        <v>1667</v>
      </c>
      <c r="B394" s="7" t="s">
        <v>15</v>
      </c>
      <c r="C394" s="45" t="s">
        <v>1668</v>
      </c>
      <c r="D394" s="7"/>
      <c r="E394" s="26"/>
      <c r="L394" s="55"/>
    </row>
    <row r="395" spans="1:14" ht="25.5" hidden="1" outlineLevel="1">
      <c r="A395" s="43" t="s">
        <v>1669</v>
      </c>
      <c r="C395" s="44" t="s">
        <v>1670</v>
      </c>
      <c r="D395" s="7" t="s">
        <v>11</v>
      </c>
      <c r="E395" s="26">
        <v>40484</v>
      </c>
      <c r="F395" s="25">
        <v>0.5</v>
      </c>
      <c r="G395" s="25" t="s">
        <v>1098</v>
      </c>
      <c r="H395" s="37">
        <f ca="1">IF(AND(B395="",NOT(A395="")),VLOOKUP(A395,TaskPlan!A:M,13,FALSE),"")</f>
        <v>40484</v>
      </c>
      <c r="I395" s="38" t="str">
        <f ca="1">IF(AND(B395="",NOT(A395="")),VLOOKUP(A395,TaskPlan!A:M,12,FALSE),"")</f>
        <v>Not Started</v>
      </c>
      <c r="J395" s="39" t="str">
        <f ca="1">IF(AND(B395="",NOT(A395="")),VLOOKUP(A395,TaskPlan!A:L,2,FALSE),"")</f>
        <v>Unassigned</v>
      </c>
      <c r="K395" s="39" t="str">
        <f ca="1">IF(AND(B395="",NOT(A395="")),IF(NOT(LEFT(VLOOKUP(A395,TaskPlan!A:L,3,FALSE),1) = "0"),VLOOKUP(A395,TaskPlan!A:L,3,FALSE),""),"")</f>
        <v>1-LOW</v>
      </c>
      <c r="L395" s="55">
        <f ca="1">IF(AND(B395="",NOT(A395="")),IF(NOT(LEFT(VLOOKUP(A395,TaskPlan!A:L,3,FALSE),1) = "0"),VLOOKUP(A395,TaskPlan!A:M,4,FALSE),""),"")</f>
        <v>0</v>
      </c>
      <c r="M395" s="58" t="str">
        <f ca="1">IF(B395=".",1,IF(AND(B395="",NOT(A395="")),IF(VLOOKUP(A395,TaskPlan!A:L,5,FALSE)&gt;0,VLOOKUP(A395,TaskPlan!A:L,5,FALSE),""),""))</f>
        <v/>
      </c>
      <c r="N395" s="1" t="str">
        <f ca="1">IF(ISNA(VLOOKUP(A395,Projects!B:B,1,FALSE)),"","Yes")</f>
        <v/>
      </c>
    </row>
    <row r="396" spans="1:14" ht="25.5" hidden="1" outlineLevel="1">
      <c r="A396" s="43" t="s">
        <v>1671</v>
      </c>
      <c r="C396" s="44" t="s">
        <v>1673</v>
      </c>
      <c r="D396" s="7" t="s">
        <v>11</v>
      </c>
      <c r="E396" s="26">
        <v>40484</v>
      </c>
      <c r="F396" s="25">
        <v>0.5</v>
      </c>
      <c r="G396" s="25" t="s">
        <v>1098</v>
      </c>
      <c r="H396" s="37">
        <f ca="1">IF(AND(B396="",NOT(A396="")),VLOOKUP(A396,TaskPlan!A:M,13,FALSE),"")</f>
        <v>40514</v>
      </c>
      <c r="I396" s="38" t="str">
        <f ca="1">IF(AND(B396="",NOT(A396="")),VLOOKUP(A396,TaskPlan!A:M,12,FALSE),"")</f>
        <v>Closed</v>
      </c>
      <c r="J396" s="39" t="str">
        <f ca="1">IF(AND(B396="",NOT(A396="")),VLOOKUP(A396,TaskPlan!A:L,2,FALSE),"")</f>
        <v>Neil</v>
      </c>
      <c r="K396" s="39" t="str">
        <f ca="1">IF(AND(B396="",NOT(A396="")),IF(NOT(LEFT(VLOOKUP(A396,TaskPlan!A:L,3,FALSE),1) = "0"),VLOOKUP(A396,TaskPlan!A:L,3,FALSE),""),"")</f>
        <v/>
      </c>
      <c r="L396" s="55" t="str">
        <f ca="1">IF(AND(B396="",NOT(A396="")),IF(NOT(LEFT(VLOOKUP(A396,TaskPlan!A:L,3,FALSE),1) = "0"),VLOOKUP(A396,TaskPlan!A:M,4,FALSE),""),"")</f>
        <v/>
      </c>
      <c r="M396" s="58" t="str">
        <f ca="1">IF(B396=".",1,IF(AND(B396="",NOT(A396="")),IF(VLOOKUP(A396,TaskPlan!A:L,5,FALSE)&gt;0,VLOOKUP(A396,TaskPlan!A:L,5,FALSE),""),""))</f>
        <v/>
      </c>
      <c r="N396" s="1" t="str">
        <f ca="1">IF(ISNA(VLOOKUP(A396,Projects!B:B,1,FALSE)),"","Yes")</f>
        <v/>
      </c>
    </row>
    <row r="397" spans="1:14" hidden="1" outlineLevel="1">
      <c r="A397" s="43" t="s">
        <v>1672</v>
      </c>
      <c r="C397" s="44" t="s">
        <v>1674</v>
      </c>
      <c r="D397" s="7" t="s">
        <v>29</v>
      </c>
      <c r="E397" s="26">
        <v>40484</v>
      </c>
      <c r="F397" s="25">
        <v>2</v>
      </c>
      <c r="G397" s="25" t="s">
        <v>1098</v>
      </c>
      <c r="H397" s="37">
        <f ca="1">IF(AND(B397="",NOT(A397="")),VLOOKUP(A397,TaskPlan!A:M,13,FALSE),"")</f>
        <v>40484</v>
      </c>
      <c r="I397" s="38" t="str">
        <f ca="1">IF(AND(B397="",NOT(A397="")),VLOOKUP(A397,TaskPlan!A:M,12,FALSE),"")</f>
        <v>Not Started</v>
      </c>
      <c r="J397" s="39" t="str">
        <f ca="1">IF(AND(B397="",NOT(A397="")),VLOOKUP(A397,TaskPlan!A:L,2,FALSE),"")</f>
        <v>Unassigned</v>
      </c>
      <c r="K397" s="39" t="str">
        <f ca="1">IF(AND(B397="",NOT(A397="")),IF(NOT(LEFT(VLOOKUP(A397,TaskPlan!A:L,3,FALSE),1) = "0"),VLOOKUP(A397,TaskPlan!A:L,3,FALSE),""),"")</f>
        <v>1-LOW</v>
      </c>
      <c r="L397" s="55">
        <f ca="1">IF(AND(B397="",NOT(A397="")),IF(NOT(LEFT(VLOOKUP(A397,TaskPlan!A:L,3,FALSE),1) = "0"),VLOOKUP(A397,TaskPlan!A:M,4,FALSE),""),"")</f>
        <v>0</v>
      </c>
      <c r="M397" s="58" t="str">
        <f ca="1">IF(B397=".",1,IF(AND(B397="",NOT(A397="")),IF(VLOOKUP(A397,TaskPlan!A:L,5,FALSE)&gt;0,VLOOKUP(A397,TaskPlan!A:L,5,FALSE),""),""))</f>
        <v/>
      </c>
      <c r="N397" s="1" t="str">
        <f ca="1">IF(ISNA(VLOOKUP(A397,Projects!B:B,1,FALSE)),"","Yes")</f>
        <v/>
      </c>
    </row>
    <row r="398" spans="1:14" hidden="1" outlineLevel="1">
      <c r="A398" s="43" t="s">
        <v>1675</v>
      </c>
      <c r="C398" s="44" t="s">
        <v>1676</v>
      </c>
      <c r="D398" s="7" t="s">
        <v>29</v>
      </c>
      <c r="E398" s="26">
        <v>40484</v>
      </c>
      <c r="F398" s="25">
        <v>3</v>
      </c>
      <c r="G398" s="25" t="s">
        <v>1098</v>
      </c>
      <c r="H398" s="37">
        <f ca="1">IF(AND(B398="",NOT(A398="")),VLOOKUP(A398,TaskPlan!A:M,13,FALSE),"")</f>
        <v>40484</v>
      </c>
      <c r="I398" s="38" t="str">
        <f ca="1">IF(AND(B398="",NOT(A398="")),VLOOKUP(A398,TaskPlan!A:M,12,FALSE),"")</f>
        <v>Not Started</v>
      </c>
      <c r="J398" s="39" t="str">
        <f ca="1">IF(AND(B398="",NOT(A398="")),VLOOKUP(A398,TaskPlan!A:L,2,FALSE),"")</f>
        <v>Unassigned</v>
      </c>
      <c r="K398" s="39" t="str">
        <f ca="1">IF(AND(B398="",NOT(A398="")),IF(NOT(LEFT(VLOOKUP(A398,TaskPlan!A:L,3,FALSE),1) = "0"),VLOOKUP(A398,TaskPlan!A:L,3,FALSE),""),"")</f>
        <v>1-LOW</v>
      </c>
      <c r="L398" s="55">
        <f ca="1">IF(AND(B398="",NOT(A398="")),IF(NOT(LEFT(VLOOKUP(A398,TaskPlan!A:L,3,FALSE),1) = "0"),VLOOKUP(A398,TaskPlan!A:M,4,FALSE),""),"")</f>
        <v>0</v>
      </c>
      <c r="M398" s="58" t="str">
        <f ca="1">IF(B398=".",1,IF(AND(B398="",NOT(A398="")),IF(VLOOKUP(A398,TaskPlan!A:L,5,FALSE)&gt;0,VLOOKUP(A398,TaskPlan!A:L,5,FALSE),""),""))</f>
        <v/>
      </c>
      <c r="N398" s="1" t="str">
        <f ca="1">IF(ISNA(VLOOKUP(A398,Projects!B:B,1,FALSE)),"","Yes")</f>
        <v/>
      </c>
    </row>
    <row r="399" spans="1:14" ht="25.5" hidden="1" outlineLevel="1">
      <c r="A399" s="43" t="s">
        <v>1677</v>
      </c>
      <c r="C399" s="44" t="s">
        <v>1699</v>
      </c>
      <c r="D399" s="7" t="s">
        <v>11</v>
      </c>
      <c r="E399" s="26">
        <v>40494</v>
      </c>
      <c r="F399" s="25">
        <v>1</v>
      </c>
      <c r="G399" s="28" t="s">
        <v>1099</v>
      </c>
      <c r="H399" s="37">
        <f ca="1">IF(AND(B399="",NOT(A399="")),VLOOKUP(A399,TaskPlan!A:M,13,FALSE),"")</f>
        <v>40505</v>
      </c>
      <c r="I399" s="38" t="str">
        <f ca="1">IF(AND(B399="",NOT(A399="")),VLOOKUP(A399,TaskPlan!A:M,12,FALSE),"")</f>
        <v>Not Started</v>
      </c>
      <c r="J399" s="39" t="str">
        <f ca="1">IF(AND(B399="",NOT(A399="")),VLOOKUP(A399,TaskPlan!A:L,2,FALSE),"")</f>
        <v>Ruth</v>
      </c>
      <c r="K399" s="39" t="str">
        <f ca="1">IF(AND(B399="",NOT(A399="")),IF(NOT(LEFT(VLOOKUP(A399,TaskPlan!A:L,3,FALSE),1) = "0"),VLOOKUP(A399,TaskPlan!A:L,3,FALSE),""),"")</f>
        <v>4-HIGH</v>
      </c>
      <c r="L399" s="55">
        <f ca="1">IF(AND(B399="",NOT(A399="")),IF(NOT(LEFT(VLOOKUP(A399,TaskPlan!A:L,3,FALSE),1) = "0"),VLOOKUP(A399,TaskPlan!A:M,4,FALSE),""),"")</f>
        <v>0</v>
      </c>
      <c r="M399" s="58" t="str">
        <f ca="1">IF(B399=".",1,IF(AND(B399="",NOT(A399="")),IF(VLOOKUP(A399,TaskPlan!A:L,5,FALSE)&gt;0,VLOOKUP(A399,TaskPlan!A:L,5,FALSE),""),""))</f>
        <v/>
      </c>
      <c r="N399" s="1" t="str">
        <f ca="1">IF(ISNA(VLOOKUP(A399,Projects!B:B,1,FALSE)),"","Yes")</f>
        <v/>
      </c>
    </row>
    <row r="400" spans="1:14" ht="25.5" hidden="1" outlineLevel="1">
      <c r="A400" s="43" t="s">
        <v>1725</v>
      </c>
      <c r="C400" s="44" t="s">
        <v>1726</v>
      </c>
      <c r="D400" s="7" t="s">
        <v>11</v>
      </c>
      <c r="E400" s="26">
        <v>40513</v>
      </c>
      <c r="F400" s="25">
        <v>1</v>
      </c>
      <c r="G400" s="25" t="s">
        <v>1098</v>
      </c>
      <c r="H400" s="37">
        <f ca="1">IF(AND(B400="",NOT(A400="")),VLOOKUP(A400,TaskPlan!A:M,13,FALSE),"")</f>
        <v>40246</v>
      </c>
      <c r="I400" s="38" t="str">
        <f ca="1">IF(AND(B400="",NOT(A400="")),VLOOKUP(A400,TaskPlan!A:M,12,FALSE),"")</f>
        <v>Not Started</v>
      </c>
      <c r="J400" s="39" t="str">
        <f ca="1">IF(AND(B400="",NOT(A400="")),VLOOKUP(A400,TaskPlan!A:L,2,FALSE),"")</f>
        <v>Ruth</v>
      </c>
      <c r="K400" s="39" t="str">
        <f ca="1">IF(AND(B400="",NOT(A400="")),IF(NOT(LEFT(VLOOKUP(A400,TaskPlan!A:L,3,FALSE),1) = "0"),VLOOKUP(A400,TaskPlan!A:L,3,FALSE),""),"")</f>
        <v>4-HIGH</v>
      </c>
      <c r="L400" s="55">
        <f ca="1">IF(AND(B400="",NOT(A400="")),IF(NOT(LEFT(VLOOKUP(A400,TaskPlan!A:L,3,FALSE),1) = "0"),VLOOKUP(A400,TaskPlan!A:M,4,FALSE),""),"")</f>
        <v>0</v>
      </c>
      <c r="M400" s="58" t="str">
        <f ca="1">IF(B400=".",1,IF(AND(B400="",NOT(A400="")),IF(VLOOKUP(A400,TaskPlan!A:L,5,FALSE)&gt;0,VLOOKUP(A400,TaskPlan!A:L,5,FALSE),""),""))</f>
        <v/>
      </c>
      <c r="N400" s="1" t="str">
        <f ca="1">IF(ISNA(VLOOKUP(A400,Projects!B:B,1,FALSE)),"","Yes")</f>
        <v/>
      </c>
    </row>
    <row r="401" spans="1:14" ht="25.5" hidden="1" outlineLevel="1">
      <c r="A401" s="43" t="s">
        <v>1733</v>
      </c>
      <c r="C401" s="44" t="s">
        <v>1734</v>
      </c>
      <c r="D401" s="7" t="s">
        <v>11</v>
      </c>
      <c r="E401" s="26">
        <v>40514</v>
      </c>
      <c r="F401" s="25">
        <v>1</v>
      </c>
      <c r="G401" s="25" t="s">
        <v>1735</v>
      </c>
      <c r="H401" s="37">
        <f ca="1">IF(AND(B401="",NOT(A401="")),VLOOKUP(A401,TaskPlan!A:M,13,FALSE),"")</f>
        <v>40568</v>
      </c>
      <c r="I401" s="38" t="str">
        <f ca="1">IF(AND(B401="",NOT(A401="")),VLOOKUP(A401,TaskPlan!A:M,12,FALSE),"")</f>
        <v>Not Started</v>
      </c>
      <c r="J401" s="39" t="str">
        <f ca="1">IF(AND(B401="",NOT(A401="")),VLOOKUP(A401,TaskPlan!A:L,2,FALSE),"")</f>
        <v>Pramendra</v>
      </c>
      <c r="K401" s="39" t="str">
        <f ca="1">IF(AND(B401="",NOT(A401="")),IF(NOT(LEFT(VLOOKUP(A401,TaskPlan!A:L,3,FALSE),1) = "0"),VLOOKUP(A401,TaskPlan!A:L,3,FALSE),""),"")</f>
        <v>2-LOW</v>
      </c>
      <c r="L401" s="55">
        <f ca="1">IF(AND(B401="",NOT(A401="")),IF(NOT(LEFT(VLOOKUP(A401,TaskPlan!A:L,3,FALSE),1) = "0"),VLOOKUP(A401,TaskPlan!A:M,4,FALSE),""),"")</f>
        <v>0</v>
      </c>
      <c r="M401" s="58" t="str">
        <f ca="1">IF(B401=".",1,IF(AND(B401="",NOT(A401="")),IF(VLOOKUP(A401,TaskPlan!A:L,5,FALSE)&gt;0,VLOOKUP(A401,TaskPlan!A:L,5,FALSE),""),""))</f>
        <v/>
      </c>
      <c r="N401" s="1" t="str">
        <f ca="1">IF(ISNA(VLOOKUP(A401,Projects!B:B,1,FALSE)),"","Yes")</f>
        <v/>
      </c>
    </row>
    <row r="402" spans="1:14" hidden="1" outlineLevel="1">
      <c r="A402" s="43" t="s">
        <v>1907</v>
      </c>
      <c r="B402" s="7" t="s">
        <v>15</v>
      </c>
      <c r="C402" s="45" t="s">
        <v>1908</v>
      </c>
      <c r="D402" s="7"/>
      <c r="E402" s="26"/>
      <c r="H402" s="37" t="str">
        <f ca="1">IF(AND(B402="",NOT(A402="")),VLOOKUP(A402,TaskPlan!A:M,13,FALSE),"")</f>
        <v/>
      </c>
      <c r="I402" s="38" t="str">
        <f ca="1">IF(AND(B402="",NOT(A402="")),VLOOKUP(A402,TaskPlan!A:M,12,FALSE),"")</f>
        <v/>
      </c>
      <c r="J402" s="39" t="str">
        <f ca="1">IF(AND(B402="",NOT(A402="")),VLOOKUP(A402,TaskPlan!A:L,2,FALSE),"")</f>
        <v/>
      </c>
      <c r="K402" s="39" t="str">
        <f ca="1">IF(AND(B402="",NOT(A402="")),IF(NOT(LEFT(VLOOKUP(A402,TaskPlan!A:L,3,FALSE),1) = "0"),VLOOKUP(A402,TaskPlan!A:L,3,FALSE),""),"")</f>
        <v/>
      </c>
      <c r="L402" s="55" t="str">
        <f ca="1">IF(AND(B402="",NOT(A402="")),IF(NOT(LEFT(VLOOKUP(A402,TaskPlan!A:L,3,FALSE),1) = "0"),VLOOKUP(A402,TaskPlan!A:M,4,FALSE),""),"")</f>
        <v/>
      </c>
      <c r="M402" s="58">
        <f ca="1">IF(B402=".",1,IF(AND(B402="",NOT(A402="")),IF(VLOOKUP(A402,TaskPlan!A:L,5,FALSE)&gt;0,VLOOKUP(A402,TaskPlan!A:L,5,FALSE),""),""))</f>
        <v>1</v>
      </c>
      <c r="N402" s="1" t="str">
        <f ca="1">IF(ISNA(VLOOKUP(A402,Projects!B:B,1,FALSE)),"","Yes")</f>
        <v/>
      </c>
    </row>
    <row r="403" spans="1:14" hidden="1" outlineLevel="1">
      <c r="A403" s="43" t="s">
        <v>1910</v>
      </c>
      <c r="C403" s="44" t="s">
        <v>1909</v>
      </c>
      <c r="D403" s="7" t="s">
        <v>11</v>
      </c>
      <c r="E403" s="26">
        <v>40589</v>
      </c>
      <c r="F403" s="25">
        <v>1</v>
      </c>
      <c r="G403" s="25" t="s">
        <v>1213</v>
      </c>
      <c r="H403" s="37">
        <f ca="1">IF(AND(B403="",NOT(A403="")),VLOOKUP(A403,TaskPlan!A:M,13,FALSE),"")</f>
        <v>40589</v>
      </c>
      <c r="I403" s="38" t="str">
        <f ca="1">IF(AND(B403="",NOT(A403="")),VLOOKUP(A403,TaskPlan!A:M,12,FALSE),"")</f>
        <v>Not Started</v>
      </c>
      <c r="J403" s="39" t="str">
        <f ca="1">IF(AND(B403="",NOT(A403="")),VLOOKUP(A403,TaskPlan!A:L,2,FALSE),"")</f>
        <v>Unassigned</v>
      </c>
      <c r="K403" s="39" t="str">
        <f ca="1">IF(AND(B403="",NOT(A403="")),IF(NOT(LEFT(VLOOKUP(A403,TaskPlan!A:L,3,FALSE),1) = "0"),VLOOKUP(A403,TaskPlan!A:L,3,FALSE),""),"")</f>
        <v>3-MED</v>
      </c>
      <c r="L403" s="55">
        <f ca="1">IF(AND(B403="",NOT(A403="")),IF(NOT(LEFT(VLOOKUP(A403,TaskPlan!A:L,3,FALSE),1) = "0"),VLOOKUP(A403,TaskPlan!A:M,4,FALSE),""),"")</f>
        <v>0</v>
      </c>
      <c r="M403" s="58" t="str">
        <f ca="1">IF(B403=".",1,IF(AND(B403="",NOT(A403="")),IF(VLOOKUP(A403,TaskPlan!A:L,5,FALSE)&gt;0,VLOOKUP(A403,TaskPlan!A:L,5,FALSE),""),""))</f>
        <v/>
      </c>
      <c r="N403" s="1" t="str">
        <f ca="1">IF(ISNA(VLOOKUP(A403,Projects!B:B,1,FALSE)),"","Yes")</f>
        <v/>
      </c>
    </row>
    <row r="404" spans="1:14" ht="15.75" collapsed="1">
      <c r="A404" s="43"/>
      <c r="C404" s="36"/>
      <c r="H404" s="37" t="str">
        <f ca="1">IF(AND(B404="",NOT(A404="")),VLOOKUP(A404,TaskPlan!A:M,13,FALSE),"")</f>
        <v/>
      </c>
      <c r="I404" s="38" t="str">
        <f ca="1">IF(AND(B404="",NOT(A404="")),VLOOKUP(A404,TaskPlan!A:M,12,FALSE),"")</f>
        <v/>
      </c>
      <c r="J404" s="39" t="str">
        <f ca="1">IF(AND(B404="",NOT(A404="")),VLOOKUP(A404,TaskPlan!A:L,2,FALSE),"")</f>
        <v/>
      </c>
      <c r="K404" s="39" t="str">
        <f ca="1">IF(AND(B404="",NOT(A404="")),IF(NOT(LEFT(VLOOKUP(A404,TaskPlan!A:L,3,FALSE),1) = "0"),VLOOKUP(A404,TaskPlan!A:L,3,FALSE),""),"")</f>
        <v/>
      </c>
      <c r="L404" s="55" t="str">
        <f ca="1">IF(AND(B404="",NOT(A404="")),IF(NOT(LEFT(VLOOKUP(A404,TaskPlan!A:L,3,FALSE),1) = "0"),VLOOKUP(A404,TaskPlan!A:M,4,FALSE),""),"")</f>
        <v/>
      </c>
      <c r="M404" s="58" t="str">
        <f ca="1">IF(B404=".",1,IF(AND(B404="",NOT(A404="")),IF(VLOOKUP(A404,TaskPlan!A:L,5,FALSE)&gt;0,VLOOKUP(A404,TaskPlan!A:L,5,FALSE),""),""))</f>
        <v/>
      </c>
      <c r="N404" s="1" t="str">
        <f ca="1">IF(ISNA(VLOOKUP(A404,Projects!B:B,1,FALSE)),"","Yes")</f>
        <v/>
      </c>
    </row>
    <row r="405" spans="1:14" ht="15.75">
      <c r="A405" s="41" t="s">
        <v>90</v>
      </c>
      <c r="B405" s="7" t="s">
        <v>15</v>
      </c>
      <c r="C405" s="36" t="s">
        <v>741</v>
      </c>
      <c r="E405" s="26"/>
      <c r="H405" s="37" t="str">
        <f ca="1">IF(AND(B405="",NOT(A405="")),VLOOKUP(A405,TaskPlan!A:M,13,FALSE),"")</f>
        <v/>
      </c>
      <c r="I405" s="38" t="str">
        <f ca="1">IF(AND(B405="",NOT(A405="")),VLOOKUP(A405,TaskPlan!A:M,12,FALSE),"")</f>
        <v/>
      </c>
      <c r="J405" s="39" t="str">
        <f ca="1">IF(AND(B405="",NOT(A405="")),VLOOKUP(A405,TaskPlan!A:L,2,FALSE),"")</f>
        <v/>
      </c>
      <c r="K405" s="39" t="str">
        <f ca="1">IF(AND(B405="",NOT(A405="")),IF(NOT(LEFT(VLOOKUP(A405,TaskPlan!A:L,3,FALSE),1) = "0"),VLOOKUP(A405,TaskPlan!A:L,3,FALSE),""),"")</f>
        <v/>
      </c>
      <c r="L405" s="55" t="str">
        <f ca="1">IF(AND(B405="",NOT(A405="")),IF(NOT(LEFT(VLOOKUP(A405,TaskPlan!A:L,3,FALSE),1) = "0"),VLOOKUP(A405,TaskPlan!A:M,4,FALSE),""),"")</f>
        <v/>
      </c>
      <c r="M405" s="58">
        <f ca="1">IF(B405=".",1,IF(AND(B405="",NOT(A405="")),IF(VLOOKUP(A405,TaskPlan!A:L,5,FALSE)&gt;0,VLOOKUP(A405,TaskPlan!A:L,5,FALSE),""),""))</f>
        <v>1</v>
      </c>
      <c r="N405" s="1" t="str">
        <f ca="1">IF(ISNA(VLOOKUP(A405,Projects!B:B,1,FALSE)),"","Yes")</f>
        <v/>
      </c>
    </row>
    <row r="406" spans="1:14" hidden="1" outlineLevel="1">
      <c r="A406" s="41" t="s">
        <v>87</v>
      </c>
      <c r="B406" s="1" t="s">
        <v>15</v>
      </c>
      <c r="C406" s="45" t="s">
        <v>1464</v>
      </c>
      <c r="D406" s="7"/>
      <c r="E406" s="26"/>
      <c r="H406" s="37" t="str">
        <f ca="1">IF(AND(B406="",NOT(A406="")),VLOOKUP(A406,TaskPlan!A:M,13,FALSE),"")</f>
        <v/>
      </c>
      <c r="I406" s="38" t="str">
        <f ca="1">IF(AND(B406="",NOT(A406="")),VLOOKUP(A406,TaskPlan!A:M,12,FALSE),"")</f>
        <v/>
      </c>
      <c r="J406" s="39" t="str">
        <f ca="1">IF(AND(B406="",NOT(A406="")),VLOOKUP(A406,TaskPlan!A:L,2,FALSE),"")</f>
        <v/>
      </c>
      <c r="K406" s="39" t="str">
        <f ca="1">IF(AND(B406="",NOT(A406="")),IF(NOT(LEFT(VLOOKUP(A406,TaskPlan!A:L,3,FALSE),1) = "0"),VLOOKUP(A406,TaskPlan!A:L,3,FALSE),""),"")</f>
        <v/>
      </c>
      <c r="L406" s="55" t="str">
        <f ca="1">IF(AND(B406="",NOT(A406="")),IF(NOT(LEFT(VLOOKUP(A406,TaskPlan!A:L,3,FALSE),1) = "0"),VLOOKUP(A406,TaskPlan!A:M,4,FALSE),""),"")</f>
        <v/>
      </c>
      <c r="M406" s="58">
        <f ca="1">IF(B406=".",1,IF(AND(B406="",NOT(A406="")),IF(VLOOKUP(A406,TaskPlan!A:L,5,FALSE)&gt;0,VLOOKUP(A406,TaskPlan!A:L,5,FALSE),""),""))</f>
        <v>1</v>
      </c>
      <c r="N406" s="1" t="str">
        <f ca="1">IF(ISNA(VLOOKUP(A406,Projects!B:B,1,FALSE)),"","Yes")</f>
        <v/>
      </c>
    </row>
    <row r="407" spans="1:14" hidden="1" outlineLevel="1">
      <c r="A407" s="43" t="s">
        <v>1462</v>
      </c>
      <c r="C407" s="44" t="s">
        <v>742</v>
      </c>
      <c r="D407" s="7" t="s">
        <v>11</v>
      </c>
      <c r="E407" s="26">
        <v>40410</v>
      </c>
      <c r="F407" s="25">
        <v>3</v>
      </c>
      <c r="G407" s="25" t="s">
        <v>1098</v>
      </c>
      <c r="H407" s="37">
        <f ca="1">IF(AND(B407="",NOT(A407="")),VLOOKUP(A407,TaskPlan!A:M,13,FALSE),"")</f>
        <v>40520</v>
      </c>
      <c r="I407" s="38" t="str">
        <f ca="1">IF(AND(B407="",NOT(A407="")),VLOOKUP(A407,TaskPlan!A:M,12,FALSE),"")</f>
        <v>Closed</v>
      </c>
      <c r="J407" s="39" t="str">
        <f ca="1">IF(AND(B407="",NOT(A407="")),VLOOKUP(A407,TaskPlan!A:L,2,FALSE),"")</f>
        <v>Neil</v>
      </c>
      <c r="K407" s="39" t="str">
        <f ca="1">IF(AND(B407="",NOT(A407="")),IF(NOT(LEFT(VLOOKUP(A407,TaskPlan!A:L,3,FALSE),1) = "0"),VLOOKUP(A407,TaskPlan!A:L,3,FALSE),""),"")</f>
        <v/>
      </c>
      <c r="L407" s="55" t="str">
        <f ca="1">IF(AND(B407="",NOT(A407="")),IF(NOT(LEFT(VLOOKUP(A407,TaskPlan!A:L,3,FALSE),1) = "0"),VLOOKUP(A407,TaskPlan!A:M,4,FALSE),""),"")</f>
        <v/>
      </c>
      <c r="M407" s="58" t="str">
        <f ca="1">IF(B407=".",1,IF(AND(B407="",NOT(A407="")),IF(VLOOKUP(A407,TaskPlan!A:L,5,FALSE)&gt;0,VLOOKUP(A407,TaskPlan!A:L,5,FALSE),""),""))</f>
        <v/>
      </c>
      <c r="N407" s="1" t="str">
        <f ca="1">IF(ISNA(VLOOKUP(A407,Projects!B:B,1,FALSE)),"","Yes")</f>
        <v/>
      </c>
    </row>
    <row r="408" spans="1:14" hidden="1" outlineLevel="1">
      <c r="A408" s="43" t="s">
        <v>1463</v>
      </c>
      <c r="C408" s="44" t="s">
        <v>1465</v>
      </c>
      <c r="D408" s="7" t="s">
        <v>11</v>
      </c>
      <c r="E408" s="26">
        <v>40410</v>
      </c>
      <c r="F408" s="25">
        <v>1</v>
      </c>
      <c r="G408" s="25" t="s">
        <v>1098</v>
      </c>
      <c r="H408" s="37">
        <f ca="1">IF(AND(B408="",NOT(A408="")),VLOOKUP(A408,TaskPlan!A:M,13,FALSE),"")</f>
        <v>40438</v>
      </c>
      <c r="I408" s="38" t="str">
        <f ca="1">IF(AND(B408="",NOT(A408="")),VLOOKUP(A408,TaskPlan!A:M,12,FALSE),"")</f>
        <v>Closed</v>
      </c>
      <c r="J408" s="39" t="str">
        <f ca="1">IF(AND(B408="",NOT(A408="")),VLOOKUP(A408,TaskPlan!A:L,2,FALSE),"")</f>
        <v>Neil</v>
      </c>
      <c r="K408" s="39" t="str">
        <f ca="1">IF(AND(B408="",NOT(A408="")),IF(NOT(LEFT(VLOOKUP(A408,TaskPlan!A:L,3,FALSE),1) = "0"),VLOOKUP(A408,TaskPlan!A:L,3,FALSE),""),"")</f>
        <v/>
      </c>
      <c r="L408" s="55" t="str">
        <f ca="1">IF(AND(B408="",NOT(A408="")),IF(NOT(LEFT(VLOOKUP(A408,TaskPlan!A:L,3,FALSE),1) = "0"),VLOOKUP(A408,TaskPlan!A:M,4,FALSE),""),"")</f>
        <v/>
      </c>
      <c r="M408" s="58" t="str">
        <f ca="1">IF(B408=".",1,IF(AND(B408="",NOT(A408="")),IF(VLOOKUP(A408,TaskPlan!A:L,5,FALSE)&gt;0,VLOOKUP(A408,TaskPlan!A:L,5,FALSE),""),""))</f>
        <v/>
      </c>
      <c r="N408" s="1" t="str">
        <f ca="1">IF(ISNA(VLOOKUP(A408,Projects!B:B,1,FALSE)),"","Yes")</f>
        <v/>
      </c>
    </row>
    <row r="409" spans="1:14" hidden="1" outlineLevel="1">
      <c r="A409" s="43" t="s">
        <v>1752</v>
      </c>
      <c r="C409" s="44" t="s">
        <v>1753</v>
      </c>
      <c r="D409" s="7" t="s">
        <v>1754</v>
      </c>
      <c r="E409" s="26">
        <v>40520</v>
      </c>
      <c r="F409" s="25">
        <v>5</v>
      </c>
      <c r="G409" s="25" t="s">
        <v>1213</v>
      </c>
      <c r="H409" s="37">
        <f ca="1">IF(AND(B409="",NOT(A409="")),VLOOKUP(A409,TaskPlan!A:M,13,FALSE),"")</f>
        <v>40553</v>
      </c>
      <c r="I409" s="38" t="str">
        <f ca="1">IF(AND(B409="",NOT(A409="")),VLOOKUP(A409,TaskPlan!A:M,12,FALSE),"")</f>
        <v>In Progress</v>
      </c>
      <c r="J409" s="39" t="str">
        <f ca="1">IF(AND(B409="",NOT(A409="")),VLOOKUP(A409,TaskPlan!A:L,2,FALSE),"")</f>
        <v>Sreevani</v>
      </c>
      <c r="K409" s="39" t="str">
        <f ca="1">IF(AND(B409="",NOT(A409="")),IF(NOT(LEFT(VLOOKUP(A409,TaskPlan!A:L,3,FALSE),1) = "0"),VLOOKUP(A409,TaskPlan!A:L,3,FALSE),""),"")</f>
        <v>5-HIGH</v>
      </c>
      <c r="L409" s="55">
        <f ca="1">IF(AND(B409="",NOT(A409="")),IF(NOT(LEFT(VLOOKUP(A409,TaskPlan!A:L,3,FALSE),1) = "0"),VLOOKUP(A409,TaskPlan!A:M,4,FALSE),""),"")</f>
        <v>0</v>
      </c>
      <c r="M409" s="58" t="str">
        <f ca="1">IF(B409=".",1,IF(AND(B409="",NOT(A409="")),IF(VLOOKUP(A409,TaskPlan!A:L,5,FALSE)&gt;0,VLOOKUP(A409,TaskPlan!A:L,5,FALSE),""),""))</f>
        <v/>
      </c>
      <c r="N409" s="1" t="str">
        <f ca="1">IF(ISNA(VLOOKUP(A409,Projects!B:B,1,FALSE)),"","Yes")</f>
        <v/>
      </c>
    </row>
    <row r="410" spans="1:14" hidden="1" outlineLevel="1">
      <c r="A410" s="43" t="s">
        <v>1940</v>
      </c>
      <c r="C410" s="44" t="s">
        <v>1941</v>
      </c>
      <c r="D410" s="7" t="s">
        <v>11</v>
      </c>
      <c r="E410" s="26">
        <v>40590</v>
      </c>
      <c r="F410" s="25">
        <v>1</v>
      </c>
      <c r="G410" s="25" t="s">
        <v>1735</v>
      </c>
      <c r="H410" s="37">
        <f ca="1">IF(AND(B410="",NOT(A410="")),VLOOKUP(A410,TaskPlan!A:M,13,FALSE),"")</f>
        <v>40590</v>
      </c>
      <c r="I410" s="38" t="str">
        <f ca="1">IF(AND(B410="",NOT(A410="")),VLOOKUP(A410,TaskPlan!A:M,12,FALSE),"")</f>
        <v>In Progress</v>
      </c>
      <c r="J410" s="39" t="str">
        <f ca="1">IF(AND(B410="",NOT(A410="")),VLOOKUP(A410,TaskPlan!A:L,2,FALSE),"")</f>
        <v>Sreevani</v>
      </c>
      <c r="K410" s="39" t="str">
        <f ca="1">IF(AND(B410="",NOT(A410="")),IF(NOT(LEFT(VLOOKUP(A410,TaskPlan!A:L,3,FALSE),1) = "0"),VLOOKUP(A410,TaskPlan!A:L,3,FALSE),""),"")</f>
        <v>3-MED</v>
      </c>
      <c r="L410" s="55">
        <f ca="1">IF(AND(B410="",NOT(A410="")),IF(NOT(LEFT(VLOOKUP(A410,TaskPlan!A:L,3,FALSE),1) = "0"),VLOOKUP(A410,TaskPlan!A:M,4,FALSE),""),"")</f>
        <v>0</v>
      </c>
      <c r="M410" s="58" t="str">
        <f ca="1">IF(B410=".",1,IF(AND(B410="",NOT(A410="")),IF(VLOOKUP(A410,TaskPlan!A:L,5,FALSE)&gt;0,VLOOKUP(A410,TaskPlan!A:L,5,FALSE),""),""))</f>
        <v/>
      </c>
      <c r="N410" s="1" t="str">
        <f ca="1">IF(ISNA(VLOOKUP(A410,Projects!B:B,1,FALSE)),"","Yes")</f>
        <v/>
      </c>
    </row>
    <row r="411" spans="1:14" hidden="1" outlineLevel="1">
      <c r="A411" s="41" t="s">
        <v>88</v>
      </c>
      <c r="B411" s="1" t="s">
        <v>15</v>
      </c>
      <c r="C411" s="45" t="s">
        <v>47</v>
      </c>
      <c r="D411" s="7"/>
      <c r="E411" s="26">
        <v>39917</v>
      </c>
      <c r="H411" s="37" t="str">
        <f ca="1">IF(AND(B411="",NOT(A411="")),VLOOKUP(A411,TaskPlan!A:M,13,FALSE),"")</f>
        <v/>
      </c>
      <c r="I411" s="38" t="str">
        <f ca="1">IF(AND(B411="",NOT(A411="")),VLOOKUP(A411,TaskPlan!A:M,12,FALSE),"")</f>
        <v/>
      </c>
      <c r="J411" s="39" t="str">
        <f ca="1">IF(AND(B411="",NOT(A411="")),VLOOKUP(A411,TaskPlan!A:L,2,FALSE),"")</f>
        <v/>
      </c>
      <c r="K411" s="39" t="str">
        <f ca="1">IF(AND(B411="",NOT(A411="")),IF(NOT(LEFT(VLOOKUP(A411,TaskPlan!A:L,3,FALSE),1) = "0"),VLOOKUP(A411,TaskPlan!A:L,3,FALSE),""),"")</f>
        <v/>
      </c>
      <c r="L411" s="55" t="str">
        <f ca="1">IF(AND(B411="",NOT(A411="")),IF(NOT(LEFT(VLOOKUP(A411,TaskPlan!A:L,3,FALSE),1) = "0"),VLOOKUP(A411,TaskPlan!A:M,4,FALSE),""),"")</f>
        <v/>
      </c>
      <c r="M411" s="58">
        <f ca="1">IF(B411=".",1,IF(AND(B411="",NOT(A411="")),IF(VLOOKUP(A411,TaskPlan!A:L,5,FALSE)&gt;0,VLOOKUP(A411,TaskPlan!A:L,5,FALSE),""),""))</f>
        <v>1</v>
      </c>
      <c r="N411" s="1" t="str">
        <f ca="1">IF(ISNA(VLOOKUP(A411,Projects!B:B,1,FALSE)),"","Yes")</f>
        <v/>
      </c>
    </row>
    <row r="412" spans="1:14" hidden="1" outlineLevel="1">
      <c r="A412" s="43" t="s">
        <v>1325</v>
      </c>
      <c r="C412" s="44" t="s">
        <v>1327</v>
      </c>
      <c r="D412" s="7" t="s">
        <v>11</v>
      </c>
      <c r="E412" s="26">
        <v>40361</v>
      </c>
      <c r="F412" s="25">
        <v>2</v>
      </c>
      <c r="G412" s="25" t="s">
        <v>1213</v>
      </c>
      <c r="H412" s="37">
        <f ca="1">IF(AND(B412="",NOT(A412="")),VLOOKUP(A412,TaskPlan!A:M,13,FALSE),"")</f>
        <v>39975</v>
      </c>
      <c r="I412" s="38" t="str">
        <f ca="1">IF(AND(B412="",NOT(A412="")),VLOOKUP(A412,TaskPlan!A:M,12,FALSE),"")</f>
        <v>Closed</v>
      </c>
      <c r="J412" s="39" t="str">
        <f ca="1">IF(AND(B412="",NOT(A412="")),VLOOKUP(A412,TaskPlan!A:L,2,FALSE),"")</f>
        <v>Neil</v>
      </c>
      <c r="K412" s="39" t="str">
        <f ca="1">IF(AND(B412="",NOT(A412="")),IF(NOT(LEFT(VLOOKUP(A412,TaskPlan!A:L,3,FALSE),1) = "0"),VLOOKUP(A412,TaskPlan!A:L,3,FALSE),""),"")</f>
        <v/>
      </c>
      <c r="L412" s="55" t="str">
        <f ca="1">IF(AND(B412="",NOT(A412="")),IF(NOT(LEFT(VLOOKUP(A412,TaskPlan!A:L,3,FALSE),1) = "0"),VLOOKUP(A412,TaskPlan!A:M,4,FALSE),""),"")</f>
        <v/>
      </c>
      <c r="M412" s="58" t="str">
        <f ca="1">IF(B412=".",1,IF(AND(B412="",NOT(A412="")),IF(VLOOKUP(A412,TaskPlan!A:L,5,FALSE)&gt;0,VLOOKUP(A412,TaskPlan!A:L,5,FALSE),""),""))</f>
        <v/>
      </c>
      <c r="N412" s="1" t="str">
        <f ca="1">IF(ISNA(VLOOKUP(A412,Projects!B:B,1,FALSE)),"","Yes")</f>
        <v>Yes</v>
      </c>
    </row>
    <row r="413" spans="1:14" hidden="1" outlineLevel="1">
      <c r="A413" s="43" t="s">
        <v>1326</v>
      </c>
      <c r="C413" s="44" t="s">
        <v>1459</v>
      </c>
      <c r="D413" s="7" t="s">
        <v>11</v>
      </c>
      <c r="E413" s="26">
        <v>40410</v>
      </c>
      <c r="F413" s="25">
        <v>5</v>
      </c>
      <c r="G413" s="25" t="s">
        <v>1213</v>
      </c>
      <c r="H413" s="37">
        <f ca="1">IF(AND(B413="",NOT(A413="")),VLOOKUP(A413,TaskPlan!A:M,13,FALSE),"")</f>
        <v>40417</v>
      </c>
      <c r="I413" s="38" t="str">
        <f ca="1">IF(AND(B413="",NOT(A413="")),VLOOKUP(A413,TaskPlan!A:M,12,FALSE),"")</f>
        <v>Closed</v>
      </c>
      <c r="J413" s="39" t="str">
        <f ca="1">IF(AND(B413="",NOT(A413="")),VLOOKUP(A413,TaskPlan!A:L,2,FALSE),"")</f>
        <v>Ruth</v>
      </c>
      <c r="K413" s="39" t="str">
        <f ca="1">IF(AND(B413="",NOT(A413="")),IF(NOT(LEFT(VLOOKUP(A413,TaskPlan!A:L,3,FALSE),1) = "0"),VLOOKUP(A413,TaskPlan!A:L,3,FALSE),""),"")</f>
        <v/>
      </c>
      <c r="L413" s="55" t="str">
        <f ca="1">IF(AND(B413="",NOT(A413="")),IF(NOT(LEFT(VLOOKUP(A413,TaskPlan!A:L,3,FALSE),1) = "0"),VLOOKUP(A413,TaskPlan!A:M,4,FALSE),""),"")</f>
        <v/>
      </c>
      <c r="M413" s="58" t="str">
        <f ca="1">IF(B413=".",1,IF(AND(B413="",NOT(A413="")),IF(VLOOKUP(A413,TaskPlan!A:L,5,FALSE)&gt;0,VLOOKUP(A413,TaskPlan!A:L,5,FALSE),""),""))</f>
        <v/>
      </c>
      <c r="N413" s="1" t="str">
        <f ca="1">IF(ISNA(VLOOKUP(A413,Projects!B:B,1,FALSE)),"","Yes")</f>
        <v>Yes</v>
      </c>
    </row>
    <row r="414" spans="1:14" hidden="1" outlineLevel="1">
      <c r="A414" s="43" t="s">
        <v>1455</v>
      </c>
      <c r="C414" s="44" t="s">
        <v>1456</v>
      </c>
      <c r="D414" s="7" t="s">
        <v>11</v>
      </c>
      <c r="E414" s="26">
        <v>40410</v>
      </c>
      <c r="F414" s="25">
        <v>1</v>
      </c>
      <c r="G414" s="25" t="s">
        <v>1213</v>
      </c>
      <c r="H414" s="37">
        <f ca="1">IF(AND(B414="",NOT(A414="")),VLOOKUP(A414,TaskPlan!A:M,13,FALSE),"")</f>
        <v>40532</v>
      </c>
      <c r="I414" s="38" t="str">
        <f ca="1">IF(AND(B414="",NOT(A414="")),VLOOKUP(A414,TaskPlan!A:M,12,FALSE),"")</f>
        <v>Closed</v>
      </c>
      <c r="J414" s="39" t="str">
        <f ca="1">IF(AND(B414="",NOT(A414="")),VLOOKUP(A414,TaskPlan!A:L,2,FALSE),"")</f>
        <v>Ruth</v>
      </c>
      <c r="K414" s="39" t="str">
        <f ca="1">IF(AND(B414="",NOT(A414="")),IF(NOT(LEFT(VLOOKUP(A414,TaskPlan!A:L,3,FALSE),1) = "0"),VLOOKUP(A414,TaskPlan!A:L,3,FALSE),""),"")</f>
        <v/>
      </c>
      <c r="L414" s="55" t="str">
        <f ca="1">IF(AND(B414="",NOT(A414="")),IF(NOT(LEFT(VLOOKUP(A414,TaskPlan!A:L,3,FALSE),1) = "0"),VLOOKUP(A414,TaskPlan!A:M,4,FALSE),""),"")</f>
        <v/>
      </c>
      <c r="M414" s="58" t="str">
        <f ca="1">IF(B414=".",1,IF(AND(B414="",NOT(A414="")),IF(VLOOKUP(A414,TaskPlan!A:L,5,FALSE)&gt;0,VLOOKUP(A414,TaskPlan!A:L,5,FALSE),""),""))</f>
        <v/>
      </c>
      <c r="N414" s="1" t="str">
        <f ca="1">IF(ISNA(VLOOKUP(A414,Projects!B:B,1,FALSE)),"","Yes")</f>
        <v>Yes</v>
      </c>
    </row>
    <row r="415" spans="1:14" hidden="1" outlineLevel="1">
      <c r="A415" s="43" t="s">
        <v>1457</v>
      </c>
      <c r="C415" s="44" t="s">
        <v>1458</v>
      </c>
      <c r="D415" s="7" t="s">
        <v>11</v>
      </c>
      <c r="E415" s="26">
        <v>40410</v>
      </c>
      <c r="F415" s="25">
        <v>1</v>
      </c>
      <c r="G415" s="25" t="s">
        <v>1213</v>
      </c>
      <c r="H415" s="37">
        <f ca="1">IF(AND(B415="",NOT(A415="")),VLOOKUP(A415,TaskPlan!A:M,13,FALSE),"")</f>
        <v>40532</v>
      </c>
      <c r="I415" s="38" t="str">
        <f ca="1">IF(AND(B415="",NOT(A415="")),VLOOKUP(A415,TaskPlan!A:M,12,FALSE),"")</f>
        <v>Closed</v>
      </c>
      <c r="J415" s="39" t="str">
        <f ca="1">IF(AND(B415="",NOT(A415="")),VLOOKUP(A415,TaskPlan!A:L,2,FALSE),"")</f>
        <v>Ruth</v>
      </c>
      <c r="K415" s="39" t="str">
        <f ca="1">IF(AND(B415="",NOT(A415="")),IF(NOT(LEFT(VLOOKUP(A415,TaskPlan!A:L,3,FALSE),1) = "0"),VLOOKUP(A415,TaskPlan!A:L,3,FALSE),""),"")</f>
        <v/>
      </c>
      <c r="L415" s="55" t="str">
        <f ca="1">IF(AND(B415="",NOT(A415="")),IF(NOT(LEFT(VLOOKUP(A415,TaskPlan!A:L,3,FALSE),1) = "0"),VLOOKUP(A415,TaskPlan!A:M,4,FALSE),""),"")</f>
        <v/>
      </c>
      <c r="M415" s="58" t="str">
        <f ca="1">IF(B415=".",1,IF(AND(B415="",NOT(A415="")),IF(VLOOKUP(A415,TaskPlan!A:L,5,FALSE)&gt;0,VLOOKUP(A415,TaskPlan!A:L,5,FALSE),""),""))</f>
        <v/>
      </c>
      <c r="N415" s="1" t="str">
        <f ca="1">IF(ISNA(VLOOKUP(A415,Projects!B:B,1,FALSE)),"","Yes")</f>
        <v>Yes</v>
      </c>
    </row>
    <row r="416" spans="1:14" ht="38.25" hidden="1" outlineLevel="1">
      <c r="A416" s="43" t="s">
        <v>1704</v>
      </c>
      <c r="C416" s="44" t="s">
        <v>1705</v>
      </c>
      <c r="D416" s="7" t="s">
        <v>11</v>
      </c>
      <c r="E416" s="26">
        <v>40504</v>
      </c>
      <c r="F416" s="25">
        <v>1</v>
      </c>
      <c r="G416" s="25" t="s">
        <v>1098</v>
      </c>
      <c r="H416" s="37">
        <f ca="1">IF(AND(B416="",NOT(A416="")),VLOOKUP(A416,TaskPlan!A:M,13,FALSE),"")</f>
        <v>40505</v>
      </c>
      <c r="I416" s="38" t="str">
        <f ca="1">IF(AND(B416="",NOT(A416="")),VLOOKUP(A416,TaskPlan!A:M,12,FALSE),"")</f>
        <v>Not Started</v>
      </c>
      <c r="J416" s="39" t="str">
        <f ca="1">IF(AND(B416="",NOT(A416="")),VLOOKUP(A416,TaskPlan!A:L,2,FALSE),"")</f>
        <v>Ruth</v>
      </c>
      <c r="K416" s="39" t="str">
        <f ca="1">IF(AND(B416="",NOT(A416="")),IF(NOT(LEFT(VLOOKUP(A416,TaskPlan!A:L,3,FALSE),1) = "0"),VLOOKUP(A416,TaskPlan!A:L,3,FALSE),""),"")</f>
        <v>3-MED</v>
      </c>
      <c r="L416" s="55">
        <f ca="1">IF(AND(B416="",NOT(A416="")),IF(NOT(LEFT(VLOOKUP(A416,TaskPlan!A:L,3,FALSE),1) = "0"),VLOOKUP(A416,TaskPlan!A:M,4,FALSE),""),"")</f>
        <v>0</v>
      </c>
      <c r="M416" s="58" t="str">
        <f ca="1">IF(B416=".",1,IF(AND(B416="",NOT(A416="")),IF(VLOOKUP(A416,TaskPlan!A:L,5,FALSE)&gt;0,VLOOKUP(A416,TaskPlan!A:L,5,FALSE),""),""))</f>
        <v/>
      </c>
      <c r="N416" s="1" t="str">
        <f ca="1">IF(ISNA(VLOOKUP(A416,Projects!B:B,1,FALSE)),"","Yes")</f>
        <v/>
      </c>
    </row>
    <row r="417" spans="1:14" ht="25.5" hidden="1" outlineLevel="1">
      <c r="A417" s="43" t="s">
        <v>1782</v>
      </c>
      <c r="C417" s="44" t="s">
        <v>1783</v>
      </c>
      <c r="D417" s="7" t="s">
        <v>11</v>
      </c>
      <c r="E417" s="26">
        <v>40521</v>
      </c>
      <c r="F417" s="25">
        <v>2</v>
      </c>
      <c r="G417" s="25" t="s">
        <v>1098</v>
      </c>
      <c r="H417" s="37">
        <f ca="1">IF(AND(B417="",NOT(A417="")),VLOOKUP(A417,TaskPlan!A:M,13,FALSE),"")</f>
        <v>40246</v>
      </c>
      <c r="I417" s="38" t="str">
        <f ca="1">IF(AND(B417="",NOT(A417="")),VLOOKUP(A417,TaskPlan!A:M,12,FALSE),"")</f>
        <v>In Progress</v>
      </c>
      <c r="J417" s="39" t="str">
        <f ca="1">IF(AND(B417="",NOT(A417="")),VLOOKUP(A417,TaskPlan!A:L,2,FALSE),"")</f>
        <v>Ruth</v>
      </c>
      <c r="K417" s="39" t="str">
        <f ca="1">IF(AND(B417="",NOT(A417="")),IF(NOT(LEFT(VLOOKUP(A417,TaskPlan!A:L,3,FALSE),1) = "0"),VLOOKUP(A417,TaskPlan!A:L,3,FALSE),""),"")</f>
        <v>3-MED</v>
      </c>
      <c r="L417" s="55">
        <f ca="1">IF(AND(B417="",NOT(A417="")),IF(NOT(LEFT(VLOOKUP(A417,TaskPlan!A:L,3,FALSE),1) = "0"),VLOOKUP(A417,TaskPlan!A:M,4,FALSE),""),"")</f>
        <v>0</v>
      </c>
      <c r="M417" s="58" t="str">
        <f ca="1">IF(B417=".",1,IF(AND(B417="",NOT(A417="")),IF(VLOOKUP(A417,TaskPlan!A:L,5,FALSE)&gt;0,VLOOKUP(A417,TaskPlan!A:L,5,FALSE),""),""))</f>
        <v/>
      </c>
      <c r="N417" s="1" t="str">
        <f ca="1">IF(ISNA(VLOOKUP(A417,Projects!B:B,1,FALSE)),"","Yes")</f>
        <v/>
      </c>
    </row>
    <row r="418" spans="1:14" hidden="1" outlineLevel="1">
      <c r="A418" s="43" t="s">
        <v>89</v>
      </c>
      <c r="B418" s="7" t="s">
        <v>15</v>
      </c>
      <c r="C418" s="45" t="s">
        <v>245</v>
      </c>
      <c r="D418" s="7"/>
      <c r="E418" s="26"/>
      <c r="H418" s="37" t="str">
        <f ca="1">IF(AND(B418="",NOT(A418="")),VLOOKUP(A418,TaskPlan!A:M,13,FALSE),"")</f>
        <v/>
      </c>
      <c r="I418" s="38" t="str">
        <f ca="1">IF(AND(B418="",NOT(A418="")),VLOOKUP(A418,TaskPlan!A:M,12,FALSE),"")</f>
        <v/>
      </c>
      <c r="J418" s="39" t="str">
        <f ca="1">IF(AND(B418="",NOT(A418="")),VLOOKUP(A418,TaskPlan!A:L,2,FALSE),"")</f>
        <v/>
      </c>
      <c r="K418" s="39" t="str">
        <f ca="1">IF(AND(B418="",NOT(A418="")),IF(NOT(LEFT(VLOOKUP(A418,TaskPlan!A:L,3,FALSE),1) = "0"),VLOOKUP(A418,TaskPlan!A:L,3,FALSE),""),"")</f>
        <v/>
      </c>
      <c r="L418" s="55" t="str">
        <f ca="1">IF(AND(B418="",NOT(A418="")),IF(NOT(LEFT(VLOOKUP(A418,TaskPlan!A:L,3,FALSE),1) = "0"),VLOOKUP(A418,TaskPlan!A:M,4,FALSE),""),"")</f>
        <v/>
      </c>
      <c r="N418" s="1" t="str">
        <f ca="1">IF(ISNA(VLOOKUP(A418,Projects!B:B,1,FALSE)),"","Yes")</f>
        <v/>
      </c>
    </row>
    <row r="419" spans="1:14" hidden="1" outlineLevel="1">
      <c r="A419" s="41" t="s">
        <v>246</v>
      </c>
      <c r="C419" s="44" t="s">
        <v>49</v>
      </c>
      <c r="D419" s="7" t="s">
        <v>11</v>
      </c>
      <c r="E419" s="26">
        <v>39917</v>
      </c>
      <c r="H419" s="37">
        <f ca="1">IF(AND(B419="",NOT(A419="")),VLOOKUP(A419,TaskPlan!A:M,13,FALSE),"")</f>
        <v>39932</v>
      </c>
      <c r="I419" s="38" t="str">
        <f ca="1">IF(AND(B419="",NOT(A419="")),VLOOKUP(A419,TaskPlan!A:M,12,FALSE),"")</f>
        <v>Closed</v>
      </c>
      <c r="J419" s="39" t="str">
        <f ca="1">IF(AND(B419="",NOT(A419="")),VLOOKUP(A419,TaskPlan!A:L,2,FALSE),"")</f>
        <v>Dan Balsom</v>
      </c>
      <c r="K419" s="39" t="str">
        <f ca="1">IF(AND(B419="",NOT(A419="")),IF(NOT(LEFT(VLOOKUP(A419,TaskPlan!A:L,3,FALSE),1) = "0"),VLOOKUP(A419,TaskPlan!A:L,3,FALSE),""),"")</f>
        <v/>
      </c>
      <c r="L419" s="55" t="str">
        <f ca="1">IF(AND(B419="",NOT(A419="")),IF(NOT(LEFT(VLOOKUP(A419,TaskPlan!A:L,3,FALSE),1) = "0"),VLOOKUP(A419,TaskPlan!A:M,4,FALSE),""),"")</f>
        <v/>
      </c>
      <c r="M419" s="58" t="str">
        <f ca="1">IF(B419=".",1,IF(AND(B419="",NOT(A419="")),IF(VLOOKUP(A419,TaskPlan!A:L,5,FALSE)&gt;0,VLOOKUP(A419,TaskPlan!A:L,5,FALSE),""),""))</f>
        <v/>
      </c>
      <c r="N419" s="1" t="str">
        <f ca="1">IF(ISNA(VLOOKUP(A419,Projects!B:B,1,FALSE)),"","Yes")</f>
        <v/>
      </c>
    </row>
    <row r="420" spans="1:14" hidden="1" outlineLevel="1">
      <c r="A420" s="43" t="s">
        <v>247</v>
      </c>
      <c r="C420" s="44" t="s">
        <v>248</v>
      </c>
      <c r="D420" s="7" t="s">
        <v>11</v>
      </c>
      <c r="E420" s="26">
        <v>39975</v>
      </c>
      <c r="H420" s="37">
        <f ca="1">IF(AND(B420="",NOT(A420="")),VLOOKUP(A420,TaskPlan!A:M,13,FALSE),"")</f>
        <v>39983</v>
      </c>
      <c r="I420" s="38" t="str">
        <f ca="1">IF(AND(B420="",NOT(A420="")),VLOOKUP(A420,TaskPlan!A:M,12,FALSE),"")</f>
        <v>Closed</v>
      </c>
      <c r="J420" s="39" t="str">
        <f ca="1">IF(AND(B420="",NOT(A420="")),VLOOKUP(A420,TaskPlan!A:L,2,FALSE),"")</f>
        <v>Pramendra</v>
      </c>
      <c r="K420" s="39" t="str">
        <f ca="1">IF(AND(B420="",NOT(A420="")),IF(NOT(LEFT(VLOOKUP(A420,TaskPlan!A:L,3,FALSE),1) = "0"),VLOOKUP(A420,TaskPlan!A:L,3,FALSE),""),"")</f>
        <v/>
      </c>
      <c r="L420" s="55" t="str">
        <f ca="1">IF(AND(B420="",NOT(A420="")),IF(NOT(LEFT(VLOOKUP(A420,TaskPlan!A:L,3,FALSE),1) = "0"),VLOOKUP(A420,TaskPlan!A:M,4,FALSE),""),"")</f>
        <v/>
      </c>
      <c r="M420" s="58" t="str">
        <f ca="1">IF(B420=".",1,IF(AND(B420="",NOT(A420="")),IF(VLOOKUP(A420,TaskPlan!A:L,5,FALSE)&gt;0,VLOOKUP(A420,TaskPlan!A:L,5,FALSE),""),""))</f>
        <v/>
      </c>
      <c r="N420" s="1" t="str">
        <f ca="1">IF(ISNA(VLOOKUP(A420,Projects!B:B,1,FALSE)),"","Yes")</f>
        <v/>
      </c>
    </row>
    <row r="421" spans="1:14" hidden="1" outlineLevel="1">
      <c r="A421" s="43" t="s">
        <v>957</v>
      </c>
      <c r="B421" s="7" t="s">
        <v>15</v>
      </c>
      <c r="C421" s="45" t="s">
        <v>958</v>
      </c>
      <c r="D421" s="7"/>
      <c r="E421" s="26"/>
      <c r="H421" s="37" t="str">
        <f ca="1">IF(AND(B421="",NOT(A421="")),VLOOKUP(A421,TaskPlan!A:M,13,FALSE),"")</f>
        <v/>
      </c>
      <c r="I421" s="38" t="str">
        <f ca="1">IF(AND(B421="",NOT(A421="")),VLOOKUP(A421,TaskPlan!A:M,12,FALSE),"")</f>
        <v/>
      </c>
      <c r="L421" s="55" t="str">
        <f ca="1">IF(AND(B421="",NOT(A421="")),IF(NOT(LEFT(VLOOKUP(A421,TaskPlan!A:L,3,FALSE),1) = "0"),VLOOKUP(A421,TaskPlan!A:M,4,FALSE),""),"")</f>
        <v/>
      </c>
      <c r="M421" s="58">
        <f ca="1">IF(B421=".",1,IF(AND(B421="",NOT(A421="")),IF(VLOOKUP(A421,TaskPlan!A:L,5,FALSE)&gt;0,VLOOKUP(A421,TaskPlan!A:L,5,FALSE),""),""))</f>
        <v>1</v>
      </c>
      <c r="N421" s="1" t="str">
        <f ca="1">IF(ISNA(VLOOKUP(A421,Projects!B:B,1,FALSE)),"","Yes")</f>
        <v/>
      </c>
    </row>
    <row r="422" spans="1:14" hidden="1" outlineLevel="1">
      <c r="A422" s="43" t="s">
        <v>959</v>
      </c>
      <c r="B422" s="7"/>
      <c r="C422" s="44" t="s">
        <v>1065</v>
      </c>
      <c r="D422" s="7" t="s">
        <v>11</v>
      </c>
      <c r="E422" s="26">
        <v>40283</v>
      </c>
      <c r="F422" s="25">
        <v>1</v>
      </c>
      <c r="G422" s="25" t="s">
        <v>1098</v>
      </c>
      <c r="H422" s="37">
        <f ca="1">IF(AND(B422="",NOT(A422="")),VLOOKUP(A422,TaskPlan!A:M,13,FALSE),"")</f>
        <v>40336</v>
      </c>
      <c r="I422" s="38" t="str">
        <f ca="1">IF(AND(B422="",NOT(A422="")),VLOOKUP(A422,TaskPlan!A:M,12,FALSE),"")</f>
        <v>Closed</v>
      </c>
      <c r="J422" s="39" t="str">
        <f ca="1">IF(AND(B422="",NOT(A422="")),VLOOKUP(A422,TaskPlan!A:L,2,FALSE),"")</f>
        <v>Pramendra</v>
      </c>
      <c r="K422" s="39" t="str">
        <f ca="1">IF(AND(B422="",NOT(A422="")),IF(NOT(LEFT(VLOOKUP(A422,TaskPlan!A:L,3,FALSE),1) = "0"),VLOOKUP(A422,TaskPlan!A:L,3,FALSE),""),"")</f>
        <v/>
      </c>
      <c r="L422" s="55" t="str">
        <f ca="1">IF(AND(B422="",NOT(A422="")),IF(NOT(LEFT(VLOOKUP(A422,TaskPlan!A:L,3,FALSE),1) = "0"),VLOOKUP(A422,TaskPlan!A:M,4,FALSE),""),"")</f>
        <v/>
      </c>
      <c r="M422" s="58" t="str">
        <f ca="1">IF(B422=".",1,IF(AND(B422="",NOT(A422="")),IF(VLOOKUP(A422,TaskPlan!A:L,5,FALSE)&gt;0,VLOOKUP(A422,TaskPlan!A:L,5,FALSE),""),""))</f>
        <v/>
      </c>
      <c r="N422" s="1" t="str">
        <f ca="1">IF(ISNA(VLOOKUP(A422,Projects!B:B,1,FALSE)),"","Yes")</f>
        <v/>
      </c>
    </row>
    <row r="423" spans="1:14" hidden="1" outlineLevel="1">
      <c r="A423" s="43" t="s">
        <v>1027</v>
      </c>
      <c r="B423" s="7" t="s">
        <v>15</v>
      </c>
      <c r="C423" s="45" t="s">
        <v>277</v>
      </c>
      <c r="D423" s="7"/>
      <c r="E423" s="26"/>
      <c r="H423" s="37" t="str">
        <f ca="1">IF(AND(B423="",NOT(A423="")),VLOOKUP(A423,TaskPlan!A:M,13,FALSE),"")</f>
        <v/>
      </c>
      <c r="I423" s="38" t="str">
        <f ca="1">IF(AND(B423="",NOT(A423="")),VLOOKUP(A423,TaskPlan!A:M,12,FALSE),"")</f>
        <v/>
      </c>
      <c r="L423" s="55" t="str">
        <f ca="1">IF(AND(B423="",NOT(A423="")),IF(NOT(LEFT(VLOOKUP(A423,TaskPlan!A:L,3,FALSE),1) = "0"),VLOOKUP(A423,TaskPlan!A:M,4,FALSE),""),"")</f>
        <v/>
      </c>
      <c r="N423" s="1" t="str">
        <f ca="1">IF(ISNA(VLOOKUP(A423,Projects!B:B,1,FALSE)),"","Yes")</f>
        <v/>
      </c>
    </row>
    <row r="424" spans="1:14" ht="25.5" hidden="1" outlineLevel="1">
      <c r="A424" s="43" t="s">
        <v>1028</v>
      </c>
      <c r="B424" s="7"/>
      <c r="C424" s="44" t="s">
        <v>1066</v>
      </c>
      <c r="D424" s="7" t="s">
        <v>11</v>
      </c>
      <c r="E424" s="26">
        <v>40283</v>
      </c>
      <c r="F424" s="25">
        <v>0.5</v>
      </c>
      <c r="G424" s="25" t="s">
        <v>1098</v>
      </c>
      <c r="H424" s="37">
        <f ca="1">IF(AND(B424="",NOT(A424="")),VLOOKUP(A424,TaskPlan!A:M,13,FALSE),"")</f>
        <v>40322</v>
      </c>
      <c r="I424" s="38" t="str">
        <f ca="1">IF(AND(B424="",NOT(A424="")),VLOOKUP(A424,TaskPlan!A:M,12,FALSE),"")</f>
        <v>Closed</v>
      </c>
      <c r="J424" s="39" t="str">
        <f ca="1">IF(AND(B424="",NOT(A424="")),VLOOKUP(A424,TaskPlan!A:L,2,FALSE),"")</f>
        <v>Ruth</v>
      </c>
      <c r="K424" s="39" t="str">
        <f ca="1">IF(AND(B424="",NOT(A424="")),IF(NOT(LEFT(VLOOKUP(A424,TaskPlan!A:L,3,FALSE),1) = "0"),VLOOKUP(A424,TaskPlan!A:L,3,FALSE),""),"")</f>
        <v/>
      </c>
      <c r="L424" s="55" t="str">
        <f ca="1">IF(AND(B424="",NOT(A424="")),IF(NOT(LEFT(VLOOKUP(A424,TaskPlan!A:L,3,FALSE),1) = "0"),VLOOKUP(A424,TaskPlan!A:M,4,FALSE),""),"")</f>
        <v/>
      </c>
      <c r="M424" s="58" t="str">
        <f ca="1">IF(B424=".",1,IF(AND(B424="",NOT(A424="")),IF(VLOOKUP(A424,TaskPlan!A:L,5,FALSE)&gt;0,VLOOKUP(A424,TaskPlan!A:L,5,FALSE),""),""))</f>
        <v/>
      </c>
      <c r="N424" s="1" t="str">
        <f ca="1">IF(ISNA(VLOOKUP(A424,Projects!B:B,1,FALSE)),"","Yes")</f>
        <v/>
      </c>
    </row>
    <row r="425" spans="1:14" hidden="1" outlineLevel="1">
      <c r="A425" s="43" t="s">
        <v>1029</v>
      </c>
      <c r="B425" s="7"/>
      <c r="C425" s="44" t="s">
        <v>1067</v>
      </c>
      <c r="D425" s="7" t="s">
        <v>11</v>
      </c>
      <c r="E425" s="26">
        <v>40283</v>
      </c>
      <c r="F425" s="25">
        <v>0.5</v>
      </c>
      <c r="G425" s="25" t="s">
        <v>1098</v>
      </c>
      <c r="H425" s="37">
        <f ca="1">IF(AND(B425="",NOT(A425="")),VLOOKUP(A425,TaskPlan!A:M,13,FALSE),"")</f>
        <v>40291</v>
      </c>
      <c r="I425" s="38" t="str">
        <f ca="1">IF(AND(B425="",NOT(A425="")),VLOOKUP(A425,TaskPlan!A:M,12,FALSE),"")</f>
        <v>Not Started</v>
      </c>
      <c r="J425" s="39" t="str">
        <f ca="1">IF(AND(B425="",NOT(A425="")),VLOOKUP(A425,TaskPlan!A:L,2,FALSE),"")</f>
        <v>Sachin</v>
      </c>
      <c r="K425" s="39" t="str">
        <f ca="1">IF(AND(B425="",NOT(A425="")),IF(NOT(LEFT(VLOOKUP(A425,TaskPlan!A:L,3,FALSE),1) = "0"),VLOOKUP(A425,TaskPlan!A:L,3,FALSE),""),"")</f>
        <v>4-HIGH</v>
      </c>
      <c r="L425" s="55">
        <f ca="1">IF(AND(B425="",NOT(A425="")),IF(NOT(LEFT(VLOOKUP(A425,TaskPlan!A:L,3,FALSE),1) = "0"),VLOOKUP(A425,TaskPlan!A:M,4,FALSE),""),"")</f>
        <v>40276</v>
      </c>
      <c r="M425" s="58" t="str">
        <f ca="1">IF(B425=".",1,IF(AND(B425="",NOT(A425="")),IF(VLOOKUP(A425,TaskPlan!A:L,5,FALSE)&gt;0,VLOOKUP(A425,TaskPlan!A:L,5,FALSE),""),""))</f>
        <v/>
      </c>
      <c r="N425" s="1" t="str">
        <f ca="1">IF(ISNA(VLOOKUP(A425,Projects!B:B,1,FALSE)),"","Yes")</f>
        <v/>
      </c>
    </row>
    <row r="426" spans="1:14" hidden="1" outlineLevel="1">
      <c r="A426" s="43" t="s">
        <v>1078</v>
      </c>
      <c r="B426" s="7"/>
      <c r="C426" s="44" t="s">
        <v>1079</v>
      </c>
      <c r="D426" s="7" t="s">
        <v>32</v>
      </c>
      <c r="E426" s="26">
        <v>40287</v>
      </c>
      <c r="F426" s="25">
        <v>1</v>
      </c>
      <c r="G426" s="25" t="s">
        <v>1098</v>
      </c>
      <c r="H426" s="37">
        <f ca="1">IF(AND(B426="",NOT(A426="")),VLOOKUP(A426,TaskPlan!A:M,13,FALSE),"")</f>
        <v>40386</v>
      </c>
      <c r="I426" s="38" t="str">
        <f ca="1">IF(AND(B426="",NOT(A426="")),VLOOKUP(A426,TaskPlan!A:M,12,FALSE),"")</f>
        <v>Closed</v>
      </c>
      <c r="J426" s="39" t="str">
        <f ca="1">IF(AND(B426="",NOT(A426="")),VLOOKUP(A426,TaskPlan!A:L,2,FALSE),"")</f>
        <v>Neil</v>
      </c>
      <c r="K426" s="39" t="str">
        <f ca="1">IF(AND(B426="",NOT(A426="")),IF(NOT(LEFT(VLOOKUP(A426,TaskPlan!A:L,3,FALSE),1) = "0"),VLOOKUP(A426,TaskPlan!A:L,3,FALSE),""),"")</f>
        <v/>
      </c>
      <c r="L426" s="55" t="str">
        <f ca="1">IF(AND(B426="",NOT(A426="")),IF(NOT(LEFT(VLOOKUP(A426,TaskPlan!A:L,3,FALSE),1) = "0"),VLOOKUP(A426,TaskPlan!A:M,4,FALSE),""),"")</f>
        <v/>
      </c>
      <c r="N426" s="1" t="str">
        <f ca="1">IF(ISNA(VLOOKUP(A426,Projects!B:B,1,FALSE)),"","Yes")</f>
        <v/>
      </c>
    </row>
    <row r="427" spans="1:14" hidden="1" outlineLevel="1">
      <c r="A427" s="43" t="s">
        <v>1094</v>
      </c>
      <c r="B427" s="7"/>
      <c r="C427" s="44" t="s">
        <v>1095</v>
      </c>
      <c r="D427" s="7" t="s">
        <v>11</v>
      </c>
      <c r="E427" s="26">
        <v>40288</v>
      </c>
      <c r="F427" s="25">
        <v>3</v>
      </c>
      <c r="G427" s="25" t="s">
        <v>1098</v>
      </c>
      <c r="H427" s="37">
        <f ca="1">IF(AND(B427="",NOT(A427="")),VLOOKUP(A427,TaskPlan!A:M,13,FALSE),"")</f>
        <v>40360</v>
      </c>
      <c r="I427" s="38" t="str">
        <f ca="1">IF(AND(B427="",NOT(A427="")),VLOOKUP(A427,TaskPlan!A:M,12,FALSE),"")</f>
        <v>Closed</v>
      </c>
      <c r="J427" s="39" t="str">
        <f ca="1">IF(AND(B427="",NOT(A427="")),VLOOKUP(A427,TaskPlan!A:L,2,FALSE),"")</f>
        <v>Neil</v>
      </c>
      <c r="K427" s="39" t="str">
        <f ca="1">IF(AND(B427="",NOT(A427="")),IF(NOT(LEFT(VLOOKUP(A427,TaskPlan!A:L,3,FALSE),1) = "0"),VLOOKUP(A427,TaskPlan!A:L,3,FALSE),""),"")</f>
        <v/>
      </c>
      <c r="L427" s="55" t="str">
        <f ca="1">IF(AND(B427="",NOT(A427="")),IF(NOT(LEFT(VLOOKUP(A427,TaskPlan!A:L,3,FALSE),1) = "0"),VLOOKUP(A427,TaskPlan!A:M,4,FALSE),""),"")</f>
        <v/>
      </c>
      <c r="N427" s="1" t="str">
        <f ca="1">IF(ISNA(VLOOKUP(A427,Projects!B:B,1,FALSE)),"","Yes")</f>
        <v>Yes</v>
      </c>
    </row>
    <row r="428" spans="1:14" hidden="1" outlineLevel="1">
      <c r="A428" s="43" t="s">
        <v>1228</v>
      </c>
      <c r="B428" s="7"/>
      <c r="C428" s="44" t="s">
        <v>1229</v>
      </c>
      <c r="D428" s="7" t="s">
        <v>11</v>
      </c>
      <c r="E428" s="26">
        <v>40353</v>
      </c>
      <c r="F428" s="25">
        <v>2</v>
      </c>
      <c r="G428" s="25" t="s">
        <v>1100</v>
      </c>
      <c r="H428" s="37">
        <f ca="1">IF(AND(B428="",NOT(A428="")),VLOOKUP(A428,TaskPlan!A:M,13,FALSE),"")</f>
        <v>40373</v>
      </c>
      <c r="I428" s="38" t="str">
        <f ca="1">IF(AND(B428="",NOT(A428="")),VLOOKUP(A428,TaskPlan!A:M,12,FALSE),"")</f>
        <v>Closed</v>
      </c>
      <c r="J428" s="39" t="str">
        <f ca="1">IF(AND(B428="",NOT(A428="")),VLOOKUP(A428,TaskPlan!A:L,2,FALSE),"")</f>
        <v>Sreevani</v>
      </c>
      <c r="K428" s="39" t="str">
        <f ca="1">IF(AND(B428="",NOT(A428="")),IF(NOT(LEFT(VLOOKUP(A428,TaskPlan!A:L,3,FALSE),1) = "0"),VLOOKUP(A428,TaskPlan!A:L,3,FALSE),""),"")</f>
        <v/>
      </c>
      <c r="L428" s="55" t="str">
        <f ca="1">IF(AND(B428="",NOT(A428="")),IF(NOT(LEFT(VLOOKUP(A428,TaskPlan!A:L,3,FALSE),1) = "0"),VLOOKUP(A428,TaskPlan!A:M,4,FALSE),""),"")</f>
        <v/>
      </c>
      <c r="N428" s="1" t="str">
        <f ca="1">IF(ISNA(VLOOKUP(A428,Projects!B:B,1,FALSE)),"","Yes")</f>
        <v>Yes</v>
      </c>
    </row>
    <row r="429" spans="1:14" hidden="1" outlineLevel="1">
      <c r="A429" s="43" t="s">
        <v>1367</v>
      </c>
      <c r="B429" s="7"/>
      <c r="C429" s="44" t="s">
        <v>1368</v>
      </c>
      <c r="D429" s="7" t="s">
        <v>11</v>
      </c>
      <c r="E429" s="26">
        <v>40387</v>
      </c>
      <c r="F429" s="25">
        <v>2</v>
      </c>
      <c r="G429" s="25" t="s">
        <v>1098</v>
      </c>
      <c r="H429" s="37">
        <f ca="1">IF(AND(B429="",NOT(A429="")),VLOOKUP(A429,TaskPlan!A:M,13,FALSE),"")</f>
        <v>40410</v>
      </c>
      <c r="I429" s="38" t="str">
        <f ca="1">IF(AND(B429="",NOT(A429="")),VLOOKUP(A429,TaskPlan!A:M,12,FALSE),"")</f>
        <v>Closed</v>
      </c>
      <c r="J429" s="39" t="str">
        <f ca="1">IF(AND(B429="",NOT(A429="")),VLOOKUP(A429,TaskPlan!A:L,2,FALSE),"")</f>
        <v>Neil</v>
      </c>
      <c r="K429" s="39" t="str">
        <f ca="1">IF(AND(B429="",NOT(A429="")),IF(NOT(LEFT(VLOOKUP(A429,TaskPlan!A:L,3,FALSE),1) = "0"),VLOOKUP(A429,TaskPlan!A:L,3,FALSE),""),"")</f>
        <v/>
      </c>
      <c r="L429" s="55" t="str">
        <f ca="1">IF(AND(B429="",NOT(A429="")),IF(NOT(LEFT(VLOOKUP(A429,TaskPlan!A:L,3,FALSE),1) = "0"),VLOOKUP(A429,TaskPlan!A:M,4,FALSE),""),"")</f>
        <v/>
      </c>
      <c r="N429" s="1" t="str">
        <f ca="1">IF(ISNA(VLOOKUP(A429,Projects!B:B,1,FALSE)),"","Yes")</f>
        <v/>
      </c>
    </row>
    <row r="430" spans="1:14" hidden="1" outlineLevel="1">
      <c r="A430" s="43" t="s">
        <v>1547</v>
      </c>
      <c r="B430" s="7"/>
      <c r="C430" s="44" t="s">
        <v>1573</v>
      </c>
      <c r="D430" s="7" t="s">
        <v>11</v>
      </c>
      <c r="E430" s="26">
        <v>40452</v>
      </c>
      <c r="F430" s="25">
        <v>2</v>
      </c>
      <c r="G430" s="25" t="s">
        <v>1098</v>
      </c>
      <c r="H430" s="37">
        <f ca="1">IF(AND(B430="",NOT(A430="")),VLOOKUP(A430,TaskPlan!A:M,13,FALSE),"")</f>
        <v>40520</v>
      </c>
      <c r="I430" s="38" t="str">
        <f ca="1">IF(AND(B430="",NOT(A430="")),VLOOKUP(A430,TaskPlan!A:M,12,FALSE),"")</f>
        <v>Cancelled</v>
      </c>
      <c r="J430" s="39" t="str">
        <f ca="1">IF(AND(B430="",NOT(A430="")),VLOOKUP(A430,TaskPlan!A:L,2,FALSE),"")</f>
        <v>Neil</v>
      </c>
      <c r="K430" s="39" t="str">
        <f ca="1">IF(AND(B430="",NOT(A430="")),IF(NOT(LEFT(VLOOKUP(A430,TaskPlan!A:L,3,FALSE),1) = "0"),VLOOKUP(A430,TaskPlan!A:L,3,FALSE),""),"")</f>
        <v/>
      </c>
      <c r="L430" s="55" t="str">
        <f ca="1">IF(AND(B430="",NOT(A430="")),IF(NOT(LEFT(VLOOKUP(A430,TaskPlan!A:L,3,FALSE),1) = "0"),VLOOKUP(A430,TaskPlan!A:M,4,FALSE),""),"")</f>
        <v/>
      </c>
      <c r="N430" s="1" t="str">
        <f ca="1">IF(ISNA(VLOOKUP(A430,Projects!B:B,1,FALSE)),"","Yes")</f>
        <v/>
      </c>
    </row>
    <row r="431" spans="1:14" hidden="1" outlineLevel="1">
      <c r="A431" s="43" t="s">
        <v>1571</v>
      </c>
      <c r="B431" s="7"/>
      <c r="C431" s="44" t="s">
        <v>1572</v>
      </c>
      <c r="D431" s="7" t="s">
        <v>11</v>
      </c>
      <c r="E431" s="26">
        <v>40452</v>
      </c>
      <c r="F431" s="25">
        <v>1</v>
      </c>
      <c r="G431" s="25" t="s">
        <v>1098</v>
      </c>
      <c r="H431" s="37">
        <f ca="1">IF(AND(B431="",NOT(A431="")),VLOOKUP(A431,TaskPlan!A:M,13,FALSE),"")</f>
        <v>40498</v>
      </c>
      <c r="I431" s="38" t="str">
        <f ca="1">IF(AND(B431="",NOT(A431="")),VLOOKUP(A431,TaskPlan!A:M,12,FALSE),"")</f>
        <v>Closed</v>
      </c>
      <c r="J431" s="39" t="str">
        <f ca="1">IF(AND(B431="",NOT(A431="")),VLOOKUP(A431,TaskPlan!A:L,2,FALSE),"")</f>
        <v>Pramendra</v>
      </c>
      <c r="K431" s="39" t="str">
        <f ca="1">IF(AND(B431="",NOT(A431="")),IF(NOT(LEFT(VLOOKUP(A431,TaskPlan!A:L,3,FALSE),1) = "0"),VLOOKUP(A431,TaskPlan!A:L,3,FALSE),""),"")</f>
        <v/>
      </c>
      <c r="L431" s="55" t="str">
        <f ca="1">IF(AND(B431="",NOT(A431="")),IF(NOT(LEFT(VLOOKUP(A431,TaskPlan!A:L,3,FALSE),1) = "0"),VLOOKUP(A431,TaskPlan!A:M,4,FALSE),""),"")</f>
        <v/>
      </c>
      <c r="N431" s="1" t="str">
        <f ca="1">IF(ISNA(VLOOKUP(A431,Projects!B:B,1,FALSE)),"","Yes")</f>
        <v/>
      </c>
    </row>
    <row r="432" spans="1:14" hidden="1" outlineLevel="1">
      <c r="A432" s="43" t="s">
        <v>1750</v>
      </c>
      <c r="B432" s="7"/>
      <c r="C432" s="44" t="s">
        <v>1751</v>
      </c>
      <c r="D432" s="7" t="s">
        <v>11</v>
      </c>
      <c r="E432" s="26">
        <v>40520</v>
      </c>
      <c r="F432" s="25">
        <v>1</v>
      </c>
      <c r="G432" s="25" t="s">
        <v>1098</v>
      </c>
      <c r="H432" s="37">
        <f ca="1">IF(AND(B432="",NOT(A432="")),VLOOKUP(A432,TaskPlan!A:M,13,FALSE),"")</f>
        <v>39910</v>
      </c>
      <c r="I432" s="38" t="str">
        <f ca="1">IF(AND(B432="",NOT(A432="")),VLOOKUP(A432,TaskPlan!A:M,12,FALSE),"")</f>
        <v>Closed</v>
      </c>
      <c r="J432" s="39" t="str">
        <f ca="1">IF(AND(B432="",NOT(A432="")),VLOOKUP(A432,TaskPlan!A:L,2,FALSE),"")</f>
        <v>Neil</v>
      </c>
      <c r="K432" s="39" t="str">
        <f ca="1">IF(AND(B432="",NOT(A432="")),IF(NOT(LEFT(VLOOKUP(A432,TaskPlan!A:L,3,FALSE),1) = "0"),VLOOKUP(A432,TaskPlan!A:L,3,FALSE),""),"")</f>
        <v/>
      </c>
      <c r="L432" s="55" t="str">
        <f ca="1">IF(AND(B432="",NOT(A432="")),IF(NOT(LEFT(VLOOKUP(A432,TaskPlan!A:L,3,FALSE),1) = "0"),VLOOKUP(A432,TaskPlan!A:M,4,FALSE),""),"")</f>
        <v/>
      </c>
      <c r="N432" s="1" t="str">
        <f ca="1">IF(ISNA(VLOOKUP(A432,Projects!B:B,1,FALSE)),"","Yes")</f>
        <v/>
      </c>
    </row>
    <row r="433" spans="1:14" hidden="1" outlineLevel="1">
      <c r="A433" s="43" t="s">
        <v>1760</v>
      </c>
      <c r="B433" s="7"/>
      <c r="C433" s="44" t="s">
        <v>1761</v>
      </c>
      <c r="D433" s="7" t="s">
        <v>11</v>
      </c>
      <c r="E433" s="26">
        <v>40521</v>
      </c>
      <c r="F433" s="25">
        <v>2</v>
      </c>
      <c r="G433" s="25" t="s">
        <v>1100</v>
      </c>
      <c r="H433" s="37">
        <f ca="1">IF(AND(B433="",NOT(A433="")),VLOOKUP(A433,TaskPlan!A:M,13,FALSE),"")</f>
        <v>40532</v>
      </c>
      <c r="I433" s="38" t="str">
        <f ca="1">IF(AND(B433="",NOT(A433="")),VLOOKUP(A433,TaskPlan!A:M,12,FALSE),"")</f>
        <v>Closed</v>
      </c>
      <c r="J433" s="39" t="str">
        <f ca="1">IF(AND(B433="",NOT(A433="")),VLOOKUP(A433,TaskPlan!A:L,2,FALSE),"")</f>
        <v>Pramendra</v>
      </c>
      <c r="K433" s="39" t="str">
        <f ca="1">IF(AND(B433="",NOT(A433="")),IF(NOT(LEFT(VLOOKUP(A433,TaskPlan!A:L,3,FALSE),1) = "0"),VLOOKUP(A433,TaskPlan!A:L,3,FALSE),""),"")</f>
        <v/>
      </c>
      <c r="L433" s="55" t="str">
        <f ca="1">IF(AND(B433="",NOT(A433="")),IF(NOT(LEFT(VLOOKUP(A433,TaskPlan!A:L,3,FALSE),1) = "0"),VLOOKUP(A433,TaskPlan!A:M,4,FALSE),""),"")</f>
        <v/>
      </c>
      <c r="N433" s="1" t="str">
        <f ca="1">IF(ISNA(VLOOKUP(A433,Projects!B:B,1,FALSE)),"","Yes")</f>
        <v/>
      </c>
    </row>
    <row r="434" spans="1:14" ht="25.5" hidden="1" outlineLevel="1">
      <c r="A434" s="43" t="s">
        <v>1778</v>
      </c>
      <c r="B434" s="7"/>
      <c r="C434" s="44" t="s">
        <v>1777</v>
      </c>
      <c r="D434" s="7" t="s">
        <v>11</v>
      </c>
      <c r="E434" s="26">
        <v>40521</v>
      </c>
      <c r="F434" s="25">
        <v>1</v>
      </c>
      <c r="G434" s="25" t="s">
        <v>1098</v>
      </c>
      <c r="H434" s="37">
        <f ca="1">IF(AND(B434="",NOT(A434="")),VLOOKUP(A434,TaskPlan!A:M,13,FALSE),"")</f>
        <v>40526</v>
      </c>
      <c r="I434" s="38" t="str">
        <f ca="1">IF(AND(B434="",NOT(A434="")),VLOOKUP(A434,TaskPlan!A:M,12,FALSE),"")</f>
        <v>Cancelled</v>
      </c>
      <c r="J434" s="39" t="str">
        <f ca="1">IF(AND(B434="",NOT(A434="")),VLOOKUP(A434,TaskPlan!A:L,2,FALSE),"")</f>
        <v>Sreevani</v>
      </c>
      <c r="K434" s="39" t="str">
        <f ca="1">IF(AND(B434="",NOT(A434="")),IF(NOT(LEFT(VLOOKUP(A434,TaskPlan!A:L,3,FALSE),1) = "0"),VLOOKUP(A434,TaskPlan!A:L,3,FALSE),""),"")</f>
        <v/>
      </c>
      <c r="L434" s="55" t="str">
        <f ca="1">IF(AND(B434="",NOT(A434="")),IF(NOT(LEFT(VLOOKUP(A434,TaskPlan!A:L,3,FALSE),1) = "0"),VLOOKUP(A434,TaskPlan!A:M,4,FALSE),""),"")</f>
        <v/>
      </c>
      <c r="N434" s="1" t="str">
        <f ca="1">IF(ISNA(VLOOKUP(A434,Projects!B:B,1,FALSE)),"","Yes")</f>
        <v/>
      </c>
    </row>
    <row r="435" spans="1:14" hidden="1" outlineLevel="1">
      <c r="A435" s="43" t="s">
        <v>1780</v>
      </c>
      <c r="B435" s="7"/>
      <c r="C435" s="44" t="s">
        <v>1781</v>
      </c>
      <c r="D435" s="7" t="s">
        <v>11</v>
      </c>
      <c r="E435" s="26">
        <v>40521</v>
      </c>
      <c r="F435" s="25">
        <v>0.5</v>
      </c>
      <c r="G435" s="25" t="s">
        <v>1100</v>
      </c>
      <c r="H435" s="37">
        <f ca="1">IF(AND(B435="",NOT(A435="")),VLOOKUP(A435,TaskPlan!A:M,13,FALSE),"")</f>
        <v>40563</v>
      </c>
      <c r="I435" s="38" t="str">
        <f ca="1">IF(AND(B435="",NOT(A435="")),VLOOKUP(A435,TaskPlan!A:M,12,FALSE),"")</f>
        <v>Closed</v>
      </c>
      <c r="J435" s="39" t="str">
        <f ca="1">IF(AND(B435="",NOT(A435="")),VLOOKUP(A435,TaskPlan!A:L,2,FALSE),"")</f>
        <v>Sreevani</v>
      </c>
      <c r="K435" s="39" t="str">
        <f ca="1">IF(AND(B435="",NOT(A435="")),IF(NOT(LEFT(VLOOKUP(A435,TaskPlan!A:L,3,FALSE),1) = "0"),VLOOKUP(A435,TaskPlan!A:L,3,FALSE),""),"")</f>
        <v/>
      </c>
      <c r="L435" s="55" t="str">
        <f ca="1">IF(AND(B435="",NOT(A435="")),IF(NOT(LEFT(VLOOKUP(A435,TaskPlan!A:L,3,FALSE),1) = "0"),VLOOKUP(A435,TaskPlan!A:M,4,FALSE),""),"")</f>
        <v/>
      </c>
      <c r="N435" s="1" t="str">
        <f ca="1">IF(ISNA(VLOOKUP(A435,Projects!B:B,1,FALSE)),"","Yes")</f>
        <v/>
      </c>
    </row>
    <row r="436" spans="1:14" hidden="1" outlineLevel="1">
      <c r="A436" s="43" t="s">
        <v>1784</v>
      </c>
      <c r="B436" s="7"/>
      <c r="C436" s="44" t="s">
        <v>1785</v>
      </c>
      <c r="D436" s="7" t="s">
        <v>11</v>
      </c>
      <c r="E436" s="26">
        <v>40521</v>
      </c>
      <c r="F436" s="25">
        <v>5</v>
      </c>
      <c r="G436" s="25" t="s">
        <v>1213</v>
      </c>
      <c r="H436" s="37">
        <f ca="1">IF(AND(B436="",NOT(A436="")),VLOOKUP(A436,TaskPlan!A:M,13,FALSE),"")</f>
        <v>40246</v>
      </c>
      <c r="I436" s="38" t="str">
        <f ca="1">IF(AND(B436="",NOT(A436="")),VLOOKUP(A436,TaskPlan!A:M,12,FALSE),"")</f>
        <v>Not Started</v>
      </c>
      <c r="J436" s="39" t="str">
        <f ca="1">IF(AND(B436="",NOT(A436="")),VLOOKUP(A436,TaskPlan!A:L,2,FALSE),"")</f>
        <v>Neil</v>
      </c>
      <c r="K436" s="39" t="str">
        <f ca="1">IF(AND(B436="",NOT(A436="")),IF(NOT(LEFT(VLOOKUP(A436,TaskPlan!A:L,3,FALSE),1) = "0"),VLOOKUP(A436,TaskPlan!A:L,3,FALSE),""),"")</f>
        <v>2-LOW</v>
      </c>
      <c r="L436" s="55">
        <f ca="1">IF(AND(B436="",NOT(A436="")),IF(NOT(LEFT(VLOOKUP(A436,TaskPlan!A:L,3,FALSE),1) = "0"),VLOOKUP(A436,TaskPlan!A:M,4,FALSE),""),"")</f>
        <v>0</v>
      </c>
      <c r="N436" s="1" t="str">
        <f ca="1">IF(ISNA(VLOOKUP(A436,Projects!B:B,1,FALSE)),"","Yes")</f>
        <v/>
      </c>
    </row>
    <row r="437" spans="1:14" hidden="1" outlineLevel="1">
      <c r="A437" s="43" t="s">
        <v>1858</v>
      </c>
      <c r="B437" s="7" t="s">
        <v>15</v>
      </c>
      <c r="C437" s="45" t="s">
        <v>1859</v>
      </c>
      <c r="D437" s="7"/>
      <c r="E437" s="26"/>
      <c r="L437" s="55"/>
    </row>
    <row r="438" spans="1:14" hidden="1" outlineLevel="1">
      <c r="A438" s="43" t="s">
        <v>1860</v>
      </c>
      <c r="B438" s="7"/>
      <c r="C438" s="44" t="s">
        <v>1861</v>
      </c>
      <c r="D438" s="7" t="s">
        <v>11</v>
      </c>
      <c r="E438" s="26">
        <v>40563</v>
      </c>
      <c r="F438" s="25">
        <v>2</v>
      </c>
      <c r="G438" s="25" t="s">
        <v>1735</v>
      </c>
      <c r="H438" s="37">
        <f ca="1">IF(AND(B438="",NOT(A438="")),VLOOKUP(A438,TaskPlan!A:M,13,FALSE),"")</f>
        <v>40563</v>
      </c>
      <c r="I438" s="38" t="str">
        <f ca="1">IF(AND(B438="",NOT(A438="")),VLOOKUP(A438,TaskPlan!A:M,12,FALSE),"")</f>
        <v>In Progress</v>
      </c>
      <c r="J438" s="39" t="str">
        <f ca="1">IF(AND(B438="",NOT(A438="")),VLOOKUP(A438,TaskPlan!A:L,2,FALSE),"")</f>
        <v>Neil</v>
      </c>
      <c r="K438" s="39" t="str">
        <f ca="1">IF(AND(B438="",NOT(A438="")),IF(NOT(LEFT(VLOOKUP(A438,TaskPlan!A:L,3,FALSE),1) = "0"),VLOOKUP(A438,TaskPlan!A:L,3,FALSE),""),"")</f>
        <v>3-MED</v>
      </c>
      <c r="L438" s="55">
        <f ca="1">IF(AND(B438="",NOT(A438="")),IF(NOT(LEFT(VLOOKUP(A438,TaskPlan!A:L,3,FALSE),1) = "0"),VLOOKUP(A438,TaskPlan!A:M,4,FALSE),""),"")</f>
        <v>0</v>
      </c>
      <c r="N438" s="1" t="str">
        <f ca="1">IF(ISNA(VLOOKUP(A438,Projects!B:B,1,FALSE)),"","Yes")</f>
        <v/>
      </c>
    </row>
    <row r="439" spans="1:14" hidden="1" outlineLevel="1">
      <c r="A439" s="43" t="s">
        <v>1862</v>
      </c>
      <c r="B439" s="7"/>
      <c r="C439" s="44" t="s">
        <v>1863</v>
      </c>
      <c r="D439" s="7" t="s">
        <v>11</v>
      </c>
      <c r="E439" s="26">
        <v>40563</v>
      </c>
      <c r="F439" s="25">
        <v>2</v>
      </c>
      <c r="G439" s="25" t="s">
        <v>1735</v>
      </c>
      <c r="H439" s="37">
        <f ca="1">IF(AND(B439="",NOT(A439="")),VLOOKUP(A439,TaskPlan!A:M,13,FALSE),"")</f>
        <v>40563</v>
      </c>
      <c r="I439" s="38" t="str">
        <f ca="1">IF(AND(B439="",NOT(A439="")),VLOOKUP(A439,TaskPlan!A:M,12,FALSE),"")</f>
        <v>In Progress</v>
      </c>
      <c r="J439" s="39" t="str">
        <f ca="1">IF(AND(B439="",NOT(A439="")),VLOOKUP(A439,TaskPlan!A:L,2,FALSE),"")</f>
        <v>Neil</v>
      </c>
      <c r="K439" s="39" t="str">
        <f ca="1">IF(AND(B439="",NOT(A439="")),IF(NOT(LEFT(VLOOKUP(A439,TaskPlan!A:L,3,FALSE),1) = "0"),VLOOKUP(A439,TaskPlan!A:L,3,FALSE),""),"")</f>
        <v>3-MED</v>
      </c>
      <c r="L439" s="55">
        <f ca="1">IF(AND(B439="",NOT(A439="")),IF(NOT(LEFT(VLOOKUP(A439,TaskPlan!A:L,3,FALSE),1) = "0"),VLOOKUP(A439,TaskPlan!A:M,4,FALSE),""),"")</f>
        <v>0</v>
      </c>
      <c r="N439" s="1" t="str">
        <f ca="1">IF(ISNA(VLOOKUP(A439,Projects!B:B,1,FALSE)),"","Yes")</f>
        <v/>
      </c>
    </row>
    <row r="440" spans="1:14" hidden="1" outlineLevel="1">
      <c r="A440" s="43"/>
      <c r="B440" s="7"/>
      <c r="C440" s="44"/>
      <c r="D440" s="7"/>
      <c r="E440" s="26"/>
      <c r="L440" s="55"/>
    </row>
    <row r="441" spans="1:14" collapsed="1">
      <c r="H441" s="37" t="str">
        <f ca="1">IF(AND(B441="",NOT(A441="")),VLOOKUP(A441,TaskPlan!A:M,13,FALSE),"")</f>
        <v/>
      </c>
      <c r="I441" s="38" t="str">
        <f ca="1">IF(AND(B441="",NOT(A441="")),VLOOKUP(A441,TaskPlan!A:M,12,FALSE),"")</f>
        <v/>
      </c>
      <c r="J441" s="39" t="str">
        <f ca="1">IF(AND(B441="",NOT(A441="")),VLOOKUP(A441,TaskPlan!A:L,2,FALSE),"")</f>
        <v/>
      </c>
      <c r="K441" s="39" t="str">
        <f ca="1">IF(AND(B441="",NOT(A441="")),IF(NOT(LEFT(VLOOKUP(A441,TaskPlan!A:L,3,FALSE),1) = "0"),VLOOKUP(A441,TaskPlan!A:L,3,FALSE),""),"")</f>
        <v/>
      </c>
      <c r="L441" s="55" t="str">
        <f ca="1">IF(AND(B441="",NOT(A441="")),IF(NOT(LEFT(VLOOKUP(A441,TaskPlan!A:L,3,FALSE),1) = "0"),VLOOKUP(A441,TaskPlan!A:M,4,FALSE),""),"")</f>
        <v/>
      </c>
      <c r="M441" s="58" t="str">
        <f ca="1">IF(B441=".",1,IF(AND(B441="",NOT(A441="")),IF(VLOOKUP(A441,TaskPlan!A:L,5,FALSE)&gt;0,VLOOKUP(A441,TaskPlan!A:L,5,FALSE),""),""))</f>
        <v/>
      </c>
      <c r="N441" s="1" t="str">
        <f ca="1">IF(ISNA(VLOOKUP(A441,Projects!B:B,1,FALSE)),"","Yes")</f>
        <v/>
      </c>
    </row>
    <row r="442" spans="1:14" ht="15.75">
      <c r="A442" s="41" t="s">
        <v>86</v>
      </c>
      <c r="B442" s="7" t="s">
        <v>15</v>
      </c>
      <c r="C442" s="36" t="s">
        <v>43</v>
      </c>
      <c r="H442" s="37" t="str">
        <f ca="1">IF(AND(B442="",NOT(A442="")),VLOOKUP(A442,TaskPlan!A:M,13,FALSE),"")</f>
        <v/>
      </c>
      <c r="I442" s="38" t="str">
        <f ca="1">IF(AND(B442="",NOT(A442="")),VLOOKUP(A442,TaskPlan!A:M,12,FALSE),"")</f>
        <v/>
      </c>
      <c r="J442" s="39" t="str">
        <f ca="1">IF(AND(B442="",NOT(A442="")),VLOOKUP(A442,TaskPlan!A:L,2,FALSE),"")</f>
        <v/>
      </c>
      <c r="K442" s="39" t="str">
        <f ca="1">IF(AND(B442="",NOT(A442="")),IF(NOT(LEFT(VLOOKUP(A442,TaskPlan!A:L,3,FALSE),1) = "0"),VLOOKUP(A442,TaskPlan!A:L,3,FALSE),""),"")</f>
        <v/>
      </c>
      <c r="L442" s="55" t="str">
        <f ca="1">IF(AND(B442="",NOT(A442="")),IF(NOT(LEFT(VLOOKUP(A442,TaskPlan!A:L,3,FALSE),1) = "0"),VLOOKUP(A442,TaskPlan!A:M,4,FALSE),""),"")</f>
        <v/>
      </c>
      <c r="M442" s="58">
        <f ca="1">IF(B442=".",1,IF(AND(B442="",NOT(A442="")),IF(VLOOKUP(A442,TaskPlan!A:L,5,FALSE)&gt;0,VLOOKUP(A442,TaskPlan!A:L,5,FALSE),""),""))</f>
        <v>1</v>
      </c>
      <c r="N442" s="1" t="str">
        <f ca="1">IF(ISNA(VLOOKUP(A442,Projects!B:B,1,FALSE)),"","Yes")</f>
        <v/>
      </c>
    </row>
    <row r="443" spans="1:14" hidden="1" outlineLevel="1">
      <c r="A443" s="41" t="s">
        <v>587</v>
      </c>
      <c r="B443" s="1" t="s">
        <v>15</v>
      </c>
      <c r="C443" s="45" t="s">
        <v>44</v>
      </c>
      <c r="D443" s="7"/>
      <c r="E443" s="26"/>
      <c r="H443" s="37" t="str">
        <f ca="1">IF(AND(B443="",NOT(A443="")),VLOOKUP(A443,TaskPlan!A:M,13,FALSE),"")</f>
        <v/>
      </c>
      <c r="I443" s="38" t="str">
        <f ca="1">IF(AND(B443="",NOT(A443="")),VLOOKUP(A443,TaskPlan!A:M,12,FALSE),"")</f>
        <v/>
      </c>
      <c r="J443" s="39" t="str">
        <f ca="1">IF(AND(B443="",NOT(A443="")),VLOOKUP(A443,TaskPlan!A:L,2,FALSE),"")</f>
        <v/>
      </c>
      <c r="K443" s="39" t="str">
        <f ca="1">IF(AND(B443="",NOT(A443="")),IF(NOT(LEFT(VLOOKUP(A443,TaskPlan!A:L,3,FALSE),1) = "0"),VLOOKUP(A443,TaskPlan!A:L,3,FALSE),""),"")</f>
        <v/>
      </c>
      <c r="L443" s="55" t="str">
        <f ca="1">IF(AND(B443="",NOT(A443="")),IF(NOT(LEFT(VLOOKUP(A443,TaskPlan!A:L,3,FALSE),1) = "0"),VLOOKUP(A443,TaskPlan!A:M,4,FALSE),""),"")</f>
        <v/>
      </c>
      <c r="N443" s="1" t="str">
        <f ca="1">IF(ISNA(VLOOKUP(A443,Projects!B:B,1,FALSE)),"","Yes")</f>
        <v/>
      </c>
    </row>
    <row r="444" spans="1:14" hidden="1" outlineLevel="1">
      <c r="A444" s="43" t="s">
        <v>588</v>
      </c>
      <c r="C444" s="44" t="s">
        <v>281</v>
      </c>
      <c r="D444" s="7" t="s">
        <v>20</v>
      </c>
      <c r="E444" s="26">
        <v>39917</v>
      </c>
      <c r="H444" s="37">
        <f ca="1">IF(AND(B444="",NOT(A444="")),VLOOKUP(A444,TaskPlan!A:M,13,FALSE),"")</f>
        <v>40011</v>
      </c>
      <c r="I444" s="38" t="str">
        <f ca="1">IF(AND(B444="",NOT(A444="")),VLOOKUP(A444,TaskPlan!A:M,12,FALSE),"")</f>
        <v>Closed</v>
      </c>
      <c r="J444" s="39" t="str">
        <f ca="1">IF(AND(B444="",NOT(A444="")),VLOOKUP(A444,TaskPlan!A:L,2,FALSE),"")</f>
        <v>Neil</v>
      </c>
      <c r="K444" s="39" t="str">
        <f ca="1">IF(AND(B444="",NOT(A444="")),IF(NOT(LEFT(VLOOKUP(A444,TaskPlan!A:L,3,FALSE),1) = "0"),VLOOKUP(A444,TaskPlan!A:L,3,FALSE),""),"")</f>
        <v/>
      </c>
      <c r="L444" s="55" t="str">
        <f ca="1">IF(AND(B444="",NOT(A444="")),IF(NOT(LEFT(VLOOKUP(A444,TaskPlan!A:L,3,FALSE),1) = "0"),VLOOKUP(A444,TaskPlan!A:M,4,FALSE),""),"")</f>
        <v/>
      </c>
      <c r="M444" s="58" t="str">
        <f ca="1">IF(B444=".",1,IF(AND(B444="",NOT(A444="")),IF(VLOOKUP(A444,TaskPlan!A:L,5,FALSE)&gt;0,VLOOKUP(A444,TaskPlan!A:L,5,FALSE),""),""))</f>
        <v/>
      </c>
      <c r="N444" s="1" t="str">
        <f ca="1">IF(ISNA(VLOOKUP(A444,Projects!B:B,1,FALSE)),"","Yes")</f>
        <v/>
      </c>
    </row>
    <row r="445" spans="1:14" hidden="1" outlineLevel="1">
      <c r="A445" s="43" t="s">
        <v>589</v>
      </c>
      <c r="C445" s="44" t="s">
        <v>282</v>
      </c>
      <c r="D445" s="7" t="s">
        <v>11</v>
      </c>
      <c r="E445" s="26">
        <v>39979</v>
      </c>
      <c r="H445" s="37">
        <f ca="1">IF(AND(B445="",NOT(A445="")),VLOOKUP(A445,TaskPlan!A:M,13,FALSE),"")</f>
        <v>39997</v>
      </c>
      <c r="I445" s="38" t="str">
        <f ca="1">IF(AND(B445="",NOT(A445="")),VLOOKUP(A445,TaskPlan!A:M,12,FALSE),"")</f>
        <v>Closed</v>
      </c>
      <c r="J445" s="39" t="str">
        <f ca="1">IF(AND(B445="",NOT(A445="")),VLOOKUP(A445,TaskPlan!A:L,2,FALSE),"")</f>
        <v>Neil</v>
      </c>
      <c r="K445" s="39" t="str">
        <f ca="1">IF(AND(B445="",NOT(A445="")),IF(NOT(LEFT(VLOOKUP(A445,TaskPlan!A:L,3,FALSE),1) = "0"),VLOOKUP(A445,TaskPlan!A:L,3,FALSE),""),"")</f>
        <v/>
      </c>
      <c r="L445" s="55" t="str">
        <f ca="1">IF(AND(B445="",NOT(A445="")),IF(NOT(LEFT(VLOOKUP(A445,TaskPlan!A:L,3,FALSE),1) = "0"),VLOOKUP(A445,TaskPlan!A:M,4,FALSE),""),"")</f>
        <v/>
      </c>
      <c r="M445" s="58" t="str">
        <f ca="1">IF(B445=".",1,IF(AND(B445="",NOT(A445="")),IF(VLOOKUP(A445,TaskPlan!A:L,5,FALSE)&gt;0,VLOOKUP(A445,TaskPlan!A:L,5,FALSE),""),""))</f>
        <v/>
      </c>
      <c r="N445" s="1" t="str">
        <f ca="1">IF(ISNA(VLOOKUP(A445,Projects!B:B,1,FALSE)),"","Yes")</f>
        <v/>
      </c>
    </row>
    <row r="446" spans="1:14" hidden="1" outlineLevel="1">
      <c r="A446" s="43" t="s">
        <v>590</v>
      </c>
      <c r="C446" s="44" t="s">
        <v>283</v>
      </c>
      <c r="D446" s="7" t="s">
        <v>11</v>
      </c>
      <c r="E446" s="26">
        <v>39979</v>
      </c>
      <c r="H446" s="37">
        <f ca="1">IF(AND(B446="",NOT(A446="")),VLOOKUP(A446,TaskPlan!A:M,13,FALSE),"")</f>
        <v>40011</v>
      </c>
      <c r="I446" s="38" t="str">
        <f ca="1">IF(AND(B446="",NOT(A446="")),VLOOKUP(A446,TaskPlan!A:M,12,FALSE),"")</f>
        <v>Closed</v>
      </c>
      <c r="J446" s="39" t="str">
        <f ca="1">IF(AND(B446="",NOT(A446="")),VLOOKUP(A446,TaskPlan!A:L,2,FALSE),"")</f>
        <v>Neil</v>
      </c>
      <c r="K446" s="39" t="str">
        <f ca="1">IF(AND(B446="",NOT(A446="")),IF(NOT(LEFT(VLOOKUP(A446,TaskPlan!A:L,3,FALSE),1) = "0"),VLOOKUP(A446,TaskPlan!A:L,3,FALSE),""),"")</f>
        <v/>
      </c>
      <c r="L446" s="55" t="str">
        <f ca="1">IF(AND(B446="",NOT(A446="")),IF(NOT(LEFT(VLOOKUP(A446,TaskPlan!A:L,3,FALSE),1) = "0"),VLOOKUP(A446,TaskPlan!A:M,4,FALSE),""),"")</f>
        <v/>
      </c>
      <c r="M446" s="58" t="str">
        <f ca="1">IF(B446=".",1,IF(AND(B446="",NOT(A446="")),IF(VLOOKUP(A446,TaskPlan!A:L,5,FALSE)&gt;0,VLOOKUP(A446,TaskPlan!A:L,5,FALSE),""),""))</f>
        <v/>
      </c>
      <c r="N446" s="1" t="str">
        <f ca="1">IF(ISNA(VLOOKUP(A446,Projects!B:B,1,FALSE)),"","Yes")</f>
        <v/>
      </c>
    </row>
    <row r="447" spans="1:14" hidden="1" outlineLevel="1">
      <c r="A447" s="43" t="s">
        <v>591</v>
      </c>
      <c r="C447" s="44" t="s">
        <v>453</v>
      </c>
      <c r="D447" s="7" t="s">
        <v>366</v>
      </c>
      <c r="E447" s="26">
        <v>40071</v>
      </c>
      <c r="H447" s="37">
        <f ca="1">IF(AND(B447="",NOT(A447="")),VLOOKUP(A447,TaskPlan!A:M,13,FALSE),"")</f>
        <v>40107</v>
      </c>
      <c r="I447" s="38" t="str">
        <f ca="1">IF(AND(B447="",NOT(A447="")),VLOOKUP(A447,TaskPlan!A:M,12,FALSE),"")</f>
        <v>Closed</v>
      </c>
      <c r="J447" s="39" t="str">
        <f ca="1">IF(AND(B447="",NOT(A447="")),VLOOKUP(A447,TaskPlan!A:L,2,FALSE),"")</f>
        <v>Neil</v>
      </c>
      <c r="K447" s="39" t="str">
        <f ca="1">IF(AND(B447="",NOT(A447="")),IF(NOT(LEFT(VLOOKUP(A447,TaskPlan!A:L,3,FALSE),1) = "0"),VLOOKUP(A447,TaskPlan!A:L,3,FALSE),""),"")</f>
        <v/>
      </c>
      <c r="L447" s="55" t="str">
        <f ca="1">IF(AND(B447="",NOT(A447="")),IF(NOT(LEFT(VLOOKUP(A447,TaskPlan!A:L,3,FALSE),1) = "0"),VLOOKUP(A447,TaskPlan!A:M,4,FALSE),""),"")</f>
        <v/>
      </c>
      <c r="M447" s="58" t="str">
        <f ca="1">IF(B447=".",1,IF(AND(B447="",NOT(A447="")),IF(VLOOKUP(A447,TaskPlan!A:L,5,FALSE)&gt;0,VLOOKUP(A447,TaskPlan!A:L,5,FALSE),""),""))</f>
        <v/>
      </c>
      <c r="N447" s="1" t="str">
        <f ca="1">IF(ISNA(VLOOKUP(A447,Projects!B:B,1,FALSE)),"","Yes")</f>
        <v/>
      </c>
    </row>
    <row r="448" spans="1:14" hidden="1" outlineLevel="1">
      <c r="A448" s="43" t="s">
        <v>592</v>
      </c>
      <c r="C448" s="44" t="s">
        <v>533</v>
      </c>
      <c r="D448" s="7" t="s">
        <v>366</v>
      </c>
      <c r="E448" s="26">
        <v>40099</v>
      </c>
      <c r="F448" s="25">
        <v>1</v>
      </c>
      <c r="H448" s="37">
        <f ca="1">IF(AND(B448="",NOT(A448="")),VLOOKUP(A448,TaskPlan!A:M,13,FALSE),"")</f>
        <v>40196</v>
      </c>
      <c r="I448" s="38" t="str">
        <f ca="1">IF(AND(B448="",NOT(A448="")),VLOOKUP(A448,TaskPlan!A:M,12,FALSE),"")</f>
        <v>Closed</v>
      </c>
      <c r="J448" s="39" t="str">
        <f ca="1">IF(AND(B448="",NOT(A448="")),VLOOKUP(A448,TaskPlan!A:L,2,FALSE),"")</f>
        <v>Neil</v>
      </c>
      <c r="K448" s="39" t="str">
        <f ca="1">IF(AND(B448="",NOT(A448="")),IF(NOT(LEFT(VLOOKUP(A448,TaskPlan!A:L,3,FALSE),1) = "0"),VLOOKUP(A448,TaskPlan!A:L,3,FALSE),""),"")</f>
        <v/>
      </c>
      <c r="L448" s="55" t="str">
        <f ca="1">IF(AND(B448="",NOT(A448="")),IF(NOT(LEFT(VLOOKUP(A448,TaskPlan!A:L,3,FALSE),1) = "0"),VLOOKUP(A448,TaskPlan!A:M,4,FALSE),""),"")</f>
        <v/>
      </c>
      <c r="M448" s="58" t="str">
        <f ca="1">IF(B448=".",1,IF(AND(B448="",NOT(A448="")),IF(VLOOKUP(A448,TaskPlan!A:L,5,FALSE)&gt;0,VLOOKUP(A448,TaskPlan!A:L,5,FALSE),""),""))</f>
        <v/>
      </c>
      <c r="N448" s="1" t="str">
        <f ca="1">IF(ISNA(VLOOKUP(A448,Projects!B:B,1,FALSE)),"","Yes")</f>
        <v/>
      </c>
    </row>
    <row r="449" spans="1:14" hidden="1" outlineLevel="1">
      <c r="A449" s="43" t="s">
        <v>1222</v>
      </c>
      <c r="C449" s="44" t="s">
        <v>1223</v>
      </c>
      <c r="D449" s="7" t="s">
        <v>366</v>
      </c>
      <c r="E449" s="26">
        <v>40352</v>
      </c>
      <c r="F449" s="25">
        <v>0.5</v>
      </c>
      <c r="G449" s="25" t="s">
        <v>1098</v>
      </c>
      <c r="H449" s="37">
        <f ca="1">IF(AND(B449="",NOT(A449="")),VLOOKUP(A449,TaskPlan!A:M,13,FALSE),"")</f>
        <v>40406</v>
      </c>
      <c r="I449" s="38" t="str">
        <f ca="1">IF(AND(B449="",NOT(A449="")),VLOOKUP(A449,TaskPlan!A:M,12,FALSE),"")</f>
        <v>Closed</v>
      </c>
      <c r="J449" s="39" t="str">
        <f ca="1">IF(AND(B449="",NOT(A449="")),VLOOKUP(A449,TaskPlan!A:L,2,FALSE),"")</f>
        <v>Danny</v>
      </c>
      <c r="K449" s="39" t="str">
        <f ca="1">IF(AND(B449="",NOT(A449="")),IF(NOT(LEFT(VLOOKUP(A449,TaskPlan!A:L,3,FALSE),1) = "0"),VLOOKUP(A449,TaskPlan!A:L,3,FALSE),""),"")</f>
        <v/>
      </c>
      <c r="L449" s="55" t="str">
        <f ca="1">IF(AND(B449="",NOT(A449="")),IF(NOT(LEFT(VLOOKUP(A449,TaskPlan!A:L,3,FALSE),1) = "0"),VLOOKUP(A449,TaskPlan!A:M,4,FALSE),""),"")</f>
        <v/>
      </c>
      <c r="N449" s="1" t="str">
        <f ca="1">IF(ISNA(VLOOKUP(A449,Projects!B:B,1,FALSE)),"","Yes")</f>
        <v/>
      </c>
    </row>
    <row r="450" spans="1:14" hidden="1" outlineLevel="1">
      <c r="A450" s="43" t="s">
        <v>1746</v>
      </c>
      <c r="C450" s="44" t="s">
        <v>1747</v>
      </c>
      <c r="D450" s="7" t="s">
        <v>366</v>
      </c>
      <c r="E450" s="26">
        <v>40520</v>
      </c>
      <c r="F450" s="25">
        <v>1</v>
      </c>
      <c r="G450" s="25" t="s">
        <v>289</v>
      </c>
      <c r="H450" s="37">
        <f ca="1">IF(AND(B450="",NOT(A450="")),VLOOKUP(A450,TaskPlan!A:M,13,FALSE),"")</f>
        <v>40526</v>
      </c>
      <c r="I450" s="38" t="str">
        <f ca="1">IF(AND(B450="",NOT(A450="")),VLOOKUP(A450,TaskPlan!A:M,12,FALSE),"")</f>
        <v>In Progress</v>
      </c>
      <c r="J450" s="39" t="str">
        <f ca="1">IF(AND(B450="",NOT(A450="")),VLOOKUP(A450,TaskPlan!A:L,2,FALSE),"")</f>
        <v>Neil</v>
      </c>
      <c r="K450" s="39" t="str">
        <f ca="1">IF(AND(B450="",NOT(A450="")),IF(NOT(LEFT(VLOOKUP(A450,TaskPlan!A:L,3,FALSE),1) = "0"),VLOOKUP(A450,TaskPlan!A:L,3,FALSE),""),"")</f>
        <v>5-HIGH</v>
      </c>
      <c r="L450" s="55">
        <f ca="1">IF(AND(B450="",NOT(A450="")),IF(NOT(LEFT(VLOOKUP(A450,TaskPlan!A:L,3,FALSE),1) = "0"),VLOOKUP(A450,TaskPlan!A:M,4,FALSE),""),"")</f>
        <v>0</v>
      </c>
      <c r="N450" s="1" t="str">
        <f ca="1">IF(ISNA(VLOOKUP(A450,Projects!B:B,1,FALSE)),"","Yes")</f>
        <v/>
      </c>
    </row>
    <row r="451" spans="1:14" hidden="1" outlineLevel="1">
      <c r="A451" s="43" t="s">
        <v>1887</v>
      </c>
      <c r="C451" s="44" t="s">
        <v>1888</v>
      </c>
      <c r="D451" s="7" t="s">
        <v>366</v>
      </c>
      <c r="E451" s="26">
        <v>40564</v>
      </c>
      <c r="F451" s="25">
        <v>1</v>
      </c>
      <c r="G451" s="25" t="s">
        <v>289</v>
      </c>
      <c r="H451" s="37">
        <f ca="1">IF(AND(B451="",NOT(A451="")),VLOOKUP(A451,TaskPlan!A:M,13,FALSE),"")</f>
        <v>40564</v>
      </c>
      <c r="I451" s="38" t="str">
        <f ca="1">IF(AND(B451="",NOT(A451="")),VLOOKUP(A451,TaskPlan!A:M,12,FALSE),"")</f>
        <v>In Progress</v>
      </c>
      <c r="J451" s="39" t="str">
        <f ca="1">IF(AND(B451="",NOT(A451="")),VLOOKUP(A451,TaskPlan!A:L,2,FALSE),"")</f>
        <v>Neil</v>
      </c>
      <c r="K451" s="39" t="str">
        <f ca="1">IF(AND(B451="",NOT(A451="")),IF(NOT(LEFT(VLOOKUP(A451,TaskPlan!A:L,3,FALSE),1) = "0"),VLOOKUP(A451,TaskPlan!A:L,3,FALSE),""),"")</f>
        <v>4-HIGH</v>
      </c>
      <c r="L451" s="55">
        <f ca="1">IF(AND(B451="",NOT(A451="")),IF(NOT(LEFT(VLOOKUP(A451,TaskPlan!A:L,3,FALSE),1) = "0"),VLOOKUP(A451,TaskPlan!A:M,4,FALSE),""),"")</f>
        <v>0</v>
      </c>
      <c r="N451" s="1" t="str">
        <f ca="1">IF(ISNA(VLOOKUP(A451,Projects!B:B,1,FALSE)),"","Yes")</f>
        <v/>
      </c>
    </row>
    <row r="452" spans="1:14" hidden="1" outlineLevel="1">
      <c r="A452" s="41" t="s">
        <v>593</v>
      </c>
      <c r="C452" s="44" t="s">
        <v>1954</v>
      </c>
      <c r="D452" s="7" t="s">
        <v>20</v>
      </c>
      <c r="E452" s="26">
        <v>40590</v>
      </c>
      <c r="H452" s="37">
        <f ca="1">IF(AND(B452="",NOT(A452="")),VLOOKUP(A452,TaskPlan!A:M,13,FALSE),"")</f>
        <v>39932</v>
      </c>
      <c r="I452" s="38" t="str">
        <f ca="1">IF(AND(B452="",NOT(A452="")),VLOOKUP(A452,TaskPlan!A:M,12,FALSE),"")</f>
        <v>Closed</v>
      </c>
      <c r="J452" s="39" t="str">
        <f ca="1">IF(AND(B452="",NOT(A452="")),VLOOKUP(A452,TaskPlan!A:L,2,FALSE),"")</f>
        <v>Neil</v>
      </c>
      <c r="K452" s="39" t="str">
        <f ca="1">IF(AND(B452="",NOT(A452="")),IF(NOT(LEFT(VLOOKUP(A452,TaskPlan!A:L,3,FALSE),1) = "0"),VLOOKUP(A452,TaskPlan!A:L,3,FALSE),""),"")</f>
        <v/>
      </c>
      <c r="L452" s="55" t="str">
        <f ca="1">IF(AND(B452="",NOT(A452="")),IF(NOT(LEFT(VLOOKUP(A452,TaskPlan!A:L,3,FALSE),1) = "0"),VLOOKUP(A452,TaskPlan!A:M,4,FALSE),""),"")</f>
        <v/>
      </c>
      <c r="M452" s="58" t="str">
        <f ca="1">IF(B452=".",1,IF(AND(B452="",NOT(A452="")),IF(VLOOKUP(A452,TaskPlan!A:L,5,FALSE)&gt;0,VLOOKUP(A452,TaskPlan!A:L,5,FALSE),""),""))</f>
        <v/>
      </c>
      <c r="N452" s="1" t="str">
        <f ca="1">IF(ISNA(VLOOKUP(A452,Projects!B:B,1,FALSE)),"","Yes")</f>
        <v/>
      </c>
    </row>
    <row r="453" spans="1:14" hidden="1" outlineLevel="1">
      <c r="A453" s="41" t="s">
        <v>594</v>
      </c>
      <c r="C453" s="44" t="s">
        <v>54</v>
      </c>
      <c r="D453" s="7" t="s">
        <v>11</v>
      </c>
      <c r="E453" s="26">
        <v>39917</v>
      </c>
      <c r="H453" s="37">
        <f ca="1">IF(AND(B453="",NOT(A453="")),VLOOKUP(A453,TaskPlan!A:M,13,FALSE),"")</f>
        <v>39938</v>
      </c>
      <c r="I453" s="38" t="str">
        <f ca="1">IF(AND(B453="",NOT(A453="")),VLOOKUP(A453,TaskPlan!A:M,12,FALSE),"")</f>
        <v>Closed</v>
      </c>
      <c r="J453" s="39" t="str">
        <f ca="1">IF(AND(B453="",NOT(A453="")),VLOOKUP(A453,TaskPlan!A:L,2,FALSE),"")</f>
        <v>Fingal</v>
      </c>
      <c r="K453" s="39" t="str">
        <f ca="1">IF(AND(B453="",NOT(A453="")),IF(NOT(LEFT(VLOOKUP(A453,TaskPlan!A:L,3,FALSE),1) = "0"),VLOOKUP(A453,TaskPlan!A:L,3,FALSE),""),"")</f>
        <v/>
      </c>
      <c r="L453" s="55" t="str">
        <f ca="1">IF(AND(B453="",NOT(A453="")),IF(NOT(LEFT(VLOOKUP(A453,TaskPlan!A:L,3,FALSE),1) = "0"),VLOOKUP(A453,TaskPlan!A:M,4,FALSE),""),"")</f>
        <v/>
      </c>
      <c r="M453" s="58" t="str">
        <f ca="1">IF(B453=".",1,IF(AND(B453="",NOT(A453="")),IF(VLOOKUP(A453,TaskPlan!A:L,5,FALSE)&gt;0,VLOOKUP(A453,TaskPlan!A:L,5,FALSE),""),""))</f>
        <v/>
      </c>
      <c r="N453" s="1" t="str">
        <f ca="1">IF(ISNA(VLOOKUP(A453,Projects!B:B,1,FALSE)),"","Yes")</f>
        <v/>
      </c>
    </row>
    <row r="454" spans="1:14" hidden="1" outlineLevel="1">
      <c r="A454" s="41" t="s">
        <v>601</v>
      </c>
      <c r="B454" s="7" t="s">
        <v>15</v>
      </c>
      <c r="C454" s="45" t="s">
        <v>164</v>
      </c>
      <c r="D454" s="7"/>
      <c r="E454" s="26"/>
      <c r="H454" s="37" t="str">
        <f ca="1">IF(AND(B454="",NOT(A454="")),VLOOKUP(A454,TaskPlan!A:M,13,FALSE),"")</f>
        <v/>
      </c>
      <c r="I454" s="38" t="str">
        <f ca="1">IF(AND(B454="",NOT(A454="")),VLOOKUP(A454,TaskPlan!A:M,12,FALSE),"")</f>
        <v/>
      </c>
      <c r="J454" s="39" t="str">
        <f ca="1">IF(AND(B454="",NOT(A454="")),VLOOKUP(A454,TaskPlan!A:L,2,FALSE),"")</f>
        <v/>
      </c>
      <c r="K454" s="39" t="str">
        <f ca="1">IF(AND(B454="",NOT(A454="")),IF(NOT(LEFT(VLOOKUP(A454,TaskPlan!A:L,3,FALSE),1) = "0"),VLOOKUP(A454,TaskPlan!A:L,3,FALSE),""),"")</f>
        <v/>
      </c>
      <c r="L454" s="55" t="str">
        <f ca="1">IF(AND(B454="",NOT(A454="")),IF(NOT(LEFT(VLOOKUP(A454,TaskPlan!A:L,3,FALSE),1) = "0"),VLOOKUP(A454,TaskPlan!A:M,4,FALSE),""),"")</f>
        <v/>
      </c>
      <c r="N454" s="1" t="str">
        <f ca="1">IF(ISNA(VLOOKUP(A454,Projects!B:B,1,FALSE)),"","Yes")</f>
        <v/>
      </c>
    </row>
    <row r="455" spans="1:14" hidden="1" outlineLevel="1">
      <c r="A455" s="43" t="s">
        <v>595</v>
      </c>
      <c r="B455" s="7"/>
      <c r="C455" s="44" t="s">
        <v>165</v>
      </c>
      <c r="D455" s="7" t="s">
        <v>11</v>
      </c>
      <c r="E455" s="26">
        <v>39939</v>
      </c>
      <c r="H455" s="37">
        <f ca="1">IF(AND(B455="",NOT(A455="")),VLOOKUP(A455,TaskPlan!A:M,13,FALSE),"")</f>
        <v>39997</v>
      </c>
      <c r="I455" s="38" t="str">
        <f ca="1">IF(AND(B455="",NOT(A455="")),VLOOKUP(A455,TaskPlan!A:M,12,FALSE),"")</f>
        <v>Closed</v>
      </c>
      <c r="J455" s="39" t="str">
        <f ca="1">IF(AND(B455="",NOT(A455="")),VLOOKUP(A455,TaskPlan!A:L,2,FALSE),"")</f>
        <v>Pramendra</v>
      </c>
      <c r="K455" s="39" t="str">
        <f ca="1">IF(AND(B455="",NOT(A455="")),IF(NOT(LEFT(VLOOKUP(A455,TaskPlan!A:L,3,FALSE),1) = "0"),VLOOKUP(A455,TaskPlan!A:L,3,FALSE),""),"")</f>
        <v/>
      </c>
      <c r="L455" s="55" t="str">
        <f ca="1">IF(AND(B455="",NOT(A455="")),IF(NOT(LEFT(VLOOKUP(A455,TaskPlan!A:L,3,FALSE),1) = "0"),VLOOKUP(A455,TaskPlan!A:M,4,FALSE),""),"")</f>
        <v/>
      </c>
      <c r="M455" s="58" t="str">
        <f ca="1">IF(B455=".",1,IF(AND(B455="",NOT(A455="")),IF(VLOOKUP(A455,TaskPlan!A:L,5,FALSE)&gt;0,VLOOKUP(A455,TaskPlan!A:L,5,FALSE),""),""))</f>
        <v/>
      </c>
      <c r="N455" s="1" t="str">
        <f ca="1">IF(ISNA(VLOOKUP(A455,Projects!B:B,1,FALSE)),"","Yes")</f>
        <v/>
      </c>
    </row>
    <row r="456" spans="1:14" hidden="1" outlineLevel="1">
      <c r="A456" s="41" t="s">
        <v>602</v>
      </c>
      <c r="B456" s="7"/>
      <c r="C456" s="44" t="s">
        <v>219</v>
      </c>
      <c r="D456" s="7" t="s">
        <v>11</v>
      </c>
      <c r="E456" s="26">
        <v>39960</v>
      </c>
      <c r="H456" s="37">
        <f ca="1">IF(AND(B456="",NOT(A456="")),VLOOKUP(A456,TaskPlan!A:M,13,FALSE),"")</f>
        <v>40011</v>
      </c>
      <c r="I456" s="38" t="str">
        <f ca="1">IF(AND(B456="",NOT(A456="")),VLOOKUP(A456,TaskPlan!A:M,12,FALSE),"")</f>
        <v>Closed</v>
      </c>
      <c r="J456" s="39" t="str">
        <f ca="1">IF(AND(B456="",NOT(A456="")),VLOOKUP(A456,TaskPlan!A:L,2,FALSE),"")</f>
        <v>Neil</v>
      </c>
      <c r="K456" s="39" t="str">
        <f ca="1">IF(AND(B456="",NOT(A456="")),IF(NOT(LEFT(VLOOKUP(A456,TaskPlan!A:L,3,FALSE),1) = "0"),VLOOKUP(A456,TaskPlan!A:L,3,FALSE),""),"")</f>
        <v/>
      </c>
      <c r="L456" s="55" t="str">
        <f ca="1">IF(AND(B456="",NOT(A456="")),IF(NOT(LEFT(VLOOKUP(A456,TaskPlan!A:L,3,FALSE),1) = "0"),VLOOKUP(A456,TaskPlan!A:M,4,FALSE),""),"")</f>
        <v/>
      </c>
      <c r="M456" s="58" t="str">
        <f ca="1">IF(B456=".",1,IF(AND(B456="",NOT(A456="")),IF(VLOOKUP(A456,TaskPlan!A:L,5,FALSE)&gt;0,VLOOKUP(A456,TaskPlan!A:L,5,FALSE),""),""))</f>
        <v/>
      </c>
      <c r="N456" s="1" t="str">
        <f ca="1">IF(ISNA(VLOOKUP(A456,Projects!B:B,1,FALSE)),"","Yes")</f>
        <v/>
      </c>
    </row>
    <row r="457" spans="1:14" hidden="1" outlineLevel="1">
      <c r="A457" s="41" t="s">
        <v>603</v>
      </c>
      <c r="B457" s="7"/>
      <c r="C457" s="44" t="s">
        <v>238</v>
      </c>
      <c r="D457" s="7" t="s">
        <v>11</v>
      </c>
      <c r="E457" s="26">
        <v>39962</v>
      </c>
      <c r="F457" s="25">
        <v>5</v>
      </c>
      <c r="G457" s="25" t="s">
        <v>1098</v>
      </c>
      <c r="H457" s="37">
        <f ca="1">IF(AND(B457="",NOT(A457="")),VLOOKUP(A457,TaskPlan!A:M,13,FALSE),"")</f>
        <v>40283</v>
      </c>
      <c r="I457" s="38" t="str">
        <f ca="1">IF(AND(B457="",NOT(A457="")),VLOOKUP(A457,TaskPlan!A:M,12,FALSE),"")</f>
        <v>Not Started</v>
      </c>
      <c r="J457" s="39" t="str">
        <f ca="1">IF(AND(B457="",NOT(A457="")),VLOOKUP(A457,TaskPlan!A:L,2,FALSE),"")</f>
        <v>Unassigned</v>
      </c>
      <c r="K457" s="39" t="str">
        <f ca="1">IF(AND(B457="",NOT(A457="")),IF(NOT(LEFT(VLOOKUP(A457,TaskPlan!A:L,3,FALSE),1) = "0"),VLOOKUP(A457,TaskPlan!A:L,3,FALSE),""),"")</f>
        <v>1-LOW</v>
      </c>
      <c r="L457" s="55">
        <f ca="1">IF(AND(B457="",NOT(A457="")),IF(NOT(LEFT(VLOOKUP(A457,TaskPlan!A:L,3,FALSE),1) = "0"),VLOOKUP(A457,TaskPlan!A:M,4,FALSE),""),"")</f>
        <v>0</v>
      </c>
      <c r="M457" s="58" t="str">
        <f ca="1">IF(B457=".",1,IF(AND(B457="",NOT(A457="")),IF(VLOOKUP(A457,TaskPlan!A:L,5,FALSE)&gt;0,VLOOKUP(A457,TaskPlan!A:L,5,FALSE),""),""))</f>
        <v/>
      </c>
      <c r="N457" s="1" t="str">
        <f ca="1">IF(ISNA(VLOOKUP(A457,Projects!B:B,1,FALSE)),"","Yes")</f>
        <v/>
      </c>
    </row>
    <row r="458" spans="1:14" hidden="1" outlineLevel="1">
      <c r="A458" s="41" t="s">
        <v>604</v>
      </c>
      <c r="B458" s="7" t="s">
        <v>15</v>
      </c>
      <c r="C458" s="45" t="s">
        <v>1962</v>
      </c>
      <c r="D458" s="7"/>
      <c r="E458" s="26"/>
      <c r="L458" s="55"/>
    </row>
    <row r="459" spans="1:14" hidden="1" outlineLevel="1">
      <c r="A459" s="43" t="s">
        <v>596</v>
      </c>
      <c r="B459" s="7"/>
      <c r="C459" s="44" t="s">
        <v>249</v>
      </c>
      <c r="D459" s="7" t="s">
        <v>11</v>
      </c>
      <c r="E459" s="26">
        <v>39975</v>
      </c>
      <c r="H459" s="37">
        <f ca="1">IF(AND(B459="",NOT(A459="")),VLOOKUP(A459,TaskPlan!A:M,13,FALSE),"")</f>
        <v>40002</v>
      </c>
      <c r="I459" s="38" t="str">
        <f ca="1">IF(AND(B459="",NOT(A459="")),VLOOKUP(A459,TaskPlan!A:M,12,FALSE),"")</f>
        <v>Closed</v>
      </c>
      <c r="J459" s="39" t="str">
        <f ca="1">IF(AND(B459="",NOT(A459="")),VLOOKUP(A459,TaskPlan!A:L,2,FALSE),"")</f>
        <v>Neil</v>
      </c>
      <c r="K459" s="39" t="str">
        <f ca="1">IF(AND(B459="",NOT(A459="")),IF(NOT(LEFT(VLOOKUP(A459,TaskPlan!A:L,3,FALSE),1) = "0"),VLOOKUP(A459,TaskPlan!A:L,3,FALSE),""),"")</f>
        <v/>
      </c>
      <c r="L459" s="55" t="str">
        <f ca="1">IF(AND(B459="",NOT(A459="")),IF(NOT(LEFT(VLOOKUP(A459,TaskPlan!A:L,3,FALSE),1) = "0"),VLOOKUP(A459,TaskPlan!A:M,4,FALSE),""),"")</f>
        <v/>
      </c>
      <c r="M459" s="58" t="str">
        <f ca="1">IF(B459=".",1,IF(AND(B459="",NOT(A459="")),IF(VLOOKUP(A459,TaskPlan!A:L,5,FALSE)&gt;0,VLOOKUP(A459,TaskPlan!A:L,5,FALSE),""),""))</f>
        <v/>
      </c>
      <c r="N459" s="1" t="str">
        <f ca="1">IF(ISNA(VLOOKUP(A459,Projects!B:B,1,FALSE)),"","Yes")</f>
        <v/>
      </c>
    </row>
    <row r="460" spans="1:14" hidden="1" outlineLevel="1">
      <c r="A460" s="43" t="s">
        <v>1963</v>
      </c>
      <c r="B460" s="7"/>
      <c r="C460" s="44" t="s">
        <v>420</v>
      </c>
      <c r="D460" s="7" t="s">
        <v>32</v>
      </c>
      <c r="E460" s="26">
        <v>40049</v>
      </c>
      <c r="H460" s="37">
        <f ca="1">IF(AND(B460="",NOT(A460="")),VLOOKUP(A460,TaskPlan!A:M,13,FALSE),"")</f>
        <v>40045</v>
      </c>
      <c r="I460" s="38" t="str">
        <f ca="1">IF(AND(B460="",NOT(A460="")),VLOOKUP(A460,TaskPlan!A:M,12,FALSE),"")</f>
        <v>Closed</v>
      </c>
      <c r="J460" s="39" t="str">
        <f ca="1">IF(AND(B460="",NOT(A460="")),VLOOKUP(A460,TaskPlan!A:L,2,FALSE),"")</f>
        <v>Neil</v>
      </c>
      <c r="K460" s="39" t="str">
        <f ca="1">IF(AND(B460="",NOT(A460="")),IF(NOT(LEFT(VLOOKUP(A460,TaskPlan!A:L,3,FALSE),1) = "0"),VLOOKUP(A460,TaskPlan!A:L,3,FALSE),""),"")</f>
        <v/>
      </c>
      <c r="L460" s="55" t="str">
        <f ca="1">IF(AND(B460="",NOT(A460="")),IF(NOT(LEFT(VLOOKUP(A460,TaskPlan!A:L,3,FALSE),1) = "0"),VLOOKUP(A460,TaskPlan!A:M,4,FALSE),""),"")</f>
        <v/>
      </c>
      <c r="M460" s="58" t="str">
        <f ca="1">IF(B460=".",1,IF(AND(B460="",NOT(A460="")),IF(VLOOKUP(A460,TaskPlan!A:L,5,FALSE)&gt;0,VLOOKUP(A460,TaskPlan!A:L,5,FALSE),""),""))</f>
        <v/>
      </c>
      <c r="N460" s="1" t="str">
        <f ca="1">IF(ISNA(VLOOKUP(A460,Projects!B:B,1,FALSE)),"","Yes")</f>
        <v/>
      </c>
    </row>
    <row r="461" spans="1:14" hidden="1" outlineLevel="1">
      <c r="A461" s="41" t="s">
        <v>605</v>
      </c>
      <c r="B461" s="7" t="s">
        <v>15</v>
      </c>
      <c r="C461" s="45" t="s">
        <v>289</v>
      </c>
      <c r="D461" s="7"/>
      <c r="E461" s="26"/>
      <c r="H461" s="37" t="str">
        <f ca="1">IF(AND(B461="",NOT(A461="")),VLOOKUP(A461,TaskPlan!A:M,13,FALSE),"")</f>
        <v/>
      </c>
      <c r="I461" s="38" t="str">
        <f ca="1">IF(AND(B461="",NOT(A461="")),VLOOKUP(A461,TaskPlan!A:M,12,FALSE),"")</f>
        <v/>
      </c>
      <c r="J461" s="39" t="str">
        <f ca="1">IF(AND(B461="",NOT(A461="")),VLOOKUP(A461,TaskPlan!A:L,2,FALSE),"")</f>
        <v/>
      </c>
      <c r="K461" s="39" t="str">
        <f ca="1">IF(AND(B461="",NOT(A461="")),IF(NOT(LEFT(VLOOKUP(A461,TaskPlan!A:L,3,FALSE),1) = "0"),VLOOKUP(A461,TaskPlan!A:L,3,FALSE),""),"")</f>
        <v/>
      </c>
      <c r="L461" s="55" t="str">
        <f ca="1">IF(AND(B461="",NOT(A461="")),IF(NOT(LEFT(VLOOKUP(A461,TaskPlan!A:L,3,FALSE),1) = "0"),VLOOKUP(A461,TaskPlan!A:M,4,FALSE),""),"")</f>
        <v/>
      </c>
      <c r="N461" s="1" t="str">
        <f ca="1">IF(ISNA(VLOOKUP(A461,Projects!B:B,1,FALSE)),"","Yes")</f>
        <v/>
      </c>
    </row>
    <row r="462" spans="1:14" hidden="1" outlineLevel="1">
      <c r="A462" s="43" t="s">
        <v>597</v>
      </c>
      <c r="B462" s="7"/>
      <c r="C462" s="44" t="s">
        <v>290</v>
      </c>
      <c r="D462" s="7" t="s">
        <v>11</v>
      </c>
      <c r="E462" s="26">
        <v>39993</v>
      </c>
      <c r="H462" s="37">
        <f ca="1">IF(AND(B462="",NOT(A462="")),VLOOKUP(A462,TaskPlan!A:M,13,FALSE),"")</f>
        <v>40008</v>
      </c>
      <c r="I462" s="38" t="str">
        <f ca="1">IF(AND(B462="",NOT(A462="")),VLOOKUP(A462,TaskPlan!A:M,12,FALSE),"")</f>
        <v>Closed</v>
      </c>
      <c r="J462" s="39" t="str">
        <f ca="1">IF(AND(B462="",NOT(A462="")),VLOOKUP(A462,TaskPlan!A:L,2,FALSE),"")</f>
        <v>Paresh</v>
      </c>
      <c r="K462" s="39" t="str">
        <f ca="1">IF(AND(B462="",NOT(A462="")),IF(NOT(LEFT(VLOOKUP(A462,TaskPlan!A:L,3,FALSE),1) = "0"),VLOOKUP(A462,TaskPlan!A:L,3,FALSE),""),"")</f>
        <v/>
      </c>
      <c r="L462" s="55" t="str">
        <f ca="1">IF(AND(B462="",NOT(A462="")),IF(NOT(LEFT(VLOOKUP(A462,TaskPlan!A:L,3,FALSE),1) = "0"),VLOOKUP(A462,TaskPlan!A:M,4,FALSE),""),"")</f>
        <v/>
      </c>
      <c r="M462" s="58" t="str">
        <f ca="1">IF(B462=".",1,IF(AND(B462="",NOT(A462="")),IF(VLOOKUP(A462,TaskPlan!A:L,5,FALSE)&gt;0,VLOOKUP(A462,TaskPlan!A:L,5,FALSE),""),""))</f>
        <v/>
      </c>
      <c r="N462" s="1" t="str">
        <f ca="1">IF(ISNA(VLOOKUP(A462,Projects!B:B,1,FALSE)),"","Yes")</f>
        <v/>
      </c>
    </row>
    <row r="463" spans="1:14" hidden="1" outlineLevel="1">
      <c r="A463" s="43" t="s">
        <v>1775</v>
      </c>
      <c r="B463" s="7"/>
      <c r="C463" s="44" t="s">
        <v>1776</v>
      </c>
      <c r="D463" s="7" t="s">
        <v>11</v>
      </c>
      <c r="E463" s="26">
        <v>40521</v>
      </c>
      <c r="F463" s="25">
        <v>1</v>
      </c>
      <c r="G463" s="25" t="s">
        <v>1098</v>
      </c>
      <c r="H463" s="37">
        <f ca="1">IF(AND(B463="",NOT(A463="")),VLOOKUP(A463,TaskPlan!A:M,13,FALSE),"")</f>
        <v>40526</v>
      </c>
      <c r="I463" s="38" t="str">
        <f ca="1">IF(AND(B463="",NOT(A463="")),VLOOKUP(A463,TaskPlan!A:M,12,FALSE),"")</f>
        <v>Closed</v>
      </c>
      <c r="J463" s="39" t="str">
        <f ca="1">IF(AND(B463="",NOT(A463="")),VLOOKUP(A463,TaskPlan!A:L,2,FALSE),"")</f>
        <v>Sreevani</v>
      </c>
      <c r="K463" s="39" t="str">
        <f ca="1">IF(AND(B463="",NOT(A463="")),IF(NOT(LEFT(VLOOKUP(A463,TaskPlan!A:L,3,FALSE),1) = "0"),VLOOKUP(A463,TaskPlan!A:L,3,FALSE),""),"")</f>
        <v/>
      </c>
      <c r="L463" s="55" t="str">
        <f ca="1">IF(AND(B463="",NOT(A463="")),IF(NOT(LEFT(VLOOKUP(A463,TaskPlan!A:L,3,FALSE),1) = "0"),VLOOKUP(A463,TaskPlan!A:M,4,FALSE),""),"")</f>
        <v/>
      </c>
      <c r="M463" s="58" t="str">
        <f ca="1">IF(B463=".",1,IF(AND(B463="",NOT(A463="")),IF(VLOOKUP(A463,TaskPlan!A:L,5,FALSE)&gt;0,VLOOKUP(A463,TaskPlan!A:L,5,FALSE),""),""))</f>
        <v/>
      </c>
      <c r="N463" s="1" t="str">
        <f ca="1">IF(ISNA(VLOOKUP(A463,Projects!B:B,1,FALSE)),"","Yes")</f>
        <v/>
      </c>
    </row>
    <row r="464" spans="1:14" ht="25.5" hidden="1" outlineLevel="1">
      <c r="A464" s="43" t="s">
        <v>1779</v>
      </c>
      <c r="B464" s="7"/>
      <c r="C464" s="44" t="s">
        <v>1843</v>
      </c>
      <c r="D464" s="7" t="s">
        <v>11</v>
      </c>
      <c r="E464" s="26">
        <v>40563</v>
      </c>
      <c r="F464" s="25">
        <v>1</v>
      </c>
      <c r="G464" s="25" t="s">
        <v>1098</v>
      </c>
      <c r="H464" s="37">
        <f ca="1">IF(AND(B464="",NOT(A464="")),VLOOKUP(A464,TaskPlan!A:M,13,FALSE),"")</f>
        <v>40521</v>
      </c>
      <c r="I464" s="38" t="str">
        <f ca="1">IF(AND(B464="",NOT(A464="")),VLOOKUP(A464,TaskPlan!A:M,12,FALSE),"")</f>
        <v>Not Started</v>
      </c>
      <c r="J464" s="39" t="str">
        <f ca="1">IF(AND(B464="",NOT(A464="")),VLOOKUP(A464,TaskPlan!A:L,2,FALSE),"")</f>
        <v>Neil</v>
      </c>
      <c r="K464" s="39" t="str">
        <f ca="1">IF(AND(B464="",NOT(A464="")),IF(NOT(LEFT(VLOOKUP(A464,TaskPlan!A:L,3,FALSE),1) = "0"),VLOOKUP(A464,TaskPlan!A:L,3,FALSE),""),"")</f>
        <v>4-HIGH</v>
      </c>
      <c r="L464" s="55">
        <f ca="1">IF(AND(B464="",NOT(A464="")),IF(NOT(LEFT(VLOOKUP(A464,TaskPlan!A:L,3,FALSE),1) = "0"),VLOOKUP(A464,TaskPlan!A:M,4,FALSE),""),"")</f>
        <v>0</v>
      </c>
      <c r="M464" s="58" t="str">
        <f ca="1">IF(B464=".",1,IF(AND(B464="",NOT(A464="")),IF(VLOOKUP(A464,TaskPlan!A:L,5,FALSE)&gt;0,VLOOKUP(A464,TaskPlan!A:L,5,FALSE),""),""))</f>
        <v/>
      </c>
    </row>
    <row r="465" spans="1:14" hidden="1" outlineLevel="1">
      <c r="A465" s="43" t="s">
        <v>1791</v>
      </c>
      <c r="B465" s="7"/>
      <c r="C465" s="44" t="s">
        <v>1792</v>
      </c>
      <c r="D465" s="7" t="s">
        <v>366</v>
      </c>
      <c r="E465" s="26">
        <v>40532</v>
      </c>
      <c r="F465" s="25">
        <v>1</v>
      </c>
      <c r="G465" s="25" t="s">
        <v>289</v>
      </c>
      <c r="H465" s="37">
        <f ca="1">IF(AND(B465="",NOT(A465="")),VLOOKUP(A465,TaskPlan!A:M,13,FALSE),"")</f>
        <v>40008</v>
      </c>
      <c r="I465" s="38" t="str">
        <f ca="1">IF(AND(B465="",NOT(A465="")),VLOOKUP(A465,TaskPlan!A:M,12,FALSE),"")</f>
        <v>In Progress</v>
      </c>
      <c r="J465" s="39" t="str">
        <f ca="1">IF(AND(B465="",NOT(A465="")),VLOOKUP(A465,TaskPlan!A:L,2,FALSE),"")</f>
        <v>Neil</v>
      </c>
      <c r="K465" s="39" t="str">
        <f ca="1">IF(AND(B465="",NOT(A465="")),IF(NOT(LEFT(VLOOKUP(A465,TaskPlan!A:L,3,FALSE),1) = "0"),VLOOKUP(A465,TaskPlan!A:L,3,FALSE),""),"")</f>
        <v>5-HIGH</v>
      </c>
      <c r="L465" s="55">
        <f ca="1">IF(AND(B465="",NOT(A465="")),IF(NOT(LEFT(VLOOKUP(A465,TaskPlan!A:L,3,FALSE),1) = "0"),VLOOKUP(A465,TaskPlan!A:M,4,FALSE),""),"")</f>
        <v>0</v>
      </c>
      <c r="M465" s="58" t="str">
        <f ca="1">IF(B465=".",1,IF(AND(B465="",NOT(A465="")),IF(VLOOKUP(A465,TaskPlan!A:L,5,FALSE)&gt;0,VLOOKUP(A465,TaskPlan!A:L,5,FALSE),""),""))</f>
        <v/>
      </c>
    </row>
    <row r="466" spans="1:14" hidden="1" outlineLevel="1">
      <c r="A466" s="43" t="s">
        <v>1794</v>
      </c>
      <c r="B466" s="7"/>
      <c r="C466" s="44" t="s">
        <v>1795</v>
      </c>
      <c r="D466" s="7" t="s">
        <v>1796</v>
      </c>
      <c r="E466" s="26">
        <v>40532</v>
      </c>
      <c r="F466" s="25">
        <v>1</v>
      </c>
      <c r="G466" s="25" t="s">
        <v>1098</v>
      </c>
      <c r="H466" s="37">
        <f ca="1">IF(AND(B466="",NOT(A466="")),VLOOKUP(A466,TaskPlan!A:M,13,FALSE),"")</f>
        <v>40532</v>
      </c>
      <c r="I466" s="38" t="str">
        <f ca="1">IF(AND(B466="",NOT(A466="")),VLOOKUP(A466,TaskPlan!A:M,12,FALSE),"")</f>
        <v>In Progress</v>
      </c>
      <c r="J466" s="39" t="str">
        <f ca="1">IF(AND(B466="",NOT(A466="")),VLOOKUP(A466,TaskPlan!A:L,2,FALSE),"")</f>
        <v>Pramendra</v>
      </c>
      <c r="K466" s="39" t="str">
        <f ca="1">IF(AND(B466="",NOT(A466="")),IF(NOT(LEFT(VLOOKUP(A466,TaskPlan!A:L,3,FALSE),1) = "0"),VLOOKUP(A466,TaskPlan!A:L,3,FALSE),""),"")</f>
        <v>3-MED</v>
      </c>
      <c r="L466" s="55">
        <f ca="1">IF(AND(B466="",NOT(A466="")),IF(NOT(LEFT(VLOOKUP(A466,TaskPlan!A:L,3,FALSE),1) = "0"),VLOOKUP(A466,TaskPlan!A:M,4,FALSE),""),"")</f>
        <v>0</v>
      </c>
      <c r="M466" s="58" t="str">
        <f ca="1">IF(B466=".",1,IF(AND(B466="",NOT(A466="")),IF(VLOOKUP(A466,TaskPlan!A:L,5,FALSE)&gt;0,VLOOKUP(A466,TaskPlan!A:L,5,FALSE),""),""))</f>
        <v/>
      </c>
    </row>
    <row r="467" spans="1:14" hidden="1" outlineLevel="1">
      <c r="A467" s="41" t="s">
        <v>606</v>
      </c>
      <c r="B467" s="7" t="s">
        <v>15</v>
      </c>
      <c r="C467" s="45" t="s">
        <v>452</v>
      </c>
      <c r="D467" s="7"/>
      <c r="E467" s="26"/>
      <c r="H467" s="37" t="str">
        <f ca="1">IF(AND(B467="",NOT(A467="")),VLOOKUP(A467,TaskPlan!A:M,13,FALSE),"")</f>
        <v/>
      </c>
      <c r="I467" s="38" t="str">
        <f ca="1">IF(AND(B467="",NOT(A467="")),VLOOKUP(A467,TaskPlan!A:M,12,FALSE),"")</f>
        <v/>
      </c>
      <c r="J467" s="39" t="str">
        <f ca="1">IF(AND(B467="",NOT(A467="")),VLOOKUP(A467,TaskPlan!A:L,2,FALSE),"")</f>
        <v/>
      </c>
      <c r="K467" s="39" t="str">
        <f ca="1">IF(AND(B467="",NOT(A467="")),IF(NOT(LEFT(VLOOKUP(A467,TaskPlan!A:L,3,FALSE),1) = "0"),VLOOKUP(A467,TaskPlan!A:L,3,FALSE),""),"")</f>
        <v/>
      </c>
      <c r="L467" s="55" t="str">
        <f ca="1">IF(AND(B467="",NOT(A467="")),IF(NOT(LEFT(VLOOKUP(A467,TaskPlan!A:L,3,FALSE),1) = "0"),VLOOKUP(A467,TaskPlan!A:M,4,FALSE),""),"")</f>
        <v/>
      </c>
      <c r="N467" s="1" t="str">
        <f ca="1">IF(ISNA(VLOOKUP(A467,Projects!B:B,1,FALSE)),"","Yes")</f>
        <v/>
      </c>
    </row>
    <row r="468" spans="1:14" hidden="1" outlineLevel="1">
      <c r="A468" s="43" t="s">
        <v>598</v>
      </c>
      <c r="C468" s="44" t="s">
        <v>445</v>
      </c>
      <c r="D468" s="7" t="s">
        <v>11</v>
      </c>
      <c r="E468" s="26">
        <v>40060</v>
      </c>
      <c r="H468" s="37">
        <f ca="1">IF(AND(B468="",NOT(A468="")),VLOOKUP(A468,TaskPlan!A:M,13,FALSE),"")</f>
        <v>40071</v>
      </c>
      <c r="I468" s="38" t="str">
        <f ca="1">IF(AND(B468="",NOT(A468="")),VLOOKUP(A468,TaskPlan!A:M,12,FALSE),"")</f>
        <v>Closed</v>
      </c>
      <c r="J468" s="39" t="str">
        <f ca="1">IF(AND(B468="",NOT(A468="")),VLOOKUP(A468,TaskPlan!A:L,2,FALSE),"")</f>
        <v>Neil</v>
      </c>
      <c r="K468" s="39" t="str">
        <f ca="1">IF(AND(B468="",NOT(A468="")),IF(NOT(LEFT(VLOOKUP(A468,TaskPlan!A:L,3,FALSE),1) = "0"),VLOOKUP(A468,TaskPlan!A:L,3,FALSE),""),"")</f>
        <v/>
      </c>
      <c r="L468" s="55" t="str">
        <f ca="1">IF(AND(B468="",NOT(A468="")),IF(NOT(LEFT(VLOOKUP(A468,TaskPlan!A:L,3,FALSE),1) = "0"),VLOOKUP(A468,TaskPlan!A:M,4,FALSE),""),"")</f>
        <v/>
      </c>
      <c r="M468" s="58" t="str">
        <f ca="1">IF(B468=".",1,IF(AND(B468="",NOT(A468="")),IF(VLOOKUP(A468,TaskPlan!A:L,5,FALSE)&gt;0,VLOOKUP(A468,TaskPlan!A:L,5,FALSE),""),""))</f>
        <v/>
      </c>
      <c r="N468" s="1" t="str">
        <f ca="1">IF(ISNA(VLOOKUP(A468,Projects!B:B,1,FALSE)),"","Yes")</f>
        <v/>
      </c>
    </row>
    <row r="469" spans="1:14" hidden="1" outlineLevel="1">
      <c r="A469" s="43" t="s">
        <v>599</v>
      </c>
      <c r="C469" s="44" t="s">
        <v>454</v>
      </c>
      <c r="D469" s="7" t="s">
        <v>11</v>
      </c>
      <c r="E469" s="26">
        <v>40074</v>
      </c>
      <c r="H469" s="37">
        <f ca="1">IF(AND(B469="",NOT(A469="")),VLOOKUP(A469,TaskPlan!A:M,13,FALSE),"")</f>
        <v>40085</v>
      </c>
      <c r="I469" s="38" t="str">
        <f ca="1">IF(AND(B469="",NOT(A469="")),VLOOKUP(A469,TaskPlan!A:M,12,FALSE),"")</f>
        <v>Closed</v>
      </c>
      <c r="J469" s="39" t="str">
        <f ca="1">IF(AND(B469="",NOT(A469="")),VLOOKUP(A469,TaskPlan!A:L,2,FALSE),"")</f>
        <v>Neil</v>
      </c>
      <c r="K469" s="39" t="str">
        <f ca="1">IF(AND(B469="",NOT(A469="")),IF(NOT(LEFT(VLOOKUP(A469,TaskPlan!A:L,3,FALSE),1) = "0"),VLOOKUP(A469,TaskPlan!A:L,3,FALSE),""),"")</f>
        <v/>
      </c>
      <c r="L469" s="55" t="str">
        <f ca="1">IF(AND(B469="",NOT(A469="")),IF(NOT(LEFT(VLOOKUP(A469,TaskPlan!A:L,3,FALSE),1) = "0"),VLOOKUP(A469,TaskPlan!A:M,4,FALSE),""),"")</f>
        <v/>
      </c>
      <c r="M469" s="58" t="str">
        <f ca="1">IF(B469=".",1,IF(AND(B469="",NOT(A469="")),IF(VLOOKUP(A469,TaskPlan!A:L,5,FALSE)&gt;0,VLOOKUP(A469,TaskPlan!A:L,5,FALSE),""),""))</f>
        <v/>
      </c>
      <c r="N469" s="1" t="str">
        <f ca="1">IF(ISNA(VLOOKUP(A469,Projects!B:B,1,FALSE)),"","Yes")</f>
        <v/>
      </c>
    </row>
    <row r="470" spans="1:14" hidden="1" outlineLevel="1">
      <c r="A470" s="43" t="s">
        <v>600</v>
      </c>
      <c r="C470" s="44" t="s">
        <v>475</v>
      </c>
      <c r="D470" s="7" t="s">
        <v>11</v>
      </c>
      <c r="E470" s="26">
        <v>40074</v>
      </c>
      <c r="F470" s="25">
        <v>3</v>
      </c>
      <c r="G470" s="25" t="s">
        <v>1098</v>
      </c>
      <c r="H470" s="37">
        <f ca="1">IF(AND(B470="",NOT(A470="")),VLOOKUP(A470,TaskPlan!A:M,13,FALSE),"")</f>
        <v>40283</v>
      </c>
      <c r="I470" s="38" t="str">
        <f ca="1">IF(AND(B470="",NOT(A470="")),VLOOKUP(A470,TaskPlan!A:M,12,FALSE),"")</f>
        <v>Not Started</v>
      </c>
      <c r="J470" s="39" t="str">
        <f ca="1">IF(AND(B470="",NOT(A470="")),VLOOKUP(A470,TaskPlan!A:L,2,FALSE),"")</f>
        <v>Unassigned</v>
      </c>
      <c r="K470" s="39" t="str">
        <f ca="1">IF(AND(B470="",NOT(A470="")),IF(NOT(LEFT(VLOOKUP(A470,TaskPlan!A:L,3,FALSE),1) = "0"),VLOOKUP(A470,TaskPlan!A:L,3,FALSE),""),"")</f>
        <v>3-MED</v>
      </c>
      <c r="L470" s="55">
        <f ca="1">IF(AND(B470="",NOT(A470="")),IF(NOT(LEFT(VLOOKUP(A470,TaskPlan!A:L,3,FALSE),1) = "0"),VLOOKUP(A470,TaskPlan!A:M,4,FALSE),""),"")</f>
        <v>0</v>
      </c>
      <c r="M470" s="58" t="str">
        <f ca="1">IF(B470=".",1,IF(AND(B470="",NOT(A470="")),IF(VLOOKUP(A470,TaskPlan!A:L,5,FALSE)&gt;0,VLOOKUP(A470,TaskPlan!A:L,5,FALSE),""),""))</f>
        <v/>
      </c>
      <c r="N470" s="1" t="str">
        <f ca="1">IF(ISNA(VLOOKUP(A470,Projects!B:B,1,FALSE)),"","Yes")</f>
        <v/>
      </c>
    </row>
    <row r="471" spans="1:14" hidden="1" outlineLevel="1">
      <c r="A471" s="43" t="s">
        <v>1520</v>
      </c>
      <c r="C471" s="44" t="s">
        <v>1521</v>
      </c>
      <c r="D471" s="7" t="s">
        <v>11</v>
      </c>
      <c r="E471" s="26">
        <v>40438</v>
      </c>
      <c r="F471" s="25">
        <v>1</v>
      </c>
      <c r="G471" s="25" t="s">
        <v>289</v>
      </c>
      <c r="H471" s="37">
        <f ca="1">IF(AND(B471="",NOT(A471="")),VLOOKUP(A471,TaskPlan!A:M,13,FALSE),"")</f>
        <v>40438</v>
      </c>
      <c r="I471" s="38" t="str">
        <f ca="1">IF(AND(B471="",NOT(A471="")),VLOOKUP(A471,TaskPlan!A:M,12,FALSE),"")</f>
        <v>In Progress</v>
      </c>
      <c r="J471" s="39" t="str">
        <f ca="1">IF(AND(B471="",NOT(A471="")),VLOOKUP(A471,TaskPlan!A:L,2,FALSE),"")</f>
        <v>Neil</v>
      </c>
      <c r="K471" s="39" t="str">
        <f ca="1">IF(AND(B471="",NOT(A471="")),IF(NOT(LEFT(VLOOKUP(A471,TaskPlan!A:L,3,FALSE),1) = "0"),VLOOKUP(A471,TaskPlan!A:L,3,FALSE),""),"")</f>
        <v>4-HIGH</v>
      </c>
      <c r="L471" s="55">
        <f ca="1">IF(AND(B471="",NOT(A471="")),IF(NOT(LEFT(VLOOKUP(A471,TaskPlan!A:L,3,FALSE),1) = "0"),VLOOKUP(A471,TaskPlan!A:M,4,FALSE),""),"")</f>
        <v>0</v>
      </c>
      <c r="M471" s="58" t="str">
        <f ca="1">IF(B471=".",1,IF(AND(B471="",NOT(A471="")),IF(VLOOKUP(A471,TaskPlan!A:L,5,FALSE)&gt;0,VLOOKUP(A471,TaskPlan!A:L,5,FALSE),""),""))</f>
        <v/>
      </c>
    </row>
    <row r="472" spans="1:14" hidden="1" outlineLevel="1">
      <c r="A472" s="43" t="s">
        <v>446</v>
      </c>
      <c r="B472" s="7" t="s">
        <v>15</v>
      </c>
      <c r="C472" s="45" t="s">
        <v>447</v>
      </c>
      <c r="D472" s="7"/>
      <c r="E472" s="26"/>
      <c r="H472" s="37" t="str">
        <f ca="1">IF(AND(B472="",NOT(A472="")),VLOOKUP(A472,TaskPlan!A:M,13,FALSE),"")</f>
        <v/>
      </c>
      <c r="I472" s="38" t="str">
        <f ca="1">IF(AND(B472="",NOT(A472="")),VLOOKUP(A472,TaskPlan!A:M,12,FALSE),"")</f>
        <v/>
      </c>
      <c r="J472" s="39" t="str">
        <f ca="1">IF(AND(B472="",NOT(A472="")),VLOOKUP(A472,TaskPlan!A:L,2,FALSE),"")</f>
        <v/>
      </c>
      <c r="K472" s="39" t="str">
        <f ca="1">IF(AND(B472="",NOT(A472="")),IF(NOT(LEFT(VLOOKUP(A472,TaskPlan!A:L,3,FALSE),1) = "0"),VLOOKUP(A472,TaskPlan!A:L,3,FALSE),""),"")</f>
        <v/>
      </c>
      <c r="L472" s="55" t="str">
        <f ca="1">IF(AND(B472="",NOT(A472="")),IF(NOT(LEFT(VLOOKUP(A472,TaskPlan!A:L,3,FALSE),1) = "0"),VLOOKUP(A472,TaskPlan!A:M,4,FALSE),""),"")</f>
        <v/>
      </c>
      <c r="N472" s="1" t="str">
        <f ca="1">IF(ISNA(VLOOKUP(A472,Projects!B:B,1,FALSE)),"","Yes")</f>
        <v/>
      </c>
    </row>
    <row r="473" spans="1:14" hidden="1" outlineLevel="1">
      <c r="A473" s="43" t="s">
        <v>448</v>
      </c>
      <c r="B473" s="7"/>
      <c r="C473" s="44" t="s">
        <v>449</v>
      </c>
      <c r="D473" s="7" t="s">
        <v>11</v>
      </c>
      <c r="E473" s="26">
        <v>40060</v>
      </c>
      <c r="F473" s="25">
        <v>2</v>
      </c>
      <c r="G473" s="25" t="s">
        <v>1098</v>
      </c>
      <c r="H473" s="37">
        <f ca="1">IF(AND(B473="",NOT(A473="")),VLOOKUP(A473,TaskPlan!A:M,13,FALSE),"")</f>
        <v>40567</v>
      </c>
      <c r="I473" s="38" t="str">
        <f ca="1">IF(AND(B473="",NOT(A473="")),VLOOKUP(A473,TaskPlan!A:M,12,FALSE),"")</f>
        <v>Closed</v>
      </c>
      <c r="J473" s="39" t="str">
        <f ca="1">IF(AND(B473="",NOT(A473="")),VLOOKUP(A473,TaskPlan!A:L,2,FALSE),"")</f>
        <v>Parth</v>
      </c>
      <c r="K473" s="39" t="str">
        <f ca="1">IF(AND(B473="",NOT(A473="")),IF(NOT(LEFT(VLOOKUP(A473,TaskPlan!A:L,3,FALSE),1) = "0"),VLOOKUP(A473,TaskPlan!A:L,3,FALSE),""),"")</f>
        <v/>
      </c>
      <c r="L473" s="55" t="str">
        <f ca="1">IF(AND(B473="",NOT(A473="")),IF(NOT(LEFT(VLOOKUP(A473,TaskPlan!A:L,3,FALSE),1) = "0"),VLOOKUP(A473,TaskPlan!A:M,4,FALSE),""),"")</f>
        <v/>
      </c>
      <c r="M473" s="58" t="str">
        <f ca="1">IF(B473=".",1,IF(AND(B473="",NOT(A473="")),IF(VLOOKUP(A473,TaskPlan!A:L,5,FALSE)&gt;0,VLOOKUP(A473,TaskPlan!A:L,5,FALSE),""),""))</f>
        <v/>
      </c>
      <c r="N473" s="1" t="str">
        <f ca="1">IF(ISNA(VLOOKUP(A473,Projects!B:B,1,FALSE)),"","Yes")</f>
        <v/>
      </c>
    </row>
    <row r="474" spans="1:14" hidden="1" outlineLevel="1">
      <c r="A474" s="43" t="s">
        <v>1889</v>
      </c>
      <c r="B474" s="7"/>
      <c r="C474" s="44" t="s">
        <v>1755</v>
      </c>
      <c r="D474" s="7" t="s">
        <v>11</v>
      </c>
      <c r="E474" s="26">
        <v>40520</v>
      </c>
      <c r="F474" s="25">
        <v>3</v>
      </c>
      <c r="G474" s="25" t="s">
        <v>1098</v>
      </c>
      <c r="H474" s="37">
        <f ca="1">IF(AND(B474="",NOT(A474="")),VLOOKUP(A474,TaskPlan!A:M,13,FALSE),"")</f>
        <v>40568</v>
      </c>
      <c r="I474" s="38" t="str">
        <f ca="1">IF(AND(B474="",NOT(A474="")),VLOOKUP(A474,TaskPlan!A:M,12,FALSE),"")</f>
        <v>In Progress</v>
      </c>
      <c r="J474" s="39" t="str">
        <f ca="1">IF(AND(B474="",NOT(A474="")),VLOOKUP(A474,TaskPlan!A:L,2,FALSE),"")</f>
        <v>Pramendra</v>
      </c>
      <c r="K474" s="39" t="str">
        <f ca="1">IF(AND(B474="",NOT(A474="")),IF(NOT(LEFT(VLOOKUP(A474,TaskPlan!A:L,3,FALSE),1) = "0"),VLOOKUP(A474,TaskPlan!A:L,3,FALSE),""),"")</f>
        <v>2-LOW</v>
      </c>
      <c r="L474" s="55">
        <f ca="1">IF(AND(B474="",NOT(A474="")),IF(NOT(LEFT(VLOOKUP(A474,TaskPlan!A:L,3,FALSE),1) = "0"),VLOOKUP(A474,TaskPlan!A:M,4,FALSE),""),"")</f>
        <v>0</v>
      </c>
      <c r="M474" s="58">
        <f ca="1">IF(B474=".",1,IF(AND(B474="",NOT(A474="")),IF(VLOOKUP(A474,TaskPlan!A:L,5,FALSE)&gt;0,VLOOKUP(A474,TaskPlan!A:L,5,FALSE),""),""))</f>
        <v>1</v>
      </c>
      <c r="N474" s="1" t="str">
        <f ca="1">IF(ISNA(VLOOKUP(A474,Projects!B:B,1,FALSE)),"","Yes")</f>
        <v/>
      </c>
    </row>
    <row r="475" spans="1:14" hidden="1" outlineLevel="1">
      <c r="A475" s="43" t="s">
        <v>1890</v>
      </c>
      <c r="B475" s="7"/>
      <c r="C475" s="44" t="s">
        <v>1755</v>
      </c>
      <c r="D475" s="7" t="s">
        <v>11</v>
      </c>
      <c r="E475" s="26">
        <v>40567</v>
      </c>
      <c r="F475" s="25">
        <v>3</v>
      </c>
      <c r="G475" s="25" t="s">
        <v>1098</v>
      </c>
      <c r="H475" s="37">
        <f ca="1">IF(AND(B475="",NOT(A475="")),VLOOKUP(A475,TaskPlan!A:M,13,FALSE),"")</f>
        <v>40532</v>
      </c>
      <c r="I475" s="38" t="str">
        <f ca="1">IF(AND(B475="",NOT(A475="")),VLOOKUP(A475,TaskPlan!A:M,12,FALSE),"")</f>
        <v>In Progress</v>
      </c>
      <c r="J475" s="39" t="str">
        <f ca="1">IF(AND(B475="",NOT(A475="")),VLOOKUP(A475,TaskPlan!A:L,2,FALSE),"")</f>
        <v>Neil</v>
      </c>
      <c r="K475" s="39" t="str">
        <f ca="1">IF(AND(B475="",NOT(A475="")),IF(NOT(LEFT(VLOOKUP(A475,TaskPlan!A:L,3,FALSE),1) = "0"),VLOOKUP(A475,TaskPlan!A:L,3,FALSE),""),"")</f>
        <v>4-HIGH</v>
      </c>
      <c r="L475" s="55">
        <f ca="1">IF(AND(B475="",NOT(A475="")),IF(NOT(LEFT(VLOOKUP(A475,TaskPlan!A:L,3,FALSE),1) = "0"),VLOOKUP(A475,TaskPlan!A:M,4,FALSE),""),"")</f>
        <v>0</v>
      </c>
      <c r="M475" s="58">
        <f ca="1">IF(B475=".",1,IF(AND(B475="",NOT(A475="")),IF(VLOOKUP(A475,TaskPlan!A:L,5,FALSE)&gt;0,VLOOKUP(A475,TaskPlan!A:L,5,FALSE),""),""))</f>
        <v>1</v>
      </c>
    </row>
    <row r="476" spans="1:14" hidden="1" outlineLevel="1">
      <c r="A476" s="43" t="s">
        <v>1891</v>
      </c>
      <c r="B476" s="7"/>
      <c r="C476" s="44" t="s">
        <v>1755</v>
      </c>
      <c r="D476" s="7" t="s">
        <v>11</v>
      </c>
      <c r="E476" s="26">
        <v>40567</v>
      </c>
      <c r="F476" s="25">
        <v>3</v>
      </c>
      <c r="G476" s="25" t="s">
        <v>1098</v>
      </c>
      <c r="H476" s="37">
        <f ca="1">IF(AND(B476="",NOT(A476="")),VLOOKUP(A476,TaskPlan!A:M,13,FALSE),"")</f>
        <v>40532</v>
      </c>
      <c r="I476" s="38" t="str">
        <f ca="1">IF(AND(B476="",NOT(A476="")),VLOOKUP(A476,TaskPlan!A:M,12,FALSE),"")</f>
        <v>In Progress</v>
      </c>
      <c r="J476" s="39" t="str">
        <f ca="1">IF(AND(B476="",NOT(A476="")),VLOOKUP(A476,TaskPlan!A:L,2,FALSE),"")</f>
        <v>Parth</v>
      </c>
      <c r="K476" s="39" t="str">
        <f ca="1">IF(AND(B476="",NOT(A476="")),IF(NOT(LEFT(VLOOKUP(A476,TaskPlan!A:L,3,FALSE),1) = "0"),VLOOKUP(A476,TaskPlan!A:L,3,FALSE),""),"")</f>
        <v>4-HIGH</v>
      </c>
      <c r="L476" s="55">
        <f ca="1">IF(AND(B476="",NOT(A476="")),IF(NOT(LEFT(VLOOKUP(A476,TaskPlan!A:L,3,FALSE),1) = "0"),VLOOKUP(A476,TaskPlan!A:M,4,FALSE),""),"")</f>
        <v>0</v>
      </c>
      <c r="M476" s="58">
        <f ca="1">IF(B476=".",1,IF(AND(B476="",NOT(A476="")),IF(VLOOKUP(A476,TaskPlan!A:L,5,FALSE)&gt;0,VLOOKUP(A476,TaskPlan!A:L,5,FALSE),""),""))</f>
        <v>1</v>
      </c>
    </row>
    <row r="477" spans="1:14" hidden="1" outlineLevel="1">
      <c r="A477" s="43" t="s">
        <v>1793</v>
      </c>
      <c r="B477" s="7"/>
      <c r="C477" s="44" t="s">
        <v>1960</v>
      </c>
      <c r="D477" s="7" t="s">
        <v>32</v>
      </c>
      <c r="E477" s="26">
        <v>40598</v>
      </c>
      <c r="F477" s="25">
        <v>2</v>
      </c>
      <c r="G477" s="25" t="s">
        <v>1098</v>
      </c>
      <c r="H477" s="37">
        <f ca="1">IF(AND(B477="",NOT(A477="")),VLOOKUP(A477,TaskPlan!A:M,13,FALSE),"")</f>
        <v>40598</v>
      </c>
      <c r="I477" s="38" t="str">
        <f ca="1">IF(AND(B477="",NOT(A477="")),VLOOKUP(A477,TaskPlan!A:M,12,FALSE),"")</f>
        <v>In Progress</v>
      </c>
      <c r="J477" s="39" t="str">
        <f ca="1">IF(AND(B477="",NOT(A477="")),VLOOKUP(A477,TaskPlan!A:L,2,FALSE),"")</f>
        <v>Parth</v>
      </c>
      <c r="K477" s="39" t="str">
        <f ca="1">IF(AND(B477="",NOT(A477="")),IF(NOT(LEFT(VLOOKUP(A477,TaskPlan!A:L,3,FALSE),1) = "0"),VLOOKUP(A477,TaskPlan!A:L,3,FALSE),""),"")</f>
        <v>5-HIGH</v>
      </c>
      <c r="L477" s="55">
        <f ca="1">IF(AND(B477="",NOT(A477="")),IF(NOT(LEFT(VLOOKUP(A477,TaskPlan!A:L,3,FALSE),1) = "0"),VLOOKUP(A477,TaskPlan!A:M,4,FALSE),""),"")</f>
        <v>0</v>
      </c>
      <c r="M477" s="58" t="str">
        <f ca="1">IF(B477=".",1,IF(AND(B477="",NOT(A477="")),IF(VLOOKUP(A477,TaskPlan!A:L,5,FALSE)&gt;0,VLOOKUP(A477,TaskPlan!A:L,5,FALSE),""),""))</f>
        <v/>
      </c>
    </row>
    <row r="478" spans="1:14" hidden="1" outlineLevel="1">
      <c r="A478" s="43" t="s">
        <v>1864</v>
      </c>
      <c r="B478" s="7"/>
      <c r="C478" s="44" t="s">
        <v>1865</v>
      </c>
      <c r="D478" s="7" t="s">
        <v>11</v>
      </c>
      <c r="E478" s="26">
        <v>40563</v>
      </c>
      <c r="F478" s="25">
        <v>2</v>
      </c>
      <c r="G478" s="25" t="s">
        <v>1098</v>
      </c>
      <c r="H478" s="37">
        <f ca="1">IF(AND(B478="",NOT(A478="")),VLOOKUP(A478,TaskPlan!A:M,13,FALSE),"")</f>
        <v>40563</v>
      </c>
      <c r="I478" s="38" t="str">
        <f ca="1">IF(AND(B478="",NOT(A478="")),VLOOKUP(A478,TaskPlan!A:M,12,FALSE),"")</f>
        <v>In Progress</v>
      </c>
      <c r="J478" s="39" t="str">
        <f ca="1">IF(AND(B478="",NOT(A478="")),VLOOKUP(A478,TaskPlan!A:L,2,FALSE),"")</f>
        <v>Neil</v>
      </c>
      <c r="K478" s="39" t="str">
        <f ca="1">IF(AND(B478="",NOT(A478="")),IF(NOT(LEFT(VLOOKUP(A478,TaskPlan!A:L,3,FALSE),1) = "0"),VLOOKUP(A478,TaskPlan!A:L,3,FALSE),""),"")</f>
        <v>3-MED</v>
      </c>
      <c r="L478" s="55">
        <f ca="1">IF(AND(B478="",NOT(A478="")),IF(NOT(LEFT(VLOOKUP(A478,TaskPlan!A:L,3,FALSE),1) = "0"),VLOOKUP(A478,TaskPlan!A:M,4,FALSE),""),"")</f>
        <v>0</v>
      </c>
      <c r="M478" s="58" t="str">
        <f ca="1">IF(B478=".",1,IF(AND(B478="",NOT(A478="")),IF(VLOOKUP(A478,TaskPlan!A:L,5,FALSE)&gt;0,VLOOKUP(A478,TaskPlan!A:L,5,FALSE),""),""))</f>
        <v/>
      </c>
    </row>
    <row r="479" spans="1:14" hidden="1" outlineLevel="1">
      <c r="A479" s="43" t="s">
        <v>1898</v>
      </c>
      <c r="B479" s="7"/>
      <c r="C479" s="44" t="s">
        <v>1899</v>
      </c>
      <c r="D479" s="7" t="s">
        <v>11</v>
      </c>
      <c r="E479" s="26">
        <v>40588</v>
      </c>
      <c r="F479" s="25">
        <v>1</v>
      </c>
      <c r="G479" s="28" t="s">
        <v>1099</v>
      </c>
      <c r="H479" s="37">
        <f ca="1">IF(AND(B479="",NOT(A479="")),VLOOKUP(A479,TaskPlan!A:M,13,FALSE),"")</f>
        <v>40588</v>
      </c>
      <c r="I479" s="38" t="str">
        <f ca="1">IF(AND(B479="",NOT(A479="")),VLOOKUP(A479,TaskPlan!A:M,12,FALSE),"")</f>
        <v>Not Started</v>
      </c>
      <c r="J479" s="39" t="str">
        <f ca="1">IF(AND(B479="",NOT(A479="")),VLOOKUP(A479,TaskPlan!A:L,2,FALSE),"")</f>
        <v>Pramendra</v>
      </c>
      <c r="K479" s="39" t="str">
        <f ca="1">IF(AND(B479="",NOT(A479="")),IF(NOT(LEFT(VLOOKUP(A479,TaskPlan!A:L,3,FALSE),1) = "0"),VLOOKUP(A479,TaskPlan!A:L,3,FALSE),""),"")</f>
        <v>3-MED</v>
      </c>
      <c r="L479" s="55">
        <f ca="1">IF(AND(B479="",NOT(A479="")),IF(NOT(LEFT(VLOOKUP(A479,TaskPlan!A:L,3,FALSE),1) = "0"),VLOOKUP(A479,TaskPlan!A:M,4,FALSE),""),"")</f>
        <v>0</v>
      </c>
      <c r="M479" s="58" t="str">
        <f ca="1">IF(B479=".",1,IF(AND(B479="",NOT(A479="")),IF(VLOOKUP(A479,TaskPlan!A:L,5,FALSE)&gt;0,VLOOKUP(A479,TaskPlan!A:L,5,FALSE),""),""))</f>
        <v/>
      </c>
    </row>
    <row r="480" spans="1:14" hidden="1" outlineLevel="1">
      <c r="A480" s="43" t="s">
        <v>1949</v>
      </c>
      <c r="B480" s="7"/>
      <c r="C480" s="44" t="s">
        <v>1950</v>
      </c>
      <c r="D480" s="7" t="s">
        <v>11</v>
      </c>
      <c r="E480" s="26">
        <v>40590</v>
      </c>
      <c r="F480" s="25">
        <v>1</v>
      </c>
      <c r="G480" s="28" t="s">
        <v>1100</v>
      </c>
      <c r="H480" s="37">
        <f ca="1">IF(AND(B480="",NOT(A480="")),VLOOKUP(A480,TaskPlan!A:M,13,FALSE),"")</f>
        <v>40590</v>
      </c>
      <c r="I480" s="38" t="str">
        <f ca="1">IF(AND(B480="",NOT(A480="")),VLOOKUP(A480,TaskPlan!A:M,12,FALSE),"")</f>
        <v>Not Started</v>
      </c>
      <c r="J480" s="39" t="str">
        <f ca="1">IF(AND(B480="",NOT(A480="")),VLOOKUP(A480,TaskPlan!A:L,2,FALSE),"")</f>
        <v>Neil</v>
      </c>
      <c r="K480" s="39" t="str">
        <f ca="1">IF(AND(B480="",NOT(A480="")),IF(NOT(LEFT(VLOOKUP(A480,TaskPlan!A:L,3,FALSE),1) = "0"),VLOOKUP(A480,TaskPlan!A:L,3,FALSE),""),"")</f>
        <v>3-MED</v>
      </c>
      <c r="L480" s="55">
        <f ca="1">IF(AND(B480="",NOT(A480="")),IF(NOT(LEFT(VLOOKUP(A480,TaskPlan!A:L,3,FALSE),1) = "0"),VLOOKUP(A480,TaskPlan!A:M,4,FALSE),""),"")</f>
        <v>0</v>
      </c>
      <c r="M480" s="58" t="str">
        <f ca="1">IF(B480=".",1,IF(AND(B480="",NOT(A480="")),IF(VLOOKUP(A480,TaskPlan!A:L,5,FALSE)&gt;0,VLOOKUP(A480,TaskPlan!A:L,5,FALSE),""),""))</f>
        <v/>
      </c>
    </row>
    <row r="481" spans="1:14" hidden="1" outlineLevel="1">
      <c r="A481" s="43" t="s">
        <v>484</v>
      </c>
      <c r="B481" s="7"/>
      <c r="C481" s="82" t="s">
        <v>476</v>
      </c>
      <c r="D481" s="7" t="s">
        <v>11</v>
      </c>
      <c r="E481" s="26">
        <v>40074</v>
      </c>
      <c r="F481" s="25">
        <v>1</v>
      </c>
      <c r="G481" s="25" t="s">
        <v>1098</v>
      </c>
      <c r="H481" s="37">
        <f ca="1">IF(AND(B481="",NOT(A481="")),VLOOKUP(A481,TaskPlan!A:M,13,FALSE),"")</f>
        <v>40155</v>
      </c>
      <c r="I481" s="38" t="str">
        <f ca="1">IF(AND(B481="",NOT(A481="")),VLOOKUP(A481,TaskPlan!A:M,12,FALSE),"")</f>
        <v>Not Started</v>
      </c>
      <c r="J481" s="39" t="str">
        <f ca="1">IF(AND(B481="",NOT(A481="")),VLOOKUP(A481,TaskPlan!A:L,2,FALSE),"")</f>
        <v>Unassigned</v>
      </c>
      <c r="K481" s="39" t="str">
        <f ca="1">IF(AND(B481="",NOT(A481="")),IF(NOT(LEFT(VLOOKUP(A481,TaskPlan!A:L,3,FALSE),1) = "0"),VLOOKUP(A481,TaskPlan!A:L,3,FALSE),""),"")</f>
        <v>2-LOW</v>
      </c>
      <c r="L481" s="55">
        <f ca="1">IF(AND(B481="",NOT(A481="")),IF(NOT(LEFT(VLOOKUP(A481,TaskPlan!A:L,3,FALSE),1) = "0"),VLOOKUP(A481,TaskPlan!A:M,4,FALSE),""),"")</f>
        <v>0</v>
      </c>
      <c r="M481" s="58" t="str">
        <f ca="1">IF(B481=".",1,IF(AND(B481="",NOT(A481="")),IF(VLOOKUP(A481,TaskPlan!A:L,5,FALSE)&gt;0,VLOOKUP(A481,TaskPlan!A:L,5,FALSE),""),""))</f>
        <v/>
      </c>
      <c r="N481" s="1" t="str">
        <f ca="1">IF(ISNA(VLOOKUP(A481,Projects!B:B,1,FALSE)),"","Yes")</f>
        <v/>
      </c>
    </row>
    <row r="482" spans="1:14" hidden="1" outlineLevel="1">
      <c r="A482" s="43" t="s">
        <v>713</v>
      </c>
      <c r="B482" s="7" t="s">
        <v>15</v>
      </c>
      <c r="C482" s="45" t="s">
        <v>873</v>
      </c>
      <c r="D482" s="7" t="s">
        <v>315</v>
      </c>
      <c r="E482" s="26"/>
      <c r="H482" s="37" t="str">
        <f ca="1">IF(AND(B482="",NOT(A482="")),VLOOKUP(A482,TaskPlan!A:M,13,FALSE),"")</f>
        <v/>
      </c>
      <c r="I482" s="38" t="str">
        <f ca="1">IF(AND(B482="",NOT(A482="")),VLOOKUP(A482,TaskPlan!A:M,12,FALSE),"")</f>
        <v/>
      </c>
      <c r="J482" s="39" t="str">
        <f ca="1">IF(AND(B482="",NOT(A482="")),VLOOKUP(A482,TaskPlan!A:L,2,FALSE),"")</f>
        <v/>
      </c>
      <c r="K482" s="39" t="str">
        <f ca="1">IF(AND(B482="",NOT(A482="")),IF(NOT(LEFT(VLOOKUP(A482,TaskPlan!A:L,3,FALSE),1) = "0"),VLOOKUP(A482,TaskPlan!A:L,3,FALSE),""),"")</f>
        <v/>
      </c>
      <c r="L482" s="55" t="str">
        <f ca="1">IF(AND(B482="",NOT(A482="")),IF(NOT(LEFT(VLOOKUP(A482,TaskPlan!A:L,3,FALSE),1) = "0"),VLOOKUP(A482,TaskPlan!A:M,4,FALSE),""),"")</f>
        <v/>
      </c>
      <c r="M482" s="58">
        <f ca="1">IF(B482=".",1,IF(AND(B482="",NOT(A482="")),IF(VLOOKUP(A482,TaskPlan!A:L,5,FALSE)&gt;0,VLOOKUP(A482,TaskPlan!A:L,5,FALSE),""),""))</f>
        <v>1</v>
      </c>
      <c r="N482" s="1" t="str">
        <f ca="1">IF(ISNA(VLOOKUP(A482,Projects!B:B,1,FALSE)),"","Yes")</f>
        <v/>
      </c>
    </row>
    <row r="483" spans="1:14" hidden="1" outlineLevel="1">
      <c r="A483" s="43" t="s">
        <v>876</v>
      </c>
      <c r="B483" s="7"/>
      <c r="C483" s="44" t="s">
        <v>879</v>
      </c>
      <c r="D483" s="7" t="s">
        <v>315</v>
      </c>
      <c r="E483" s="26">
        <v>40211</v>
      </c>
      <c r="F483" s="25">
        <v>2</v>
      </c>
      <c r="H483" s="37">
        <f ca="1">IF(AND(B483="",NOT(A483="")),VLOOKUP(A483,TaskPlan!A:M,13,FALSE),"")</f>
        <v>40262</v>
      </c>
      <c r="I483" s="38" t="str">
        <f ca="1">IF(AND(B483="",NOT(A483="")),VLOOKUP(A483,TaskPlan!A:M,12,FALSE),"")</f>
        <v>Closed</v>
      </c>
      <c r="J483" s="39" t="str">
        <f ca="1">IF(AND(B483="",NOT(A483="")),VLOOKUP(A483,TaskPlan!A:L,2,FALSE),"")</f>
        <v>Neil</v>
      </c>
      <c r="K483" s="39" t="str">
        <f ca="1">IF(AND(B483="",NOT(A483="")),IF(NOT(LEFT(VLOOKUP(A483,TaskPlan!A:L,3,FALSE),1) = "0"),VLOOKUP(A483,TaskPlan!A:L,3,FALSE),""),"")</f>
        <v/>
      </c>
      <c r="L483" s="55" t="str">
        <f ca="1">IF(AND(B483="",NOT(A483="")),IF(NOT(LEFT(VLOOKUP(A483,TaskPlan!A:L,3,FALSE),1) = "0"),VLOOKUP(A483,TaskPlan!A:M,4,FALSE),""),"")</f>
        <v/>
      </c>
      <c r="M483" s="58" t="str">
        <f ca="1">IF(B483=".",1,IF(AND(B483="",NOT(A483="")),IF(VLOOKUP(A483,TaskPlan!A:L,5,FALSE)&gt;0,VLOOKUP(A483,TaskPlan!A:L,5,FALSE),""),""))</f>
        <v/>
      </c>
      <c r="N483" s="1" t="str">
        <f ca="1">IF(ISNA(VLOOKUP(A483,Projects!B:B,1,FALSE)),"","Yes")</f>
        <v/>
      </c>
    </row>
    <row r="484" spans="1:14" ht="25.5" hidden="1" outlineLevel="1">
      <c r="A484" s="43" t="s">
        <v>877</v>
      </c>
      <c r="B484" s="7"/>
      <c r="C484" s="44" t="s">
        <v>880</v>
      </c>
      <c r="D484" s="7" t="s">
        <v>315</v>
      </c>
      <c r="E484" s="26">
        <v>40211</v>
      </c>
      <c r="F484" s="25">
        <v>5</v>
      </c>
      <c r="H484" s="37">
        <f ca="1">IF(AND(B484="",NOT(A484="")),VLOOKUP(A484,TaskPlan!A:M,13,FALSE),"")</f>
        <v>40233</v>
      </c>
      <c r="I484" s="38" t="str">
        <f ca="1">IF(AND(B484="",NOT(A484="")),VLOOKUP(A484,TaskPlan!A:M,12,FALSE),"")</f>
        <v>Closed</v>
      </c>
      <c r="J484" s="39" t="str">
        <f ca="1">IF(AND(B484="",NOT(A484="")),VLOOKUP(A484,TaskPlan!A:L,2,FALSE),"")</f>
        <v>Neil</v>
      </c>
      <c r="K484" s="39" t="str">
        <f ca="1">IF(AND(B484="",NOT(A484="")),IF(NOT(LEFT(VLOOKUP(A484,TaskPlan!A:L,3,FALSE),1) = "0"),VLOOKUP(A484,TaskPlan!A:L,3,FALSE),""),"")</f>
        <v/>
      </c>
      <c r="L484" s="55" t="str">
        <f ca="1">IF(AND(B484="",NOT(A484="")),IF(NOT(LEFT(VLOOKUP(A484,TaskPlan!A:L,3,FALSE),1) = "0"),VLOOKUP(A484,TaskPlan!A:M,4,FALSE),""),"")</f>
        <v/>
      </c>
      <c r="M484" s="58" t="str">
        <f ca="1">IF(B484=".",1,IF(AND(B484="",NOT(A484="")),IF(VLOOKUP(A484,TaskPlan!A:L,5,FALSE)&gt;0,VLOOKUP(A484,TaskPlan!A:L,5,FALSE),""),""))</f>
        <v/>
      </c>
      <c r="N484" s="1" t="str">
        <f ca="1">IF(ISNA(VLOOKUP(A484,Projects!B:B,1,FALSE)),"","Yes")</f>
        <v/>
      </c>
    </row>
    <row r="485" spans="1:14" hidden="1" outlineLevel="1">
      <c r="A485" s="43" t="s">
        <v>944</v>
      </c>
      <c r="B485" s="7"/>
      <c r="C485" s="44" t="s">
        <v>945</v>
      </c>
      <c r="D485" s="7" t="s">
        <v>11</v>
      </c>
      <c r="E485" s="26">
        <v>40239</v>
      </c>
      <c r="F485" s="25">
        <v>2</v>
      </c>
      <c r="H485" s="37">
        <f ca="1">IF(AND(B485="",NOT(A485="")),VLOOKUP(A485,TaskPlan!A:M,13,FALSE),"")</f>
        <v>40283</v>
      </c>
      <c r="I485" s="38" t="str">
        <f ca="1">IF(AND(B485="",NOT(A485="")),VLOOKUP(A485,TaskPlan!A:M,12,FALSE),"")</f>
        <v>Closed</v>
      </c>
      <c r="J485" s="39" t="str">
        <f ca="1">IF(AND(B485="",NOT(A485="")),VLOOKUP(A485,TaskPlan!A:L,2,FALSE),"")</f>
        <v>Neil</v>
      </c>
      <c r="K485" s="39" t="str">
        <f ca="1">IF(AND(B485="",NOT(A485="")),IF(NOT(LEFT(VLOOKUP(A485,TaskPlan!A:L,3,FALSE),1) = "0"),VLOOKUP(A485,TaskPlan!A:L,3,FALSE),""),"")</f>
        <v/>
      </c>
      <c r="L485" s="55" t="str">
        <f ca="1">IF(AND(B485="",NOT(A485="")),IF(NOT(LEFT(VLOOKUP(A485,TaskPlan!A:L,3,FALSE),1) = "0"),VLOOKUP(A485,TaskPlan!A:M,4,FALSE),""),"")</f>
        <v/>
      </c>
      <c r="M485" s="58" t="str">
        <f ca="1">IF(B485=".",1,IF(AND(B485="",NOT(A485="")),IF(VLOOKUP(A485,TaskPlan!A:L,5,FALSE)&gt;0,VLOOKUP(A485,TaskPlan!A:L,5,FALSE),""),""))</f>
        <v/>
      </c>
      <c r="N485" s="1" t="str">
        <f ca="1">IF(ISNA(VLOOKUP(A485,Projects!B:B,1,FALSE)),"","Yes")</f>
        <v/>
      </c>
    </row>
    <row r="486" spans="1:14" hidden="1" outlineLevel="1">
      <c r="A486" s="43" t="s">
        <v>953</v>
      </c>
      <c r="B486" s="7"/>
      <c r="C486" s="44" t="s">
        <v>954</v>
      </c>
      <c r="D486" s="7" t="s">
        <v>315</v>
      </c>
      <c r="E486" s="26">
        <v>40240</v>
      </c>
      <c r="F486" s="25">
        <v>1</v>
      </c>
      <c r="H486" s="37">
        <f ca="1">IF(AND(B486="",NOT(A486="")),VLOOKUP(A486,TaskPlan!A:M,13,FALSE),"")</f>
        <v>40268</v>
      </c>
      <c r="I486" s="38" t="str">
        <f ca="1">IF(AND(B486="",NOT(A486="")),VLOOKUP(A486,TaskPlan!A:M,12,FALSE),"")</f>
        <v>Closed</v>
      </c>
      <c r="J486" s="39" t="str">
        <f ca="1">IF(AND(B486="",NOT(A486="")),VLOOKUP(A486,TaskPlan!A:L,2,FALSE),"")</f>
        <v>Neil</v>
      </c>
      <c r="K486" s="39" t="str">
        <f ca="1">IF(AND(B486="",NOT(A486="")),IF(NOT(LEFT(VLOOKUP(A486,TaskPlan!A:L,3,FALSE),1) = "0"),VLOOKUP(A486,TaskPlan!A:L,3,FALSE),""),"")</f>
        <v/>
      </c>
      <c r="L486" s="55" t="str">
        <f ca="1">IF(AND(B486="",NOT(A486="")),IF(NOT(LEFT(VLOOKUP(A486,TaskPlan!A:L,3,FALSE),1) = "0"),VLOOKUP(A486,TaskPlan!A:M,4,FALSE),""),"")</f>
        <v/>
      </c>
      <c r="M486" s="58" t="str">
        <f ca="1">IF(B486=".",1,IF(AND(B486="",NOT(A486="")),IF(VLOOKUP(A486,TaskPlan!A:L,5,FALSE)&gt;0,VLOOKUP(A486,TaskPlan!A:L,5,FALSE),""),""))</f>
        <v/>
      </c>
      <c r="N486" s="1" t="str">
        <f ca="1">IF(ISNA(VLOOKUP(A486,Projects!B:B,1,FALSE)),"","Yes")</f>
        <v/>
      </c>
    </row>
    <row r="487" spans="1:14" hidden="1" outlineLevel="1">
      <c r="A487" s="43" t="s">
        <v>1593</v>
      </c>
      <c r="B487" s="7" t="s">
        <v>15</v>
      </c>
      <c r="C487" s="45" t="s">
        <v>1594</v>
      </c>
      <c r="D487" s="7"/>
      <c r="E487" s="26"/>
      <c r="L487" s="55"/>
    </row>
    <row r="488" spans="1:14" ht="25.5" hidden="1" outlineLevel="1">
      <c r="A488" s="43" t="s">
        <v>1595</v>
      </c>
      <c r="B488" s="7"/>
      <c r="C488" s="44" t="s">
        <v>1942</v>
      </c>
      <c r="D488" s="7" t="s">
        <v>11</v>
      </c>
      <c r="E488" s="26">
        <v>40590</v>
      </c>
      <c r="F488" s="25">
        <v>2</v>
      </c>
      <c r="G488" s="25" t="s">
        <v>1098</v>
      </c>
      <c r="H488" s="37">
        <f ca="1">IF(AND(B488="",NOT(A488="")),VLOOKUP(A488,TaskPlan!A:M,13,FALSE),"")</f>
        <v>40458</v>
      </c>
      <c r="I488" s="38" t="str">
        <f ca="1">IF(AND(B488="",NOT(A488="")),VLOOKUP(A488,TaskPlan!A:M,12,FALSE),"")</f>
        <v>Not Started</v>
      </c>
      <c r="J488" s="39" t="str">
        <f ca="1">IF(AND(B488="",NOT(A488="")),VLOOKUP(A488,TaskPlan!A:L,2,FALSE),"")</f>
        <v>Parth</v>
      </c>
      <c r="K488" s="39" t="str">
        <f ca="1">IF(AND(B488="",NOT(A488="")),IF(NOT(LEFT(VLOOKUP(A488,TaskPlan!A:L,3,FALSE),1) = "0"),VLOOKUP(A488,TaskPlan!A:L,3,FALSE),""),"")</f>
        <v>3-MED</v>
      </c>
      <c r="L488" s="55">
        <f ca="1">IF(AND(B488="",NOT(A488="")),IF(NOT(LEFT(VLOOKUP(A488,TaskPlan!A:L,3,FALSE),1) = "0"),VLOOKUP(A488,TaskPlan!A:M,4,FALSE),""),"")</f>
        <v>0</v>
      </c>
      <c r="M488" s="58" t="str">
        <f ca="1">IF(B488=".",1,IF(AND(B488="",NOT(A488="")),IF(VLOOKUP(A488,TaskPlan!A:L,5,FALSE)&gt;0,VLOOKUP(A488,TaskPlan!A:L,5,FALSE),""),""))</f>
        <v/>
      </c>
    </row>
    <row r="489" spans="1:14" hidden="1" outlineLevel="1">
      <c r="A489" s="43" t="s">
        <v>1923</v>
      </c>
      <c r="B489" s="7"/>
      <c r="C489" s="44" t="s">
        <v>1924</v>
      </c>
      <c r="D489" s="7" t="s">
        <v>11</v>
      </c>
      <c r="E489" s="26">
        <v>40590</v>
      </c>
      <c r="F489" s="25">
        <v>1</v>
      </c>
      <c r="G489" s="25" t="s">
        <v>1213</v>
      </c>
      <c r="H489" s="37">
        <f ca="1">IF(AND(B489="",NOT(A489="")),VLOOKUP(A489,TaskPlan!A:M,13,FALSE),"")</f>
        <v>40590</v>
      </c>
      <c r="I489" s="38" t="str">
        <f ca="1">IF(AND(B489="",NOT(A489="")),VLOOKUP(A489,TaskPlan!A:M,12,FALSE),"")</f>
        <v>Not Started</v>
      </c>
      <c r="J489" s="39" t="str">
        <f ca="1">IF(AND(B489="",NOT(A489="")),VLOOKUP(A489,TaskPlan!A:L,2,FALSE),"")</f>
        <v>Neil</v>
      </c>
      <c r="K489" s="39" t="str">
        <f ca="1">IF(AND(B489="",NOT(A489="")),IF(NOT(LEFT(VLOOKUP(A489,TaskPlan!A:L,3,FALSE),1) = "0"),VLOOKUP(A489,TaskPlan!A:L,3,FALSE),""),"")</f>
        <v>3-MED</v>
      </c>
      <c r="L489" s="55">
        <f ca="1">IF(AND(B489="",NOT(A489="")),IF(NOT(LEFT(VLOOKUP(A489,TaskPlan!A:L,3,FALSE),1) = "0"),VLOOKUP(A489,TaskPlan!A:M,4,FALSE),""),"")</f>
        <v>0</v>
      </c>
      <c r="M489" s="58" t="str">
        <f ca="1">IF(B489=".",1,IF(AND(B489="",NOT(A489="")),IF(VLOOKUP(A489,TaskPlan!A:L,5,FALSE)&gt;0,VLOOKUP(A489,TaskPlan!A:L,5,FALSE),""),""))</f>
        <v/>
      </c>
    </row>
    <row r="490" spans="1:14" hidden="1" outlineLevel="1">
      <c r="A490" s="43" t="s">
        <v>1947</v>
      </c>
      <c r="B490" s="7"/>
      <c r="C490" s="44" t="s">
        <v>1948</v>
      </c>
      <c r="D490" s="7" t="s">
        <v>11</v>
      </c>
      <c r="E490" s="26">
        <v>40590</v>
      </c>
      <c r="F490" s="25">
        <v>1</v>
      </c>
      <c r="G490" s="25" t="s">
        <v>1213</v>
      </c>
      <c r="H490" s="37">
        <f ca="1">IF(AND(B490="",NOT(A490="")),VLOOKUP(A490,TaskPlan!A:M,13,FALSE),"")</f>
        <v>40590</v>
      </c>
      <c r="I490" s="38" t="str">
        <f ca="1">IF(AND(B490="",NOT(A490="")),VLOOKUP(A490,TaskPlan!A:M,12,FALSE),"")</f>
        <v>Not Started</v>
      </c>
      <c r="J490" s="39" t="str">
        <f ca="1">IF(AND(B490="",NOT(A490="")),VLOOKUP(A490,TaskPlan!A:L,2,FALSE),"")</f>
        <v>Neil</v>
      </c>
      <c r="K490" s="39" t="str">
        <f ca="1">IF(AND(B490="",NOT(A490="")),IF(NOT(LEFT(VLOOKUP(A490,TaskPlan!A:L,3,FALSE),1) = "0"),VLOOKUP(A490,TaskPlan!A:L,3,FALSE),""),"")</f>
        <v>3-MED</v>
      </c>
      <c r="L490" s="55">
        <f ca="1">IF(AND(B490="",NOT(A490="")),IF(NOT(LEFT(VLOOKUP(A490,TaskPlan!A:L,3,FALSE),1) = "0"),VLOOKUP(A490,TaskPlan!A:M,4,FALSE),""),"")</f>
        <v>0</v>
      </c>
      <c r="M490" s="58" t="str">
        <f ca="1">IF(B490=".",1,IF(AND(B490="",NOT(A490="")),IF(VLOOKUP(A490,TaskPlan!A:L,5,FALSE)&gt;0,VLOOKUP(A490,TaskPlan!A:L,5,FALSE),""),""))</f>
        <v/>
      </c>
    </row>
    <row r="491" spans="1:14" hidden="1" outlineLevel="1">
      <c r="A491" s="43" t="s">
        <v>1621</v>
      </c>
      <c r="B491" s="7" t="s">
        <v>15</v>
      </c>
      <c r="C491" s="45" t="s">
        <v>1622</v>
      </c>
      <c r="D491" s="7"/>
      <c r="E491" s="26"/>
      <c r="L491" s="55"/>
    </row>
    <row r="492" spans="1:14" hidden="1" outlineLevel="1">
      <c r="A492" s="43" t="s">
        <v>1623</v>
      </c>
      <c r="B492" s="7"/>
      <c r="C492" s="44" t="s">
        <v>1624</v>
      </c>
      <c r="D492" s="7" t="s">
        <v>756</v>
      </c>
      <c r="E492" s="26">
        <v>40477</v>
      </c>
      <c r="F492" s="25">
        <v>2</v>
      </c>
      <c r="G492" s="25" t="s">
        <v>1098</v>
      </c>
      <c r="H492" s="37">
        <f ca="1">IF(AND(B492="",NOT(A492="")),VLOOKUP(A492,TaskPlan!A:M,13,FALSE),"")</f>
        <v>40505</v>
      </c>
      <c r="I492" s="38" t="str">
        <f ca="1">IF(AND(B492="",NOT(A492="")),VLOOKUP(A492,TaskPlan!A:M,12,FALSE),"")</f>
        <v>In Progress</v>
      </c>
      <c r="J492" s="39" t="str">
        <f ca="1">IF(AND(B492="",NOT(A492="")),VLOOKUP(A492,TaskPlan!A:L,2,FALSE),"")</f>
        <v>Pramendra</v>
      </c>
      <c r="K492" s="39" t="str">
        <f ca="1">IF(AND(B492="",NOT(A492="")),IF(NOT(LEFT(VLOOKUP(A492,TaskPlan!A:L,3,FALSE),1) = "0"),VLOOKUP(A492,TaskPlan!A:L,3,FALSE),""),"")</f>
        <v>2-LOW</v>
      </c>
      <c r="L492" s="55">
        <f ca="1">IF(AND(B492="",NOT(A492="")),IF(NOT(LEFT(VLOOKUP(A492,TaskPlan!A:L,3,FALSE),1) = "0"),VLOOKUP(A492,TaskPlan!A:M,4,FALSE),""),"")</f>
        <v>0</v>
      </c>
      <c r="M492" s="58" t="str">
        <f ca="1">IF(B492=".",1,IF(AND(B492="",NOT(A492="")),IF(VLOOKUP(A492,TaskPlan!A:L,5,FALSE)&gt;0,VLOOKUP(A492,TaskPlan!A:L,5,FALSE),""),""))</f>
        <v/>
      </c>
    </row>
    <row r="493" spans="1:14" ht="25.5" hidden="1" outlineLevel="1">
      <c r="A493" s="43" t="s">
        <v>1710</v>
      </c>
      <c r="B493" s="7"/>
      <c r="C493" s="44" t="s">
        <v>1711</v>
      </c>
      <c r="D493" s="7" t="s">
        <v>11</v>
      </c>
      <c r="E493" s="26">
        <v>40505</v>
      </c>
      <c r="F493" s="25">
        <v>1</v>
      </c>
      <c r="G493" s="25" t="s">
        <v>1213</v>
      </c>
      <c r="H493" s="37">
        <f ca="1">IF(AND(B493="",NOT(A493="")),VLOOKUP(A493,TaskPlan!A:M,13,FALSE),"")</f>
        <v>40505</v>
      </c>
      <c r="I493" s="38" t="str">
        <f ca="1">IF(AND(B493="",NOT(A493="")),VLOOKUP(A493,TaskPlan!A:M,12,FALSE),"")</f>
        <v>Not Started</v>
      </c>
      <c r="J493" s="39" t="str">
        <f ca="1">IF(AND(B493="",NOT(A493="")),VLOOKUP(A493,TaskPlan!A:L,2,FALSE),"")</f>
        <v>Unassigned</v>
      </c>
      <c r="K493" s="39" t="str">
        <f ca="1">IF(AND(B493="",NOT(A493="")),IF(NOT(LEFT(VLOOKUP(A493,TaskPlan!A:L,3,FALSE),1) = "0"),VLOOKUP(A493,TaskPlan!A:L,3,FALSE),""),"")</f>
        <v>4-HIGH</v>
      </c>
      <c r="L493" s="55">
        <f ca="1">IF(AND(B493="",NOT(A493="")),IF(NOT(LEFT(VLOOKUP(A493,TaskPlan!A:L,3,FALSE),1) = "0"),VLOOKUP(A493,TaskPlan!A:M,4,FALSE),""),"")</f>
        <v>0</v>
      </c>
      <c r="M493" s="58" t="str">
        <f ca="1">IF(B493=".",1,IF(AND(B493="",NOT(A493="")),IF(VLOOKUP(A493,TaskPlan!A:L,5,FALSE)&gt;0,VLOOKUP(A493,TaskPlan!A:L,5,FALSE),""),""))</f>
        <v/>
      </c>
    </row>
    <row r="494" spans="1:14" hidden="1" outlineLevel="1">
      <c r="A494" s="43"/>
      <c r="B494" s="7"/>
      <c r="C494" s="44"/>
      <c r="D494" s="7"/>
      <c r="E494" s="26"/>
      <c r="L494" s="55"/>
    </row>
    <row r="495" spans="1:14" collapsed="1">
      <c r="A495" s="43"/>
      <c r="B495" s="7"/>
      <c r="C495" s="44"/>
      <c r="D495" s="7"/>
      <c r="E495" s="26"/>
      <c r="H495" s="37" t="str">
        <f ca="1">IF(AND(B495="",NOT(A495="")),VLOOKUP(A495,TaskPlan!A:M,13,FALSE),"")</f>
        <v/>
      </c>
      <c r="I495" s="38" t="str">
        <f ca="1">IF(AND(B495="",NOT(A495="")),VLOOKUP(A495,TaskPlan!A:M,12,FALSE),"")</f>
        <v/>
      </c>
      <c r="J495" s="39" t="str">
        <f ca="1">IF(AND(B495="",NOT(A495="")),VLOOKUP(A495,TaskPlan!A:L,2,FALSE),"")</f>
        <v/>
      </c>
      <c r="K495" s="39" t="str">
        <f ca="1">IF(AND(B495="",NOT(A495="")),IF(NOT(LEFT(VLOOKUP(A495,TaskPlan!A:L,3,FALSE),1) = "0"),VLOOKUP(A495,TaskPlan!A:L,3,FALSE),""),"")</f>
        <v/>
      </c>
      <c r="L495" s="55" t="str">
        <f ca="1">IF(AND(B495="",NOT(A495="")),IF(NOT(LEFT(VLOOKUP(A495,TaskPlan!A:L,3,FALSE),1) = "0"),VLOOKUP(A495,TaskPlan!A:M,4,FALSE),""),"")</f>
        <v/>
      </c>
      <c r="M495" s="58" t="str">
        <f ca="1">IF(B495=".",1,IF(AND(B495="",NOT(A495="")),IF(VLOOKUP(A495,TaskPlan!A:L,5,FALSE)&gt;0,VLOOKUP(A495,TaskPlan!A:L,5,FALSE),""),""))</f>
        <v/>
      </c>
      <c r="N495" s="1" t="str">
        <f ca="1">IF(ISNA(VLOOKUP(A495,Projects!B:B,1,FALSE)),"","Yes")</f>
        <v/>
      </c>
    </row>
    <row r="496" spans="1:14" ht="15.75">
      <c r="A496" s="35" t="s">
        <v>84</v>
      </c>
      <c r="B496" s="1" t="s">
        <v>15</v>
      </c>
      <c r="C496" s="36" t="s">
        <v>67</v>
      </c>
      <c r="E496" s="26"/>
      <c r="H496" s="37" t="str">
        <f ca="1">IF(AND(B496="",NOT(A496="")),VLOOKUP(A496,TaskPlan!A:M,13,FALSE),"")</f>
        <v/>
      </c>
      <c r="I496" s="38" t="str">
        <f ca="1">IF(AND(B496="",NOT(A496="")),VLOOKUP(A496,TaskPlan!A:M,12,FALSE),"")</f>
        <v/>
      </c>
      <c r="J496" s="39" t="str">
        <f ca="1">IF(AND(B496="",NOT(A496="")),VLOOKUP(A496,TaskPlan!A:L,2,FALSE),"")</f>
        <v/>
      </c>
      <c r="K496" s="39" t="str">
        <f ca="1">IF(AND(B496="",NOT(A496="")),IF(NOT(LEFT(VLOOKUP(A496,TaskPlan!A:L,3,FALSE),1) = "0"),VLOOKUP(A496,TaskPlan!A:L,3,FALSE),""),"")</f>
        <v/>
      </c>
      <c r="L496" s="55" t="str">
        <f ca="1">IF(AND(B496="",NOT(A496="")),IF(NOT(LEFT(VLOOKUP(A496,TaskPlan!A:L,3,FALSE),1) = "0"),VLOOKUP(A496,TaskPlan!A:M,4,FALSE),""),"")</f>
        <v/>
      </c>
      <c r="M496" s="58">
        <f ca="1">IF(B496=".",1,IF(AND(B496="",NOT(A496="")),IF(VLOOKUP(A496,TaskPlan!A:L,5,FALSE)&gt;0,VLOOKUP(A496,TaskPlan!A:L,5,FALSE),""),""))</f>
        <v>1</v>
      </c>
      <c r="N496" s="1" t="str">
        <f ca="1">IF(ISNA(VLOOKUP(A496,Projects!B:B,1,FALSE)),"","Yes")</f>
        <v/>
      </c>
    </row>
    <row r="497" spans="1:14" hidden="1" outlineLevel="1">
      <c r="A497" s="35" t="s">
        <v>85</v>
      </c>
      <c r="B497" s="1" t="s">
        <v>15</v>
      </c>
      <c r="C497" s="45" t="s">
        <v>68</v>
      </c>
      <c r="E497" s="26"/>
      <c r="H497" s="37" t="str">
        <f ca="1">IF(AND(B497="",NOT(A497="")),VLOOKUP(A497,TaskPlan!A:M,13,FALSE),"")</f>
        <v/>
      </c>
      <c r="I497" s="38" t="str">
        <f ca="1">IF(AND(B497="",NOT(A497="")),VLOOKUP(A497,TaskPlan!A:M,12,FALSE),"")</f>
        <v/>
      </c>
      <c r="J497" s="39" t="str">
        <f ca="1">IF(AND(B497="",NOT(A497="")),VLOOKUP(A497,TaskPlan!A:L,2,FALSE),"")</f>
        <v/>
      </c>
      <c r="K497" s="39" t="str">
        <f ca="1">IF(AND(B497="",NOT(A497="")),IF(NOT(LEFT(VLOOKUP(A497,TaskPlan!A:L,3,FALSE),1) = "0"),VLOOKUP(A497,TaskPlan!A:L,3,FALSE),""),"")</f>
        <v/>
      </c>
      <c r="L497" s="55" t="str">
        <f ca="1">IF(AND(B497="",NOT(A497="")),IF(NOT(LEFT(VLOOKUP(A497,TaskPlan!A:L,3,FALSE),1) = "0"),VLOOKUP(A497,TaskPlan!A:M,4,FALSE),""),"")</f>
        <v/>
      </c>
      <c r="M497" s="58">
        <f ca="1">IF(B497=".",1,IF(AND(B497="",NOT(A497="")),IF(VLOOKUP(A497,TaskPlan!A:L,5,FALSE)&gt;0,VLOOKUP(A497,TaskPlan!A:L,5,FALSE),""),""))</f>
        <v>1</v>
      </c>
      <c r="N497" s="1" t="str">
        <f ca="1">IF(ISNA(VLOOKUP(A497,Projects!B:B,1,FALSE)),"","Yes")</f>
        <v/>
      </c>
    </row>
    <row r="498" spans="1:14" hidden="1" outlineLevel="1">
      <c r="A498" s="41" t="s">
        <v>607</v>
      </c>
      <c r="C498" s="42" t="s">
        <v>69</v>
      </c>
      <c r="D498" s="7" t="s">
        <v>20</v>
      </c>
      <c r="E498" s="26">
        <v>39925</v>
      </c>
      <c r="H498" s="37">
        <f ca="1">IF(AND(B498="",NOT(A498="")),VLOOKUP(A498,TaskPlan!A:M,13,FALSE),"")</f>
        <v>39932</v>
      </c>
      <c r="I498" s="38" t="str">
        <f ca="1">IF(AND(B498="",NOT(A498="")),VLOOKUP(A498,TaskPlan!A:M,12,FALSE),"")</f>
        <v>Closed</v>
      </c>
      <c r="J498" s="39" t="str">
        <f ca="1">IF(AND(B498="",NOT(A498="")),VLOOKUP(A498,TaskPlan!A:L,2,FALSE),"")</f>
        <v>Neil</v>
      </c>
      <c r="K498" s="39" t="str">
        <f ca="1">IF(AND(B498="",NOT(A498="")),IF(NOT(LEFT(VLOOKUP(A498,TaskPlan!A:L,3,FALSE),1) = "0"),VLOOKUP(A498,TaskPlan!A:L,3,FALSE),""),"")</f>
        <v/>
      </c>
      <c r="L498" s="55" t="str">
        <f ca="1">IF(AND(B498="",NOT(A498="")),IF(NOT(LEFT(VLOOKUP(A498,TaskPlan!A:L,3,FALSE),1) = "0"),VLOOKUP(A498,TaskPlan!A:M,4,FALSE),""),"")</f>
        <v/>
      </c>
      <c r="M498" s="58" t="str">
        <f ca="1">IF(B498=".",1,IF(AND(B498="",NOT(A498="")),IF(VLOOKUP(A498,TaskPlan!A:L,5,FALSE)&gt;0,VLOOKUP(A498,TaskPlan!A:L,5,FALSE),""),""))</f>
        <v/>
      </c>
      <c r="N498" s="1" t="str">
        <f ca="1">IF(ISNA(VLOOKUP(A498,Projects!B:B,1,FALSE)),"","Yes")</f>
        <v/>
      </c>
    </row>
    <row r="499" spans="1:14" hidden="1" outlineLevel="1">
      <c r="A499" s="41" t="s">
        <v>608</v>
      </c>
      <c r="C499" s="42" t="s">
        <v>70</v>
      </c>
      <c r="D499" s="7" t="s">
        <v>20</v>
      </c>
      <c r="E499" s="26">
        <v>39925</v>
      </c>
      <c r="H499" s="37">
        <f ca="1">IF(AND(B499="",NOT(A499="")),VLOOKUP(A499,TaskPlan!A:M,13,FALSE),"")</f>
        <v>39932</v>
      </c>
      <c r="I499" s="38" t="str">
        <f ca="1">IF(AND(B499="",NOT(A499="")),VLOOKUP(A499,TaskPlan!A:M,12,FALSE),"")</f>
        <v>Closed</v>
      </c>
      <c r="J499" s="39" t="str">
        <f ca="1">IF(AND(B499="",NOT(A499="")),VLOOKUP(A499,TaskPlan!A:L,2,FALSE),"")</f>
        <v>Neil</v>
      </c>
      <c r="K499" s="39" t="str">
        <f ca="1">IF(AND(B499="",NOT(A499="")),IF(NOT(LEFT(VLOOKUP(A499,TaskPlan!A:L,3,FALSE),1) = "0"),VLOOKUP(A499,TaskPlan!A:L,3,FALSE),""),"")</f>
        <v/>
      </c>
      <c r="L499" s="55" t="str">
        <f ca="1">IF(AND(B499="",NOT(A499="")),IF(NOT(LEFT(VLOOKUP(A499,TaskPlan!A:L,3,FALSE),1) = "0"),VLOOKUP(A499,TaskPlan!A:M,4,FALSE),""),"")</f>
        <v/>
      </c>
      <c r="M499" s="58" t="str">
        <f ca="1">IF(B499=".",1,IF(AND(B499="",NOT(A499="")),IF(VLOOKUP(A499,TaskPlan!A:L,5,FALSE)&gt;0,VLOOKUP(A499,TaskPlan!A:L,5,FALSE),""),""))</f>
        <v/>
      </c>
      <c r="N499" s="1" t="str">
        <f ca="1">IF(ISNA(VLOOKUP(A499,Projects!B:B,1,FALSE)),"","Yes")</f>
        <v/>
      </c>
    </row>
    <row r="500" spans="1:14" hidden="1" outlineLevel="1">
      <c r="A500" s="43" t="s">
        <v>609</v>
      </c>
      <c r="C500" s="44" t="s">
        <v>143</v>
      </c>
      <c r="D500" s="7" t="s">
        <v>20</v>
      </c>
      <c r="E500" s="26">
        <v>39932</v>
      </c>
      <c r="H500" s="37">
        <f ca="1">IF(AND(B500="",NOT(A500="")),VLOOKUP(A500,TaskPlan!A:M,13,FALSE),"")</f>
        <v>39966</v>
      </c>
      <c r="I500" s="38" t="str">
        <f ca="1">IF(AND(B500="",NOT(A500="")),VLOOKUP(A500,TaskPlan!A:M,12,FALSE),"")</f>
        <v>Closed</v>
      </c>
      <c r="J500" s="39" t="str">
        <f ca="1">IF(AND(B500="",NOT(A500="")),VLOOKUP(A500,TaskPlan!A:L,2,FALSE),"")</f>
        <v>Duncan</v>
      </c>
      <c r="K500" s="39" t="str">
        <f ca="1">IF(AND(B500="",NOT(A500="")),IF(NOT(LEFT(VLOOKUP(A500,TaskPlan!A:L,3,FALSE),1) = "0"),VLOOKUP(A500,TaskPlan!A:L,3,FALSE),""),"")</f>
        <v/>
      </c>
      <c r="L500" s="55" t="str">
        <f ca="1">IF(AND(B500="",NOT(A500="")),IF(NOT(LEFT(VLOOKUP(A500,TaskPlan!A:L,3,FALSE),1) = "0"),VLOOKUP(A500,TaskPlan!A:M,4,FALSE),""),"")</f>
        <v/>
      </c>
      <c r="M500" s="58" t="str">
        <f ca="1">IF(B500=".",1,IF(AND(B500="",NOT(A500="")),IF(VLOOKUP(A500,TaskPlan!A:L,5,FALSE)&gt;0,VLOOKUP(A500,TaskPlan!A:L,5,FALSE),""),""))</f>
        <v/>
      </c>
      <c r="N500" s="1" t="str">
        <f ca="1">IF(ISNA(VLOOKUP(A500,Projects!B:B,1,FALSE)),"","Yes")</f>
        <v/>
      </c>
    </row>
    <row r="501" spans="1:14" hidden="1" outlineLevel="1">
      <c r="A501" s="43" t="s">
        <v>610</v>
      </c>
      <c r="C501" s="44" t="s">
        <v>144</v>
      </c>
      <c r="D501" s="7" t="s">
        <v>20</v>
      </c>
      <c r="E501" s="26">
        <v>39932</v>
      </c>
      <c r="H501" s="37">
        <f ca="1">IF(AND(B501="",NOT(A501="")),VLOOKUP(A501,TaskPlan!A:M,13,FALSE),"")</f>
        <v>40532</v>
      </c>
      <c r="I501" s="38" t="str">
        <f ca="1">IF(AND(B501="",NOT(A501="")),VLOOKUP(A501,TaskPlan!A:M,12,FALSE),"")</f>
        <v>Closed</v>
      </c>
      <c r="J501" s="39" t="str">
        <f ca="1">IF(AND(B501="",NOT(A501="")),VLOOKUP(A501,TaskPlan!A:L,2,FALSE),"")</f>
        <v>Ruth</v>
      </c>
      <c r="K501" s="39" t="str">
        <f ca="1">IF(AND(B501="",NOT(A501="")),IF(NOT(LEFT(VLOOKUP(A501,TaskPlan!A:L,3,FALSE),1) = "0"),VLOOKUP(A501,TaskPlan!A:L,3,FALSE),""),"")</f>
        <v/>
      </c>
      <c r="L501" s="55" t="str">
        <f ca="1">IF(AND(B501="",NOT(A501="")),IF(NOT(LEFT(VLOOKUP(A501,TaskPlan!A:L,3,FALSE),1) = "0"),VLOOKUP(A501,TaskPlan!A:M,4,FALSE),""),"")</f>
        <v/>
      </c>
      <c r="M501" s="58" t="str">
        <f ca="1">IF(B501=".",1,IF(AND(B501="",NOT(A501="")),IF(VLOOKUP(A501,TaskPlan!A:L,5,FALSE)&gt;0,VLOOKUP(A501,TaskPlan!A:L,5,FALSE),""),""))</f>
        <v/>
      </c>
      <c r="N501" s="1" t="str">
        <f ca="1">IF(ISNA(VLOOKUP(A501,Projects!B:B,1,FALSE)),"","Yes")</f>
        <v/>
      </c>
    </row>
    <row r="502" spans="1:14" hidden="1" outlineLevel="1">
      <c r="A502" s="43" t="s">
        <v>611</v>
      </c>
      <c r="C502" s="44" t="s">
        <v>229</v>
      </c>
      <c r="D502" s="7" t="s">
        <v>11</v>
      </c>
      <c r="E502" s="26">
        <v>39960</v>
      </c>
      <c r="H502" s="37">
        <f ca="1">IF(AND(B502="",NOT(A502="")),VLOOKUP(A502,TaskPlan!A:M,13,FALSE),"")</f>
        <v>39966</v>
      </c>
      <c r="I502" s="38" t="str">
        <f ca="1">IF(AND(B502="",NOT(A502="")),VLOOKUP(A502,TaskPlan!A:M,12,FALSE),"")</f>
        <v>Closed</v>
      </c>
      <c r="J502" s="39" t="str">
        <f ca="1">IF(AND(B502="",NOT(A502="")),VLOOKUP(A502,TaskPlan!A:L,2,FALSE),"")</f>
        <v>Ruth</v>
      </c>
      <c r="K502" s="39" t="str">
        <f ca="1">IF(AND(B502="",NOT(A502="")),IF(NOT(LEFT(VLOOKUP(A502,TaskPlan!A:L,3,FALSE),1) = "0"),VLOOKUP(A502,TaskPlan!A:L,3,FALSE),""),"")</f>
        <v/>
      </c>
      <c r="L502" s="55" t="str">
        <f ca="1">IF(AND(B502="",NOT(A502="")),IF(NOT(LEFT(VLOOKUP(A502,TaskPlan!A:L,3,FALSE),1) = "0"),VLOOKUP(A502,TaskPlan!A:M,4,FALSE),""),"")</f>
        <v/>
      </c>
      <c r="M502" s="58" t="str">
        <f ca="1">IF(B502=".",1,IF(AND(B502="",NOT(A502="")),IF(VLOOKUP(A502,TaskPlan!A:L,5,FALSE)&gt;0,VLOOKUP(A502,TaskPlan!A:L,5,FALSE),""),""))</f>
        <v/>
      </c>
      <c r="N502" s="1" t="str">
        <f ca="1">IF(ISNA(VLOOKUP(A502,Projects!B:B,1,FALSE)),"","Yes")</f>
        <v/>
      </c>
    </row>
    <row r="503" spans="1:14" hidden="1" outlineLevel="1">
      <c r="A503" s="43" t="s">
        <v>612</v>
      </c>
      <c r="C503" s="44" t="s">
        <v>342</v>
      </c>
      <c r="D503" s="7" t="s">
        <v>20</v>
      </c>
      <c r="E503" s="26">
        <v>40025</v>
      </c>
      <c r="H503" s="37">
        <f ca="1">IF(AND(B503="",NOT(A503="")),VLOOKUP(A503,TaskPlan!A:M,13,FALSE),"")</f>
        <v>40029</v>
      </c>
      <c r="I503" s="38" t="str">
        <f ca="1">IF(AND(B503="",NOT(A503="")),VLOOKUP(A503,TaskPlan!A:M,12,FALSE),"")</f>
        <v>Closed</v>
      </c>
      <c r="J503" s="39" t="str">
        <f ca="1">IF(AND(B503="",NOT(A503="")),VLOOKUP(A503,TaskPlan!A:L,2,FALSE),"")</f>
        <v>Ruth</v>
      </c>
      <c r="K503" s="39" t="str">
        <f ca="1">IF(AND(B503="",NOT(A503="")),IF(NOT(LEFT(VLOOKUP(A503,TaskPlan!A:L,3,FALSE),1) = "0"),VLOOKUP(A503,TaskPlan!A:L,3,FALSE),""),"")</f>
        <v/>
      </c>
      <c r="L503" s="55" t="str">
        <f ca="1">IF(AND(B503="",NOT(A503="")),IF(NOT(LEFT(VLOOKUP(A503,TaskPlan!A:L,3,FALSE),1) = "0"),VLOOKUP(A503,TaskPlan!A:M,4,FALSE),""),"")</f>
        <v/>
      </c>
      <c r="M503" s="58" t="str">
        <f ca="1">IF(B503=".",1,IF(AND(B503="",NOT(A503="")),IF(VLOOKUP(A503,TaskPlan!A:L,5,FALSE)&gt;0,VLOOKUP(A503,TaskPlan!A:L,5,FALSE),""),""))</f>
        <v/>
      </c>
      <c r="N503" s="1" t="str">
        <f ca="1">IF(ISNA(VLOOKUP(A503,Projects!B:B,1,FALSE)),"","Yes")</f>
        <v/>
      </c>
    </row>
    <row r="504" spans="1:14" hidden="1" outlineLevel="1">
      <c r="A504" s="43" t="s">
        <v>613</v>
      </c>
      <c r="C504" s="44" t="s">
        <v>419</v>
      </c>
      <c r="D504" s="7" t="s">
        <v>20</v>
      </c>
      <c r="E504" s="26">
        <v>40049</v>
      </c>
      <c r="H504" s="37">
        <f ca="1">IF(AND(B504="",NOT(A504="")),VLOOKUP(A504,TaskPlan!A:M,13,FALSE),"")</f>
        <v>40074</v>
      </c>
      <c r="I504" s="38" t="str">
        <f ca="1">IF(AND(B504="",NOT(A504="")),VLOOKUP(A504,TaskPlan!A:M,12,FALSE),"")</f>
        <v>Closed</v>
      </c>
      <c r="J504" s="39" t="str">
        <f ca="1">IF(AND(B504="",NOT(A504="")),VLOOKUP(A504,TaskPlan!A:L,2,FALSE),"")</f>
        <v>Pramendra</v>
      </c>
      <c r="K504" s="39" t="str">
        <f ca="1">IF(AND(B504="",NOT(A504="")),IF(NOT(LEFT(VLOOKUP(A504,TaskPlan!A:L,3,FALSE),1) = "0"),VLOOKUP(A504,TaskPlan!A:L,3,FALSE),""),"")</f>
        <v/>
      </c>
      <c r="L504" s="55" t="str">
        <f ca="1">IF(AND(B504="",NOT(A504="")),IF(NOT(LEFT(VLOOKUP(A504,TaskPlan!A:L,3,FALSE),1) = "0"),VLOOKUP(A504,TaskPlan!A:M,4,FALSE),""),"")</f>
        <v/>
      </c>
      <c r="M504" s="58" t="str">
        <f ca="1">IF(B504=".",1,IF(AND(B504="",NOT(A504="")),IF(VLOOKUP(A504,TaskPlan!A:L,5,FALSE)&gt;0,VLOOKUP(A504,TaskPlan!A:L,5,FALSE),""),""))</f>
        <v/>
      </c>
      <c r="N504" s="1" t="str">
        <f ca="1">IF(ISNA(VLOOKUP(A504,Projects!B:B,1,FALSE)),"","Yes")</f>
        <v/>
      </c>
    </row>
    <row r="505" spans="1:14" hidden="1" outlineLevel="1">
      <c r="A505" s="43" t="s">
        <v>614</v>
      </c>
      <c r="C505" s="44" t="s">
        <v>810</v>
      </c>
      <c r="D505" s="7" t="s">
        <v>415</v>
      </c>
      <c r="E505" s="26">
        <v>40169</v>
      </c>
      <c r="F505" s="25">
        <v>1</v>
      </c>
      <c r="G505" s="28" t="s">
        <v>1099</v>
      </c>
      <c r="H505" s="37">
        <f ca="1">IF(AND(B505="",NOT(A505="")),VLOOKUP(A505,TaskPlan!A:M,13,FALSE),"")</f>
        <v>40406</v>
      </c>
      <c r="I505" s="38" t="str">
        <f ca="1">IF(AND(B505="",NOT(A505="")),VLOOKUP(A505,TaskPlan!A:M,12,FALSE),"")</f>
        <v>Closed</v>
      </c>
      <c r="J505" s="39" t="str">
        <f ca="1">IF(AND(B505="",NOT(A505="")),VLOOKUP(A505,TaskPlan!A:L,2,FALSE),"")</f>
        <v>Ruth</v>
      </c>
      <c r="K505" s="39" t="str">
        <f ca="1">IF(AND(B505="",NOT(A505="")),IF(NOT(LEFT(VLOOKUP(A505,TaskPlan!A:L,3,FALSE),1) = "0"),VLOOKUP(A505,TaskPlan!A:L,3,FALSE),""),"")</f>
        <v/>
      </c>
      <c r="L505" s="55" t="str">
        <f ca="1">IF(AND(B505="",NOT(A505="")),IF(NOT(LEFT(VLOOKUP(A505,TaskPlan!A:L,3,FALSE),1) = "0"),VLOOKUP(A505,TaskPlan!A:M,4,FALSE),""),"")</f>
        <v/>
      </c>
      <c r="M505" s="58" t="str">
        <f ca="1">IF(B505=".",1,IF(AND(B505="",NOT(A505="")),IF(VLOOKUP(A505,TaskPlan!A:L,5,FALSE)&gt;0,VLOOKUP(A505,TaskPlan!A:L,5,FALSE),""),""))</f>
        <v/>
      </c>
      <c r="N505" s="1" t="str">
        <f ca="1">IF(ISNA(VLOOKUP(A505,Projects!B:B,1,FALSE)),"","Yes")</f>
        <v/>
      </c>
    </row>
    <row r="506" spans="1:14" hidden="1" outlineLevel="1">
      <c r="A506" s="43" t="s">
        <v>615</v>
      </c>
      <c r="C506" s="44" t="s">
        <v>743</v>
      </c>
      <c r="D506" s="7" t="s">
        <v>326</v>
      </c>
      <c r="E506" s="26">
        <v>40102</v>
      </c>
      <c r="H506" s="37">
        <f ca="1">IF(AND(B506="",NOT(A506="")),VLOOKUP(A506,TaskPlan!A:M,13,FALSE),"")</f>
        <v>40099</v>
      </c>
      <c r="I506" s="38" t="str">
        <f ca="1">IF(AND(B506="",NOT(A506="")),VLOOKUP(A506,TaskPlan!A:M,12,FALSE),"")</f>
        <v>Closed</v>
      </c>
      <c r="J506" s="39" t="str">
        <f ca="1">IF(AND(B506="",NOT(A506="")),VLOOKUP(A506,TaskPlan!A:L,2,FALSE),"")</f>
        <v>Paresh</v>
      </c>
      <c r="K506" s="39" t="str">
        <f ca="1">IF(AND(B506="",NOT(A506="")),IF(NOT(LEFT(VLOOKUP(A506,TaskPlan!A:L,3,FALSE),1) = "0"),VLOOKUP(A506,TaskPlan!A:L,3,FALSE),""),"")</f>
        <v/>
      </c>
      <c r="L506" s="55" t="str">
        <f ca="1">IF(AND(B506="",NOT(A506="")),IF(NOT(LEFT(VLOOKUP(A506,TaskPlan!A:L,3,FALSE),1) = "0"),VLOOKUP(A506,TaskPlan!A:M,4,FALSE),""),"")</f>
        <v/>
      </c>
      <c r="M506" s="58" t="str">
        <f ca="1">IF(B506=".",1,IF(AND(B506="",NOT(A506="")),IF(VLOOKUP(A506,TaskPlan!A:L,5,FALSE)&gt;0,VLOOKUP(A506,TaskPlan!A:L,5,FALSE),""),""))</f>
        <v/>
      </c>
      <c r="N506" s="1" t="str">
        <f ca="1">IF(ISNA(VLOOKUP(A506,Projects!B:B,1,FALSE)),"","Yes")</f>
        <v/>
      </c>
    </row>
    <row r="507" spans="1:14" hidden="1" outlineLevel="1">
      <c r="A507" s="43" t="s">
        <v>524</v>
      </c>
      <c r="C507" s="44" t="s">
        <v>525</v>
      </c>
      <c r="D507" s="7" t="s">
        <v>326</v>
      </c>
      <c r="E507" s="26">
        <v>40094</v>
      </c>
      <c r="H507" s="37">
        <f ca="1">IF(AND(B507="",NOT(A507="")),VLOOKUP(A507,TaskPlan!A:M,13,FALSE),"")</f>
        <v>40101</v>
      </c>
      <c r="I507" s="38" t="str">
        <f ca="1">IF(AND(B507="",NOT(A507="")),VLOOKUP(A507,TaskPlan!A:M,12,FALSE),"")</f>
        <v>Closed</v>
      </c>
      <c r="J507" s="39" t="str">
        <f ca="1">IF(AND(B507="",NOT(A507="")),VLOOKUP(A507,TaskPlan!A:L,2,FALSE),"")</f>
        <v>Ruth</v>
      </c>
      <c r="K507" s="39" t="str">
        <f ca="1">IF(AND(B507="",NOT(A507="")),IF(NOT(LEFT(VLOOKUP(A507,TaskPlan!A:L,3,FALSE),1) = "0"),VLOOKUP(A507,TaskPlan!A:L,3,FALSE),""),"")</f>
        <v/>
      </c>
      <c r="L507" s="55" t="str">
        <f ca="1">IF(AND(B507="",NOT(A507="")),IF(NOT(LEFT(VLOOKUP(A507,TaskPlan!A:L,3,FALSE),1) = "0"),VLOOKUP(A507,TaskPlan!A:M,4,FALSE),""),"")</f>
        <v/>
      </c>
      <c r="M507" s="58" t="str">
        <f ca="1">IF(B507=".",1,IF(AND(B507="",NOT(A507="")),IF(VLOOKUP(A507,TaskPlan!A:L,5,FALSE)&gt;0,VLOOKUP(A507,TaskPlan!A:L,5,FALSE),""),""))</f>
        <v/>
      </c>
      <c r="N507" s="1" t="str">
        <f ca="1">IF(ISNA(VLOOKUP(A507,Projects!B:B,1,FALSE)),"","Yes")</f>
        <v/>
      </c>
    </row>
    <row r="508" spans="1:14" hidden="1" outlineLevel="1">
      <c r="A508" s="43" t="s">
        <v>542</v>
      </c>
      <c r="C508" s="44" t="s">
        <v>543</v>
      </c>
      <c r="D508" s="7" t="s">
        <v>326</v>
      </c>
      <c r="E508" s="26">
        <v>40102</v>
      </c>
      <c r="F508" s="25">
        <v>2</v>
      </c>
      <c r="G508" s="28" t="s">
        <v>1100</v>
      </c>
      <c r="H508" s="37">
        <f ca="1">IF(AND(B508="",NOT(A508="")),VLOOKUP(A508,TaskPlan!A:M,13,FALSE),"")</f>
        <v>40150</v>
      </c>
      <c r="I508" s="38" t="str">
        <f ca="1">IF(AND(B508="",NOT(A508="")),VLOOKUP(A508,TaskPlan!A:M,12,FALSE),"")</f>
        <v>Not Started</v>
      </c>
      <c r="J508" s="39" t="str">
        <f ca="1">IF(AND(B508="",NOT(A508="")),VLOOKUP(A508,TaskPlan!A:L,2,FALSE),"")</f>
        <v>Unassigned</v>
      </c>
      <c r="K508" s="39" t="str">
        <f ca="1">IF(AND(B508="",NOT(A508="")),IF(NOT(LEFT(VLOOKUP(A508,TaskPlan!A:L,3,FALSE),1) = "0"),VLOOKUP(A508,TaskPlan!A:L,3,FALSE),""),"")</f>
        <v>1-LOW</v>
      </c>
      <c r="L508" s="55">
        <f ca="1">IF(AND(B508="",NOT(A508="")),IF(NOT(LEFT(VLOOKUP(A508,TaskPlan!A:L,3,FALSE),1) = "0"),VLOOKUP(A508,TaskPlan!A:M,4,FALSE),""),"")</f>
        <v>0</v>
      </c>
      <c r="M508" s="58" t="str">
        <f ca="1">IF(B508=".",1,IF(AND(B508="",NOT(A508="")),IF(VLOOKUP(A508,TaskPlan!A:L,5,FALSE)&gt;0,VLOOKUP(A508,TaskPlan!A:L,5,FALSE),""),""))</f>
        <v/>
      </c>
      <c r="N508" s="1" t="str">
        <f ca="1">IF(ISNA(VLOOKUP(A508,Projects!B:B,1,FALSE)),"","Yes")</f>
        <v/>
      </c>
    </row>
    <row r="509" spans="1:14" hidden="1" outlineLevel="1">
      <c r="A509" s="43" t="s">
        <v>621</v>
      </c>
      <c r="C509" s="44" t="s">
        <v>622</v>
      </c>
      <c r="D509" s="7" t="s">
        <v>11</v>
      </c>
      <c r="E509" s="26">
        <v>40109</v>
      </c>
      <c r="H509" s="37">
        <f ca="1">IF(AND(B509="",NOT(A509="")),VLOOKUP(A509,TaskPlan!A:M,13,FALSE),"")</f>
        <v>40120</v>
      </c>
      <c r="I509" s="38" t="str">
        <f ca="1">IF(AND(B509="",NOT(A509="")),VLOOKUP(A509,TaskPlan!A:M,12,FALSE),"")</f>
        <v>Closed</v>
      </c>
      <c r="J509" s="39" t="str">
        <f ca="1">IF(AND(B509="",NOT(A509="")),VLOOKUP(A509,TaskPlan!A:L,2,FALSE),"")</f>
        <v>Pramendra</v>
      </c>
      <c r="K509" s="39" t="str">
        <f ca="1">IF(AND(B509="",NOT(A509="")),IF(NOT(LEFT(VLOOKUP(A509,TaskPlan!A:L,3,FALSE),1) = "0"),VLOOKUP(A509,TaskPlan!A:L,3,FALSE),""),"")</f>
        <v/>
      </c>
      <c r="L509" s="55" t="str">
        <f ca="1">IF(AND(B509="",NOT(A509="")),IF(NOT(LEFT(VLOOKUP(A509,TaskPlan!A:L,3,FALSE),1) = "0"),VLOOKUP(A509,TaskPlan!A:M,4,FALSE),""),"")</f>
        <v/>
      </c>
      <c r="M509" s="58" t="str">
        <f ca="1">IF(B509=".",1,IF(AND(B509="",NOT(A509="")),IF(VLOOKUP(A509,TaskPlan!A:L,5,FALSE)&gt;0,VLOOKUP(A509,TaskPlan!A:L,5,FALSE),""),""))</f>
        <v/>
      </c>
      <c r="N509" s="1" t="str">
        <f ca="1">IF(ISNA(VLOOKUP(A509,Projects!B:B,1,FALSE)),"","Yes")</f>
        <v/>
      </c>
    </row>
    <row r="510" spans="1:14" hidden="1" outlineLevel="1">
      <c r="A510" s="43" t="s">
        <v>717</v>
      </c>
      <c r="C510" s="44" t="s">
        <v>719</v>
      </c>
      <c r="D510" s="7" t="s">
        <v>415</v>
      </c>
      <c r="E510" s="26">
        <v>40135</v>
      </c>
      <c r="F510" s="25">
        <v>1</v>
      </c>
      <c r="H510" s="37">
        <f ca="1">IF(AND(B510="",NOT(A510="")),VLOOKUP(A510,TaskPlan!A:M,13,FALSE),"")</f>
        <v>40192</v>
      </c>
      <c r="I510" s="38" t="str">
        <f ca="1">IF(AND(B510="",NOT(A510="")),VLOOKUP(A510,TaskPlan!A:M,12,FALSE),"")</f>
        <v>Closed</v>
      </c>
      <c r="J510" s="39" t="str">
        <f ca="1">IF(AND(B510="",NOT(A510="")),VLOOKUP(A510,TaskPlan!A:L,2,FALSE),"")</f>
        <v>Neil</v>
      </c>
      <c r="K510" s="39" t="str">
        <f ca="1">IF(AND(B510="",NOT(A510="")),IF(NOT(LEFT(VLOOKUP(A510,TaskPlan!A:L,3,FALSE),1) = "0"),VLOOKUP(A510,TaskPlan!A:L,3,FALSE),""),"")</f>
        <v/>
      </c>
      <c r="L510" s="55" t="str">
        <f ca="1">IF(AND(B510="",NOT(A510="")),IF(NOT(LEFT(VLOOKUP(A510,TaskPlan!A:L,3,FALSE),1) = "0"),VLOOKUP(A510,TaskPlan!A:M,4,FALSE),""),"")</f>
        <v/>
      </c>
      <c r="M510" s="58" t="str">
        <f ca="1">IF(B510=".",1,IF(AND(B510="",NOT(A510="")),IF(VLOOKUP(A510,TaskPlan!A:L,5,FALSE)&gt;0,VLOOKUP(A510,TaskPlan!A:L,5,FALSE),""),""))</f>
        <v/>
      </c>
      <c r="N510" s="1" t="str">
        <f ca="1">IF(ISNA(VLOOKUP(A510,Projects!B:B,1,FALSE)),"","Yes")</f>
        <v/>
      </c>
    </row>
    <row r="511" spans="1:14" hidden="1" outlineLevel="1">
      <c r="A511" s="43" t="s">
        <v>718</v>
      </c>
      <c r="C511" s="44" t="s">
        <v>720</v>
      </c>
      <c r="D511" s="7" t="s">
        <v>415</v>
      </c>
      <c r="E511" s="26">
        <v>40135</v>
      </c>
      <c r="F511" s="25">
        <v>0.25</v>
      </c>
      <c r="H511" s="37">
        <f ca="1">IF(AND(B511="",NOT(A511="")),VLOOKUP(A511,TaskPlan!A:M,13,FALSE),"")</f>
        <v>40192</v>
      </c>
      <c r="I511" s="38" t="str">
        <f ca="1">IF(AND(B511="",NOT(A511="")),VLOOKUP(A511,TaskPlan!A:M,12,FALSE),"")</f>
        <v>Closed</v>
      </c>
      <c r="J511" s="39" t="str">
        <f ca="1">IF(AND(B511="",NOT(A511="")),VLOOKUP(A511,TaskPlan!A:L,2,FALSE),"")</f>
        <v>Neil</v>
      </c>
      <c r="K511" s="39" t="str">
        <f ca="1">IF(AND(B511="",NOT(A511="")),IF(NOT(LEFT(VLOOKUP(A511,TaskPlan!A:L,3,FALSE),1) = "0"),VLOOKUP(A511,TaskPlan!A:L,3,FALSE),""),"")</f>
        <v/>
      </c>
      <c r="L511" s="55" t="str">
        <f ca="1">IF(AND(B511="",NOT(A511="")),IF(NOT(LEFT(VLOOKUP(A511,TaskPlan!A:L,3,FALSE),1) = "0"),VLOOKUP(A511,TaskPlan!A:M,4,FALSE),""),"")</f>
        <v/>
      </c>
      <c r="M511" s="58" t="str">
        <f ca="1">IF(B511=".",1,IF(AND(B511="",NOT(A511="")),IF(VLOOKUP(A511,TaskPlan!A:L,5,FALSE)&gt;0,VLOOKUP(A511,TaskPlan!A:L,5,FALSE),""),""))</f>
        <v/>
      </c>
      <c r="N511" s="1" t="str">
        <f ca="1">IF(ISNA(VLOOKUP(A511,Projects!B:B,1,FALSE)),"","Yes")</f>
        <v/>
      </c>
    </row>
    <row r="512" spans="1:14" hidden="1" outlineLevel="1">
      <c r="A512" s="43" t="s">
        <v>721</v>
      </c>
      <c r="C512" s="44" t="s">
        <v>722</v>
      </c>
      <c r="D512" s="7" t="s">
        <v>415</v>
      </c>
      <c r="E512" s="26">
        <v>40135</v>
      </c>
      <c r="F512" s="25">
        <v>0.5</v>
      </c>
      <c r="H512" s="37">
        <f ca="1">IF(AND(B512="",NOT(A512="")),VLOOKUP(A512,TaskPlan!A:M,13,FALSE),"")</f>
        <v>40283</v>
      </c>
      <c r="I512" s="38" t="str">
        <f ca="1">IF(AND(B512="",NOT(A512="")),VLOOKUP(A512,TaskPlan!A:M,12,FALSE),"")</f>
        <v>Closed</v>
      </c>
      <c r="J512" s="39" t="str">
        <f ca="1">IF(AND(B512="",NOT(A512="")),VLOOKUP(A512,TaskPlan!A:L,2,FALSE),"")</f>
        <v>Gerald</v>
      </c>
      <c r="K512" s="39" t="str">
        <f ca="1">IF(AND(B512="",NOT(A512="")),IF(NOT(LEFT(VLOOKUP(A512,TaskPlan!A:L,3,FALSE),1) = "0"),VLOOKUP(A512,TaskPlan!A:L,3,FALSE),""),"")</f>
        <v/>
      </c>
      <c r="L512" s="55" t="str">
        <f ca="1">IF(AND(B512="",NOT(A512="")),IF(NOT(LEFT(VLOOKUP(A512,TaskPlan!A:L,3,FALSE),1) = "0"),VLOOKUP(A512,TaskPlan!A:M,4,FALSE),""),"")</f>
        <v/>
      </c>
      <c r="M512" s="58" t="str">
        <f ca="1">IF(B512=".",1,IF(AND(B512="",NOT(A512="")),IF(VLOOKUP(A512,TaskPlan!A:L,5,FALSE)&gt;0,VLOOKUP(A512,TaskPlan!A:L,5,FALSE),""),""))</f>
        <v/>
      </c>
      <c r="N512" s="1" t="str">
        <f ca="1">IF(ISNA(VLOOKUP(A512,Projects!B:B,1,FALSE)),"","Yes")</f>
        <v/>
      </c>
    </row>
    <row r="513" spans="1:14" hidden="1" outlineLevel="1">
      <c r="A513" s="43" t="s">
        <v>723</v>
      </c>
      <c r="C513" s="44" t="s">
        <v>724</v>
      </c>
      <c r="D513" s="7" t="s">
        <v>415</v>
      </c>
      <c r="E513" s="26">
        <v>40135</v>
      </c>
      <c r="F513" s="25">
        <v>3</v>
      </c>
      <c r="G513" s="28" t="s">
        <v>1099</v>
      </c>
      <c r="H513" s="37">
        <f ca="1">IF(AND(B513="",NOT(A513="")),VLOOKUP(A513,TaskPlan!A:M,13,FALSE),"")</f>
        <v>40239</v>
      </c>
      <c r="I513" s="38" t="str">
        <f ca="1">IF(AND(B513="",NOT(A513="")),VLOOKUP(A513,TaskPlan!A:M,12,FALSE),"")</f>
        <v>Not started</v>
      </c>
      <c r="J513" s="39" t="str">
        <f ca="1">IF(AND(B513="",NOT(A513="")),VLOOKUP(A513,TaskPlan!A:L,2,FALSE),"")</f>
        <v>Unassigned</v>
      </c>
      <c r="K513" s="39" t="str">
        <f ca="1">IF(AND(B513="",NOT(A513="")),IF(NOT(LEFT(VLOOKUP(A513,TaskPlan!A:L,3,FALSE),1) = "0"),VLOOKUP(A513,TaskPlan!A:L,3,FALSE),""),"")</f>
        <v>2-LOW</v>
      </c>
      <c r="L513" s="55">
        <f ca="1">IF(AND(B513="",NOT(A513="")),IF(NOT(LEFT(VLOOKUP(A513,TaskPlan!A:L,3,FALSE),1) = "0"),VLOOKUP(A513,TaskPlan!A:M,4,FALSE),""),"")</f>
        <v>0</v>
      </c>
      <c r="M513" s="58" t="str">
        <f ca="1">IF(B513=".",1,IF(AND(B513="",NOT(A513="")),IF(VLOOKUP(A513,TaskPlan!A:L,5,FALSE)&gt;0,VLOOKUP(A513,TaskPlan!A:L,5,FALSE),""),""))</f>
        <v/>
      </c>
      <c r="N513" s="1" t="str">
        <f ca="1">IF(ISNA(VLOOKUP(A513,Projects!B:B,1,FALSE)),"","Yes")</f>
        <v/>
      </c>
    </row>
    <row r="514" spans="1:14" hidden="1" outlineLevel="1">
      <c r="A514" s="43" t="s">
        <v>789</v>
      </c>
      <c r="C514" s="44" t="s">
        <v>791</v>
      </c>
      <c r="D514" s="7" t="s">
        <v>415</v>
      </c>
      <c r="E514" s="26">
        <v>40157</v>
      </c>
      <c r="F514" s="25">
        <v>1</v>
      </c>
      <c r="H514" s="37">
        <f ca="1">IF(AND(B514="",NOT(A514="")),VLOOKUP(A514,TaskPlan!A:M,13,FALSE),"")</f>
        <v>40192</v>
      </c>
      <c r="I514" s="38" t="str">
        <f ca="1">IF(AND(B514="",NOT(A514="")),VLOOKUP(A514,TaskPlan!A:M,12,FALSE),"")</f>
        <v>Closed</v>
      </c>
      <c r="J514" s="39" t="str">
        <f ca="1">IF(AND(B514="",NOT(A514="")),VLOOKUP(A514,TaskPlan!A:L,2,FALSE),"")</f>
        <v>Neil</v>
      </c>
      <c r="K514" s="39" t="str">
        <f ca="1">IF(AND(B514="",NOT(A514="")),IF(NOT(LEFT(VLOOKUP(A514,TaskPlan!A:L,3,FALSE),1) = "0"),VLOOKUP(A514,TaskPlan!A:L,3,FALSE),""),"")</f>
        <v/>
      </c>
      <c r="L514" s="55" t="str">
        <f ca="1">IF(AND(B514="",NOT(A514="")),IF(NOT(LEFT(VLOOKUP(A514,TaskPlan!A:L,3,FALSE),1) = "0"),VLOOKUP(A514,TaskPlan!A:M,4,FALSE),""),"")</f>
        <v/>
      </c>
      <c r="M514" s="58" t="str">
        <f ca="1">IF(B514=".",1,IF(AND(B514="",NOT(A514="")),IF(VLOOKUP(A514,TaskPlan!A:L,5,FALSE)&gt;0,VLOOKUP(A514,TaskPlan!A:L,5,FALSE),""),""))</f>
        <v/>
      </c>
      <c r="N514" s="1" t="str">
        <f ca="1">IF(ISNA(VLOOKUP(A514,Projects!B:B,1,FALSE)),"","Yes")</f>
        <v/>
      </c>
    </row>
    <row r="515" spans="1:14" hidden="1" outlineLevel="1">
      <c r="A515" s="43" t="s">
        <v>790</v>
      </c>
      <c r="C515" s="44" t="s">
        <v>792</v>
      </c>
      <c r="D515" s="7" t="s">
        <v>415</v>
      </c>
      <c r="E515" s="26">
        <v>40157</v>
      </c>
      <c r="F515" s="25">
        <v>0.25</v>
      </c>
      <c r="H515" s="37">
        <f ca="1">IF(AND(B515="",NOT(A515="")),VLOOKUP(A515,TaskPlan!A:M,13,FALSE),"")</f>
        <v>40192</v>
      </c>
      <c r="I515" s="38" t="str">
        <f ca="1">IF(AND(B515="",NOT(A515="")),VLOOKUP(A515,TaskPlan!A:M,12,FALSE),"")</f>
        <v>Closed</v>
      </c>
      <c r="J515" s="39" t="str">
        <f ca="1">IF(AND(B515="",NOT(A515="")),VLOOKUP(A515,TaskPlan!A:L,2,FALSE),"")</f>
        <v>Neil</v>
      </c>
      <c r="K515" s="39" t="str">
        <f ca="1">IF(AND(B515="",NOT(A515="")),IF(NOT(LEFT(VLOOKUP(A515,TaskPlan!A:L,3,FALSE),1) = "0"),VLOOKUP(A515,TaskPlan!A:L,3,FALSE),""),"")</f>
        <v/>
      </c>
      <c r="L515" s="55" t="str">
        <f ca="1">IF(AND(B515="",NOT(A515="")),IF(NOT(LEFT(VLOOKUP(A515,TaskPlan!A:L,3,FALSE),1) = "0"),VLOOKUP(A515,TaskPlan!A:M,4,FALSE),""),"")</f>
        <v/>
      </c>
      <c r="M515" s="58" t="str">
        <f ca="1">IF(B515=".",1,IF(AND(B515="",NOT(A515="")),IF(VLOOKUP(A515,TaskPlan!A:L,5,FALSE)&gt;0,VLOOKUP(A515,TaskPlan!A:L,5,FALSE),""),""))</f>
        <v/>
      </c>
      <c r="N515" s="1" t="str">
        <f ca="1">IF(ISNA(VLOOKUP(A515,Projects!B:B,1,FALSE)),"","Yes")</f>
        <v/>
      </c>
    </row>
    <row r="516" spans="1:14" hidden="1" outlineLevel="1">
      <c r="A516" s="43" t="s">
        <v>822</v>
      </c>
      <c r="C516" s="44" t="s">
        <v>823</v>
      </c>
      <c r="D516" s="7" t="s">
        <v>11</v>
      </c>
      <c r="E516" s="26">
        <v>40190</v>
      </c>
      <c r="F516" s="25">
        <v>1</v>
      </c>
      <c r="G516" s="25" t="s">
        <v>1098</v>
      </c>
      <c r="H516" s="37">
        <f ca="1">IF(AND(B516="",NOT(A516="")),VLOOKUP(A516,TaskPlan!A:M,13,FALSE),"")</f>
        <v>40283</v>
      </c>
      <c r="I516" s="38" t="str">
        <f ca="1">IF(AND(B516="",NOT(A516="")),VLOOKUP(A516,TaskPlan!A:M,12,FALSE),"")</f>
        <v>Not Started</v>
      </c>
      <c r="J516" s="39" t="str">
        <f ca="1">IF(AND(B516="",NOT(A516="")),VLOOKUP(A516,TaskPlan!A:L,2,FALSE),"")</f>
        <v>Neil</v>
      </c>
      <c r="K516" s="39" t="str">
        <f ca="1">IF(AND(B516="",NOT(A516="")),IF(NOT(LEFT(VLOOKUP(A516,TaskPlan!A:L,3,FALSE),1) = "0"),VLOOKUP(A516,TaskPlan!A:L,3,FALSE),""),"")</f>
        <v>3-MED</v>
      </c>
      <c r="L516" s="55">
        <f ca="1">IF(AND(B516="",NOT(A516="")),IF(NOT(LEFT(VLOOKUP(A516,TaskPlan!A:L,3,FALSE),1) = "0"),VLOOKUP(A516,TaskPlan!A:M,4,FALSE),""),"")</f>
        <v>0</v>
      </c>
      <c r="M516" s="58" t="str">
        <f ca="1">IF(B516=".",1,IF(AND(B516="",NOT(A516="")),IF(VLOOKUP(A516,TaskPlan!A:L,5,FALSE)&gt;0,VLOOKUP(A516,TaskPlan!A:L,5,FALSE),""),""))</f>
        <v/>
      </c>
      <c r="N516" s="1" t="str">
        <f ca="1">IF(ISNA(VLOOKUP(A516,Projects!B:B,1,FALSE)),"","Yes")</f>
        <v/>
      </c>
    </row>
    <row r="517" spans="1:14" hidden="1" outlineLevel="1">
      <c r="A517" s="43" t="s">
        <v>843</v>
      </c>
      <c r="C517" s="44" t="s">
        <v>844</v>
      </c>
      <c r="D517" s="7" t="s">
        <v>11</v>
      </c>
      <c r="E517" s="26">
        <v>40197</v>
      </c>
      <c r="F517" s="25">
        <v>2</v>
      </c>
      <c r="G517" s="25" t="s">
        <v>1098</v>
      </c>
      <c r="H517" s="37">
        <f ca="1">IF(AND(B517="",NOT(A517="")),VLOOKUP(A517,TaskPlan!A:M,13,FALSE),"")</f>
        <v>40406</v>
      </c>
      <c r="I517" s="38" t="str">
        <f ca="1">IF(AND(B517="",NOT(A517="")),VLOOKUP(A517,TaskPlan!A:M,12,FALSE),"")</f>
        <v>Not started</v>
      </c>
      <c r="J517" s="39" t="str">
        <f ca="1">IF(AND(B517="",NOT(A517="")),VLOOKUP(A517,TaskPlan!A:L,2,FALSE),"")</f>
        <v>Unassigned</v>
      </c>
      <c r="K517" s="39" t="str">
        <f ca="1">IF(AND(B517="",NOT(A517="")),IF(NOT(LEFT(VLOOKUP(A517,TaskPlan!A:L,3,FALSE),1) = "0"),VLOOKUP(A517,TaskPlan!A:L,3,FALSE),""),"")</f>
        <v>2-LOW</v>
      </c>
      <c r="L517" s="55">
        <f ca="1">IF(AND(B517="",NOT(A517="")),IF(NOT(LEFT(VLOOKUP(A517,TaskPlan!A:L,3,FALSE),1) = "0"),VLOOKUP(A517,TaskPlan!A:M,4,FALSE),""),"")</f>
        <v>0</v>
      </c>
      <c r="M517" s="58" t="str">
        <f ca="1">IF(B517=".",1,IF(AND(B517="",NOT(A517="")),IF(VLOOKUP(A517,TaskPlan!A:L,5,FALSE)&gt;0,VLOOKUP(A517,TaskPlan!A:L,5,FALSE),""),""))</f>
        <v/>
      </c>
      <c r="N517" s="1" t="str">
        <f ca="1">IF(ISNA(VLOOKUP(A517,Projects!B:B,1,FALSE)),"","Yes")</f>
        <v/>
      </c>
    </row>
    <row r="518" spans="1:14" hidden="1" outlineLevel="1">
      <c r="A518" s="43" t="s">
        <v>383</v>
      </c>
      <c r="B518" s="1" t="s">
        <v>15</v>
      </c>
      <c r="C518" s="45" t="s">
        <v>24</v>
      </c>
      <c r="D518" s="7"/>
      <c r="E518" s="26"/>
      <c r="H518" s="37" t="str">
        <f ca="1">IF(AND(B518="",NOT(A518="")),VLOOKUP(A518,TaskPlan!A:M,13,FALSE),"")</f>
        <v/>
      </c>
      <c r="I518" s="38" t="str">
        <f ca="1">IF(AND(B518="",NOT(A518="")),VLOOKUP(A518,TaskPlan!A:M,12,FALSE),"")</f>
        <v/>
      </c>
      <c r="J518" s="39" t="str">
        <f ca="1">IF(AND(B518="",NOT(A518="")),VLOOKUP(A518,TaskPlan!A:L,2,FALSE),"")</f>
        <v/>
      </c>
      <c r="K518" s="39" t="str">
        <f ca="1">IF(AND(B518="",NOT(A518="")),IF(NOT(LEFT(VLOOKUP(A518,TaskPlan!A:L,3,FALSE),1) = "0"),VLOOKUP(A518,TaskPlan!A:L,3,FALSE),""),"")</f>
        <v/>
      </c>
      <c r="L518" s="55" t="str">
        <f ca="1">IF(AND(B518="",NOT(A518="")),IF(NOT(LEFT(VLOOKUP(A518,TaskPlan!A:L,3,FALSE),1) = "0"),VLOOKUP(A518,TaskPlan!A:M,4,FALSE),""),"")</f>
        <v/>
      </c>
      <c r="N518" s="1" t="str">
        <f ca="1">IF(ISNA(VLOOKUP(A518,Projects!B:B,1,FALSE)),"","Yes")</f>
        <v/>
      </c>
    </row>
    <row r="519" spans="1:14" hidden="1" outlineLevel="1">
      <c r="A519" s="43" t="s">
        <v>384</v>
      </c>
      <c r="C519" s="44" t="s">
        <v>385</v>
      </c>
      <c r="D519" s="7" t="s">
        <v>20</v>
      </c>
      <c r="E519" s="26">
        <v>40029</v>
      </c>
      <c r="H519" s="37">
        <f ca="1">IF(AND(B519="",NOT(A519="")),VLOOKUP(A519,TaskPlan!A:M,13,FALSE),"")</f>
        <v>40029</v>
      </c>
      <c r="I519" s="38" t="str">
        <f ca="1">IF(AND(B519="",NOT(A519="")),VLOOKUP(A519,TaskPlan!A:M,12,FALSE),"")</f>
        <v>Closed</v>
      </c>
      <c r="J519" s="39" t="str">
        <f ca="1">IF(AND(B519="",NOT(A519="")),VLOOKUP(A519,TaskPlan!A:L,2,FALSE),"")</f>
        <v>Neil</v>
      </c>
      <c r="K519" s="39" t="str">
        <f ca="1">IF(AND(B519="",NOT(A519="")),IF(NOT(LEFT(VLOOKUP(A519,TaskPlan!A:L,3,FALSE),1) = "0"),VLOOKUP(A519,TaskPlan!A:L,3,FALSE),""),"")</f>
        <v/>
      </c>
      <c r="L519" s="55" t="str">
        <f ca="1">IF(AND(B519="",NOT(A519="")),IF(NOT(LEFT(VLOOKUP(A519,TaskPlan!A:L,3,FALSE),1) = "0"),VLOOKUP(A519,TaskPlan!A:M,4,FALSE),""),"")</f>
        <v/>
      </c>
      <c r="M519" s="58" t="str">
        <f ca="1">IF(B519=".",1,IF(AND(B519="",NOT(A519="")),IF(VLOOKUP(A519,TaskPlan!A:L,5,FALSE)&gt;0,VLOOKUP(A519,TaskPlan!A:L,5,FALSE),""),""))</f>
        <v/>
      </c>
      <c r="N519" s="1" t="str">
        <f ca="1">IF(ISNA(VLOOKUP(A519,Projects!B:B,1,FALSE)),"","Yes")</f>
        <v/>
      </c>
    </row>
    <row r="520" spans="1:14" hidden="1" outlineLevel="1">
      <c r="A520" s="43" t="s">
        <v>386</v>
      </c>
      <c r="C520" s="44" t="s">
        <v>387</v>
      </c>
      <c r="D520" s="7" t="s">
        <v>11</v>
      </c>
      <c r="E520" s="26">
        <v>40029</v>
      </c>
      <c r="H520" s="37">
        <f ca="1">IF(AND(B520="",NOT(A520="")),VLOOKUP(A520,TaskPlan!A:M,13,FALSE),"")</f>
        <v>40043</v>
      </c>
      <c r="I520" s="38" t="str">
        <f ca="1">IF(AND(B520="",NOT(A520="")),VLOOKUP(A520,TaskPlan!A:M,12,FALSE),"")</f>
        <v>Closed</v>
      </c>
      <c r="J520" s="39" t="str">
        <f ca="1">IF(AND(B520="",NOT(A520="")),VLOOKUP(A520,TaskPlan!A:L,2,FALSE),"")</f>
        <v>Neil</v>
      </c>
      <c r="K520" s="39" t="str">
        <f ca="1">IF(AND(B520="",NOT(A520="")),IF(NOT(LEFT(VLOOKUP(A520,TaskPlan!A:L,3,FALSE),1) = "0"),VLOOKUP(A520,TaskPlan!A:L,3,FALSE),""),"")</f>
        <v/>
      </c>
      <c r="L520" s="55" t="str">
        <f ca="1">IF(AND(B520="",NOT(A520="")),IF(NOT(LEFT(VLOOKUP(A520,TaskPlan!A:L,3,FALSE),1) = "0"),VLOOKUP(A520,TaskPlan!A:M,4,FALSE),""),"")</f>
        <v/>
      </c>
      <c r="M520" s="58" t="str">
        <f ca="1">IF(B520=".",1,IF(AND(B520="",NOT(A520="")),IF(VLOOKUP(A520,TaskPlan!A:L,5,FALSE)&gt;0,VLOOKUP(A520,TaskPlan!A:L,5,FALSE),""),""))</f>
        <v/>
      </c>
      <c r="N520" s="1" t="str">
        <f ca="1">IF(ISNA(VLOOKUP(A520,Projects!B:B,1,FALSE)),"","Yes")</f>
        <v/>
      </c>
    </row>
    <row r="521" spans="1:14" hidden="1" outlineLevel="1">
      <c r="A521" s="43" t="s">
        <v>388</v>
      </c>
      <c r="C521" s="44" t="s">
        <v>389</v>
      </c>
      <c r="D521" s="7" t="s">
        <v>11</v>
      </c>
      <c r="E521" s="26">
        <v>40029</v>
      </c>
      <c r="H521" s="37">
        <f ca="1">IF(AND(B521="",NOT(A521="")),VLOOKUP(A521,TaskPlan!A:M,13,FALSE),"")</f>
        <v>40072</v>
      </c>
      <c r="I521" s="38" t="str">
        <f ca="1">IF(AND(B521="",NOT(A521="")),VLOOKUP(A521,TaskPlan!A:M,12,FALSE),"")</f>
        <v>Closed</v>
      </c>
      <c r="J521" s="39" t="str">
        <f ca="1">IF(AND(B521="",NOT(A521="")),VLOOKUP(A521,TaskPlan!A:L,2,FALSE),"")</f>
        <v>Ruth</v>
      </c>
      <c r="K521" s="39" t="str">
        <f ca="1">IF(AND(B521="",NOT(A521="")),IF(NOT(LEFT(VLOOKUP(A521,TaskPlan!A:L,3,FALSE),1) = "0"),VLOOKUP(A521,TaskPlan!A:L,3,FALSE),""),"")</f>
        <v/>
      </c>
      <c r="L521" s="55" t="str">
        <f ca="1">IF(AND(B521="",NOT(A521="")),IF(NOT(LEFT(VLOOKUP(A521,TaskPlan!A:L,3,FALSE),1) = "0"),VLOOKUP(A521,TaskPlan!A:M,4,FALSE),""),"")</f>
        <v/>
      </c>
      <c r="M521" s="58" t="str">
        <f ca="1">IF(B521=".",1,IF(AND(B521="",NOT(A521="")),IF(VLOOKUP(A521,TaskPlan!A:L,5,FALSE)&gt;0,VLOOKUP(A521,TaskPlan!A:L,5,FALSE),""),""))</f>
        <v/>
      </c>
      <c r="N521" s="1" t="str">
        <f ca="1">IF(ISNA(VLOOKUP(A521,Projects!B:B,1,FALSE)),"","Yes")</f>
        <v/>
      </c>
    </row>
    <row r="522" spans="1:14" hidden="1" outlineLevel="1">
      <c r="A522" s="43" t="s">
        <v>399</v>
      </c>
      <c r="C522" s="44" t="s">
        <v>413</v>
      </c>
      <c r="D522" s="7" t="s">
        <v>11</v>
      </c>
      <c r="E522" s="26">
        <v>40045</v>
      </c>
      <c r="H522" s="37">
        <f ca="1">IF(AND(B522="",NOT(A522="")),VLOOKUP(A522,TaskPlan!A:M,13,FALSE),"")</f>
        <v>40052</v>
      </c>
      <c r="I522" s="38" t="str">
        <f ca="1">IF(AND(B522="",NOT(A522="")),VLOOKUP(A522,TaskPlan!A:M,12,FALSE),"")</f>
        <v>Closed</v>
      </c>
      <c r="J522" s="39" t="str">
        <f ca="1">IF(AND(B522="",NOT(A522="")),VLOOKUP(A522,TaskPlan!A:L,2,FALSE),"")</f>
        <v>Ruth</v>
      </c>
      <c r="K522" s="39" t="str">
        <f ca="1">IF(AND(B522="",NOT(A522="")),IF(NOT(LEFT(VLOOKUP(A522,TaskPlan!A:L,3,FALSE),1) = "0"),VLOOKUP(A522,TaskPlan!A:L,3,FALSE),""),"")</f>
        <v/>
      </c>
      <c r="L522" s="55" t="str">
        <f ca="1">IF(AND(B522="",NOT(A522="")),IF(NOT(LEFT(VLOOKUP(A522,TaskPlan!A:L,3,FALSE),1) = "0"),VLOOKUP(A522,TaskPlan!A:M,4,FALSE),""),"")</f>
        <v/>
      </c>
      <c r="M522" s="58" t="str">
        <f ca="1">IF(B522=".",1,IF(AND(B522="",NOT(A522="")),IF(VLOOKUP(A522,TaskPlan!A:L,5,FALSE)&gt;0,VLOOKUP(A522,TaskPlan!A:L,5,FALSE),""),""))</f>
        <v/>
      </c>
      <c r="N522" s="1" t="str">
        <f ca="1">IF(ISNA(VLOOKUP(A522,Projects!B:B,1,FALSE)),"","Yes")</f>
        <v/>
      </c>
    </row>
    <row r="523" spans="1:14" hidden="1" outlineLevel="1">
      <c r="A523" s="43" t="s">
        <v>414</v>
      </c>
      <c r="C523" s="44" t="s">
        <v>418</v>
      </c>
      <c r="D523" s="7" t="s">
        <v>415</v>
      </c>
      <c r="E523" s="26">
        <v>40045</v>
      </c>
      <c r="H523" s="37">
        <f ca="1">IF(AND(B523="",NOT(A523="")),VLOOKUP(A523,TaskPlan!A:M,13,FALSE),"")</f>
        <v>40060</v>
      </c>
      <c r="I523" s="38" t="str">
        <f ca="1">IF(AND(B523="",NOT(A523="")),VLOOKUP(A523,TaskPlan!A:M,12,FALSE),"")</f>
        <v>Closed</v>
      </c>
      <c r="J523" s="39" t="str">
        <f ca="1">IF(AND(B523="",NOT(A523="")),VLOOKUP(A523,TaskPlan!A:L,2,FALSE),"")</f>
        <v>Neil</v>
      </c>
      <c r="K523" s="39" t="str">
        <f ca="1">IF(AND(B523="",NOT(A523="")),IF(NOT(LEFT(VLOOKUP(A523,TaskPlan!A:L,3,FALSE),1) = "0"),VLOOKUP(A523,TaskPlan!A:L,3,FALSE),""),"")</f>
        <v/>
      </c>
      <c r="L523" s="55" t="str">
        <f ca="1">IF(AND(B523="",NOT(A523="")),IF(NOT(LEFT(VLOOKUP(A523,TaskPlan!A:L,3,FALSE),1) = "0"),VLOOKUP(A523,TaskPlan!A:M,4,FALSE),""),"")</f>
        <v/>
      </c>
      <c r="M523" s="58" t="str">
        <f ca="1">IF(B523=".",1,IF(AND(B523="",NOT(A523="")),IF(VLOOKUP(A523,TaskPlan!A:L,5,FALSE)&gt;0,VLOOKUP(A523,TaskPlan!A:L,5,FALSE),""),""))</f>
        <v/>
      </c>
      <c r="N523" s="1" t="str">
        <f ca="1">IF(ISNA(VLOOKUP(A523,Projects!B:B,1,FALSE)),"","Yes")</f>
        <v/>
      </c>
    </row>
    <row r="524" spans="1:14" hidden="1" outlineLevel="1">
      <c r="A524" s="43" t="s">
        <v>486</v>
      </c>
      <c r="C524" s="44" t="s">
        <v>487</v>
      </c>
      <c r="D524" s="7" t="s">
        <v>20</v>
      </c>
      <c r="E524" s="26">
        <v>40086</v>
      </c>
      <c r="H524" s="37">
        <f ca="1">IF(AND(B524="",NOT(A524="")),VLOOKUP(A524,TaskPlan!A:M,13,FALSE),"")</f>
        <v>40102</v>
      </c>
      <c r="I524" s="38" t="str">
        <f ca="1">IF(AND(B524="",NOT(A524="")),VLOOKUP(A524,TaskPlan!A:M,12,FALSE),"")</f>
        <v>Closed</v>
      </c>
      <c r="J524" s="39" t="str">
        <f ca="1">IF(AND(B524="",NOT(A524="")),VLOOKUP(A524,TaskPlan!A:L,2,FALSE),"")</f>
        <v>Neil</v>
      </c>
      <c r="K524" s="39" t="str">
        <f ca="1">IF(AND(B524="",NOT(A524="")),IF(NOT(LEFT(VLOOKUP(A524,TaskPlan!A:L,3,FALSE),1) = "0"),VLOOKUP(A524,TaskPlan!A:L,3,FALSE),""),"")</f>
        <v/>
      </c>
      <c r="L524" s="55" t="str">
        <f ca="1">IF(AND(B524="",NOT(A524="")),IF(NOT(LEFT(VLOOKUP(A524,TaskPlan!A:L,3,FALSE),1) = "0"),VLOOKUP(A524,TaskPlan!A:M,4,FALSE),""),"")</f>
        <v/>
      </c>
      <c r="M524" s="58" t="str">
        <f ca="1">IF(B524=".",1,IF(AND(B524="",NOT(A524="")),IF(VLOOKUP(A524,TaskPlan!A:L,5,FALSE)&gt;0,VLOOKUP(A524,TaskPlan!A:L,5,FALSE),""),""))</f>
        <v/>
      </c>
      <c r="N524" s="1" t="str">
        <f ca="1">IF(ISNA(VLOOKUP(A524,Projects!B:B,1,FALSE)),"","Yes")</f>
        <v/>
      </c>
    </row>
    <row r="525" spans="1:14" hidden="1" outlineLevel="1">
      <c r="A525" s="43" t="s">
        <v>934</v>
      </c>
      <c r="C525" s="44" t="s">
        <v>935</v>
      </c>
      <c r="D525" s="7" t="s">
        <v>415</v>
      </c>
      <c r="E525" s="26">
        <v>40233</v>
      </c>
      <c r="F525" s="25">
        <v>1</v>
      </c>
      <c r="G525" s="28" t="s">
        <v>1213</v>
      </c>
      <c r="H525" s="37">
        <f ca="1">IF(AND(B525="",NOT(A525="")),VLOOKUP(A525,TaskPlan!A:M,13,FALSE),"")</f>
        <v>40233</v>
      </c>
      <c r="I525" s="38" t="str">
        <f ca="1">IF(AND(B525="",NOT(A525="")),VLOOKUP(A525,TaskPlan!A:M,12,FALSE),"")</f>
        <v>Not Started</v>
      </c>
      <c r="J525" s="39" t="str">
        <f ca="1">IF(AND(B525="",NOT(A525="")),VLOOKUP(A525,TaskPlan!A:L,2,FALSE),"")</f>
        <v>Unassigned</v>
      </c>
      <c r="K525" s="39" t="str">
        <f ca="1">IF(AND(B525="",NOT(A525="")),IF(NOT(LEFT(VLOOKUP(A525,TaskPlan!A:L,3,FALSE),1) = "0"),VLOOKUP(A525,TaskPlan!A:L,3,FALSE),""),"")</f>
        <v>2-LOW</v>
      </c>
      <c r="L525" s="55">
        <f ca="1">IF(AND(B525="",NOT(A525="")),IF(NOT(LEFT(VLOOKUP(A525,TaskPlan!A:L,3,FALSE),1) = "0"),VLOOKUP(A525,TaskPlan!A:M,4,FALSE),""),"")</f>
        <v>0</v>
      </c>
      <c r="M525" s="58" t="str">
        <f ca="1">IF(B525=".",1,IF(AND(B525="",NOT(A525="")),IF(VLOOKUP(A525,TaskPlan!A:L,5,FALSE)&gt;0,VLOOKUP(A525,TaskPlan!A:L,5,FALSE),""),""))</f>
        <v/>
      </c>
      <c r="N525" s="1" t="str">
        <f ca="1">IF(ISNA(VLOOKUP(A525,Projects!B:B,1,FALSE)),"","Yes")</f>
        <v/>
      </c>
    </row>
    <row r="526" spans="1:14" hidden="1" outlineLevel="1">
      <c r="A526" s="43" t="s">
        <v>434</v>
      </c>
      <c r="B526" s="1" t="s">
        <v>15</v>
      </c>
      <c r="C526" s="45" t="s">
        <v>435</v>
      </c>
      <c r="D526" s="7"/>
      <c r="E526" s="26"/>
      <c r="H526" s="37" t="str">
        <f ca="1">IF(AND(B526="",NOT(A526="")),VLOOKUP(A526,TaskPlan!A:M,13,FALSE),"")</f>
        <v/>
      </c>
      <c r="I526" s="38" t="str">
        <f ca="1">IF(AND(B526="",NOT(A526="")),VLOOKUP(A526,TaskPlan!A:M,12,FALSE),"")</f>
        <v/>
      </c>
      <c r="J526" s="39" t="str">
        <f ca="1">IF(AND(B526="",NOT(A526="")),VLOOKUP(A526,TaskPlan!A:L,2,FALSE),"")</f>
        <v/>
      </c>
      <c r="K526" s="39" t="str">
        <f ca="1">IF(AND(B526="",NOT(A526="")),IF(NOT(LEFT(VLOOKUP(A526,TaskPlan!A:L,3,FALSE),1) = "0"),VLOOKUP(A526,TaskPlan!A:L,3,FALSE),""),"")</f>
        <v/>
      </c>
      <c r="L526" s="55" t="str">
        <f ca="1">IF(AND(B526="",NOT(A526="")),IF(NOT(LEFT(VLOOKUP(A526,TaskPlan!A:L,3,FALSE),1) = "0"),VLOOKUP(A526,TaskPlan!A:M,4,FALSE),""),"")</f>
        <v/>
      </c>
      <c r="N526" s="1" t="str">
        <f ca="1">IF(ISNA(VLOOKUP(A526,Projects!B:B,1,FALSE)),"","Yes")</f>
        <v/>
      </c>
    </row>
    <row r="527" spans="1:14" hidden="1" outlineLevel="1">
      <c r="A527" s="43" t="s">
        <v>436</v>
      </c>
      <c r="C527" s="44" t="s">
        <v>437</v>
      </c>
      <c r="D527" s="7" t="s">
        <v>20</v>
      </c>
      <c r="E527" s="26">
        <v>40053</v>
      </c>
      <c r="H527" s="37">
        <f ca="1">IF(AND(B527="",NOT(A527="")),VLOOKUP(A527,TaskPlan!A:M,13,FALSE),"")</f>
        <v>40074</v>
      </c>
      <c r="I527" s="38" t="str">
        <f ca="1">IF(AND(B527="",NOT(A527="")),VLOOKUP(A527,TaskPlan!A:M,12,FALSE),"")</f>
        <v>Closed</v>
      </c>
      <c r="J527" s="39" t="str">
        <f ca="1">IF(AND(B527="",NOT(A527="")),VLOOKUP(A527,TaskPlan!A:L,2,FALSE),"")</f>
        <v>Neil</v>
      </c>
      <c r="K527" s="39" t="str">
        <f ca="1">IF(AND(B527="",NOT(A527="")),IF(NOT(LEFT(VLOOKUP(A527,TaskPlan!A:L,3,FALSE),1) = "0"),VLOOKUP(A527,TaskPlan!A:L,3,FALSE),""),"")</f>
        <v/>
      </c>
      <c r="L527" s="55" t="str">
        <f ca="1">IF(AND(B527="",NOT(A527="")),IF(NOT(LEFT(VLOOKUP(A527,TaskPlan!A:L,3,FALSE),1) = "0"),VLOOKUP(A527,TaskPlan!A:M,4,FALSE),""),"")</f>
        <v/>
      </c>
      <c r="M527" s="58" t="str">
        <f ca="1">IF(B527=".",1,IF(AND(B527="",NOT(A527="")),IF(VLOOKUP(A527,TaskPlan!A:L,5,FALSE)&gt;0,VLOOKUP(A527,TaskPlan!A:L,5,FALSE),""),""))</f>
        <v/>
      </c>
      <c r="N527" s="1" t="str">
        <f ca="1">IF(ISNA(VLOOKUP(A527,Projects!B:B,1,FALSE)),"","Yes")</f>
        <v/>
      </c>
    </row>
    <row r="528" spans="1:14" hidden="1" outlineLevel="1">
      <c r="A528" s="43" t="s">
        <v>482</v>
      </c>
      <c r="C528" s="44" t="s">
        <v>483</v>
      </c>
      <c r="D528" s="7" t="s">
        <v>20</v>
      </c>
      <c r="E528" s="26">
        <v>40077</v>
      </c>
      <c r="H528" s="37">
        <f ca="1">IF(AND(B528="",NOT(A528="")),VLOOKUP(A528,TaskPlan!A:M,13,FALSE),"")</f>
        <v>40078</v>
      </c>
      <c r="I528" s="38" t="str">
        <f ca="1">IF(AND(B528="",NOT(A528="")),VLOOKUP(A528,TaskPlan!A:M,12,FALSE),"")</f>
        <v>Closed</v>
      </c>
      <c r="J528" s="39" t="str">
        <f ca="1">IF(AND(B528="",NOT(A528="")),VLOOKUP(A528,TaskPlan!A:L,2,FALSE),"")</f>
        <v>Neil</v>
      </c>
      <c r="K528" s="39" t="str">
        <f ca="1">IF(AND(B528="",NOT(A528="")),IF(NOT(LEFT(VLOOKUP(A528,TaskPlan!A:L,3,FALSE),1) = "0"),VLOOKUP(A528,TaskPlan!A:L,3,FALSE),""),"")</f>
        <v/>
      </c>
      <c r="L528" s="55" t="str">
        <f ca="1">IF(AND(B528="",NOT(A528="")),IF(NOT(LEFT(VLOOKUP(A528,TaskPlan!A:L,3,FALSE),1) = "0"),VLOOKUP(A528,TaskPlan!A:M,4,FALSE),""),"")</f>
        <v/>
      </c>
      <c r="M528" s="58" t="str">
        <f ca="1">IF(B528=".",1,IF(AND(B528="",NOT(A528="")),IF(VLOOKUP(A528,TaskPlan!A:L,5,FALSE)&gt;0,VLOOKUP(A528,TaskPlan!A:L,5,FALSE),""),""))</f>
        <v/>
      </c>
      <c r="N528" s="1" t="str">
        <f ca="1">IF(ISNA(VLOOKUP(A528,Projects!B:B,1,FALSE)),"","Yes")</f>
        <v/>
      </c>
    </row>
    <row r="529" spans="1:14" hidden="1" outlineLevel="1">
      <c r="A529" s="43" t="s">
        <v>540</v>
      </c>
      <c r="C529" s="44" t="s">
        <v>541</v>
      </c>
      <c r="D529" s="7" t="s">
        <v>20</v>
      </c>
      <c r="E529" s="26">
        <v>40102</v>
      </c>
      <c r="H529" s="37">
        <f ca="1">IF(AND(B529="",NOT(A529="")),VLOOKUP(A529,TaskPlan!A:M,13,FALSE),"")</f>
        <v>40123</v>
      </c>
      <c r="I529" s="38" t="str">
        <f ca="1">IF(AND(B529="",NOT(A529="")),VLOOKUP(A529,TaskPlan!A:M,12,FALSE),"")</f>
        <v>Closed</v>
      </c>
      <c r="J529" s="39" t="str">
        <f ca="1">IF(AND(B529="",NOT(A529="")),VLOOKUP(A529,TaskPlan!A:L,2,FALSE),"")</f>
        <v>Neil</v>
      </c>
      <c r="K529" s="39" t="str">
        <f ca="1">IF(AND(B529="",NOT(A529="")),IF(NOT(LEFT(VLOOKUP(A529,TaskPlan!A:L,3,FALSE),1) = "0"),VLOOKUP(A529,TaskPlan!A:L,3,FALSE),""),"")</f>
        <v/>
      </c>
      <c r="L529" s="55" t="str">
        <f ca="1">IF(AND(B529="",NOT(A529="")),IF(NOT(LEFT(VLOOKUP(A529,TaskPlan!A:L,3,FALSE),1) = "0"),VLOOKUP(A529,TaskPlan!A:M,4,FALSE),""),"")</f>
        <v/>
      </c>
      <c r="M529" s="58" t="str">
        <f ca="1">IF(B529=".",1,IF(AND(B529="",NOT(A529="")),IF(VLOOKUP(A529,TaskPlan!A:L,5,FALSE)&gt;0,VLOOKUP(A529,TaskPlan!A:L,5,FALSE),""),""))</f>
        <v/>
      </c>
      <c r="N529" s="1" t="str">
        <f ca="1">IF(ISNA(VLOOKUP(A529,Projects!B:B,1,FALSE)),"","Yes")</f>
        <v/>
      </c>
    </row>
    <row r="530" spans="1:14" hidden="1" outlineLevel="1">
      <c r="A530" s="43" t="s">
        <v>767</v>
      </c>
      <c r="C530" s="44" t="s">
        <v>768</v>
      </c>
      <c r="D530" s="7" t="s">
        <v>326</v>
      </c>
      <c r="E530" s="26">
        <v>40438</v>
      </c>
      <c r="F530" s="25">
        <v>2</v>
      </c>
      <c r="G530" s="28" t="s">
        <v>1099</v>
      </c>
      <c r="H530" s="37">
        <f ca="1">IF(AND(B530="",NOT(A530="")),VLOOKUP(A530,TaskPlan!A:M,13,FALSE),"")</f>
        <v>40553</v>
      </c>
      <c r="I530" s="38" t="str">
        <f ca="1">IF(AND(B530="",NOT(A530="")),VLOOKUP(A530,TaskPlan!A:M,12,FALSE),"")</f>
        <v>Not Started</v>
      </c>
      <c r="J530" s="39" t="str">
        <f ca="1">IF(AND(B530="",NOT(A530="")),VLOOKUP(A530,TaskPlan!A:L,2,FALSE),"")</f>
        <v>Sreevani</v>
      </c>
      <c r="K530" s="39" t="str">
        <f ca="1">IF(AND(B530="",NOT(A530="")),IF(NOT(LEFT(VLOOKUP(A530,TaskPlan!A:L,3,FALSE),1) = "0"),VLOOKUP(A530,TaskPlan!A:L,3,FALSE),""),"")</f>
        <v>2-LOW</v>
      </c>
      <c r="L530" s="55">
        <f ca="1">IF(AND(B530="",NOT(A530="")),IF(NOT(LEFT(VLOOKUP(A530,TaskPlan!A:L,3,FALSE),1) = "0"),VLOOKUP(A530,TaskPlan!A:M,4,FALSE),""),"")</f>
        <v>0</v>
      </c>
      <c r="M530" s="58" t="str">
        <f ca="1">IF(B530=".",1,IF(AND(B530="",NOT(A530="")),IF(VLOOKUP(A530,TaskPlan!A:L,5,FALSE)&gt;0,VLOOKUP(A530,TaskPlan!A:L,5,FALSE),""),""))</f>
        <v/>
      </c>
      <c r="N530" s="1" t="str">
        <f ca="1">IF(ISNA(VLOOKUP(A530,Projects!B:B,1,FALSE)),"","Yes")</f>
        <v/>
      </c>
    </row>
    <row r="531" spans="1:14" hidden="1" outlineLevel="1">
      <c r="A531" s="43" t="s">
        <v>1088</v>
      </c>
      <c r="C531" s="44" t="s">
        <v>1089</v>
      </c>
      <c r="D531" s="7" t="s">
        <v>20</v>
      </c>
      <c r="E531" s="26">
        <v>40288</v>
      </c>
      <c r="F531" s="25">
        <v>7</v>
      </c>
      <c r="G531" s="28" t="s">
        <v>1099</v>
      </c>
      <c r="H531" s="37">
        <f ca="1">IF(AND(B531="",NOT(A531="")),VLOOKUP(A531,TaskPlan!A:M,13,FALSE),"")</f>
        <v>40498</v>
      </c>
      <c r="I531" s="38" t="str">
        <f ca="1">IF(AND(B531="",NOT(A531="")),VLOOKUP(A531,TaskPlan!A:M,12,FALSE),"")</f>
        <v>Closed</v>
      </c>
      <c r="J531" s="39" t="str">
        <f ca="1">IF(AND(B531="",NOT(A531="")),VLOOKUP(A531,TaskPlan!A:L,2,FALSE),"")</f>
        <v>Sreevani</v>
      </c>
      <c r="K531" s="39" t="str">
        <f ca="1">IF(AND(B531="",NOT(A531="")),IF(NOT(LEFT(VLOOKUP(A531,TaskPlan!A:L,3,FALSE),1) = "0"),VLOOKUP(A531,TaskPlan!A:L,3,FALSE),""),"")</f>
        <v/>
      </c>
      <c r="L531" s="55" t="str">
        <f ca="1">IF(AND(B531="",NOT(A531="")),IF(NOT(LEFT(VLOOKUP(A531,TaskPlan!A:L,3,FALSE),1) = "0"),VLOOKUP(A531,TaskPlan!A:M,4,FALSE),""),"")</f>
        <v/>
      </c>
      <c r="N531" s="1" t="str">
        <f ca="1">IF(ISNA(VLOOKUP(A531,Projects!B:B,1,FALSE)),"","Yes")</f>
        <v>Yes</v>
      </c>
    </row>
    <row r="532" spans="1:14" hidden="1" outlineLevel="1">
      <c r="A532" s="43" t="s">
        <v>1882</v>
      </c>
      <c r="C532" s="44" t="s">
        <v>1883</v>
      </c>
      <c r="D532" s="7" t="s">
        <v>366</v>
      </c>
      <c r="E532" s="26">
        <v>40563</v>
      </c>
      <c r="F532" s="25">
        <v>1</v>
      </c>
      <c r="G532" s="28" t="s">
        <v>1100</v>
      </c>
      <c r="H532" s="37">
        <f ca="1">IF(AND(B532="",NOT(A532="")),VLOOKUP(A532,TaskPlan!A:M,13,FALSE),"")</f>
        <v>40563</v>
      </c>
      <c r="I532" s="38" t="str">
        <f ca="1">IF(AND(B532="",NOT(A532="")),VLOOKUP(A532,TaskPlan!A:M,12,FALSE),"")</f>
        <v>Not Started</v>
      </c>
      <c r="J532" s="39" t="str">
        <f ca="1">IF(AND(B532="",NOT(A532="")),VLOOKUP(A532,TaskPlan!A:L,2,FALSE),"")</f>
        <v>Neil</v>
      </c>
      <c r="K532" s="39" t="str">
        <f ca="1">IF(AND(B532="",NOT(A532="")),IF(NOT(LEFT(VLOOKUP(A532,TaskPlan!A:L,3,FALSE),1) = "0"),VLOOKUP(A532,TaskPlan!A:L,3,FALSE),""),"")</f>
        <v>2-LOW</v>
      </c>
      <c r="L532" s="55">
        <f ca="1">IF(AND(B532="",NOT(A532="")),IF(NOT(LEFT(VLOOKUP(A532,TaskPlan!A:L,3,FALSE),1) = "0"),VLOOKUP(A532,TaskPlan!A:M,4,FALSE),""),"")</f>
        <v>0</v>
      </c>
      <c r="N532" s="1" t="str">
        <f ca="1">IF(ISNA(VLOOKUP(A532,Projects!B:B,1,FALSE)),"","Yes")</f>
        <v/>
      </c>
    </row>
    <row r="533" spans="1:14" hidden="1" outlineLevel="1">
      <c r="A533" s="43" t="s">
        <v>534</v>
      </c>
      <c r="B533" s="7" t="s">
        <v>15</v>
      </c>
      <c r="C533" s="45" t="s">
        <v>535</v>
      </c>
      <c r="E533" s="26"/>
      <c r="H533" s="37" t="str">
        <f ca="1">IF(AND(B533="",NOT(A533="")),VLOOKUP(A533,TaskPlan!A:M,13,FALSE),"")</f>
        <v/>
      </c>
      <c r="I533" s="38" t="str">
        <f ca="1">IF(AND(B533="",NOT(A533="")),VLOOKUP(A533,TaskPlan!A:M,12,FALSE),"")</f>
        <v/>
      </c>
      <c r="J533" s="39" t="str">
        <f ca="1">IF(AND(B533="",NOT(A533="")),VLOOKUP(A533,TaskPlan!A:L,2,FALSE),"")</f>
        <v/>
      </c>
      <c r="K533" s="39" t="str">
        <f ca="1">IF(AND(B533="",NOT(A533="")),IF(NOT(LEFT(VLOOKUP(A533,TaskPlan!A:L,3,FALSE),1) = "0"),VLOOKUP(A533,TaskPlan!A:L,3,FALSE),""),"")</f>
        <v/>
      </c>
      <c r="L533" s="55" t="str">
        <f ca="1">IF(AND(B533="",NOT(A533="")),IF(NOT(LEFT(VLOOKUP(A533,TaskPlan!A:L,3,FALSE),1) = "0"),VLOOKUP(A533,TaskPlan!A:M,4,FALSE),""),"")</f>
        <v/>
      </c>
      <c r="N533" s="1" t="str">
        <f ca="1">IF(ISNA(VLOOKUP(A533,Projects!B:B,1,FALSE)),"","Yes")</f>
        <v/>
      </c>
    </row>
    <row r="534" spans="1:14" hidden="1" outlineLevel="1">
      <c r="A534" s="43" t="s">
        <v>536</v>
      </c>
      <c r="B534" s="7"/>
      <c r="C534" s="44" t="s">
        <v>1453</v>
      </c>
      <c r="D534" s="7" t="s">
        <v>20</v>
      </c>
      <c r="E534" s="27">
        <v>40410</v>
      </c>
      <c r="F534" s="25">
        <v>2</v>
      </c>
      <c r="G534" s="28" t="s">
        <v>1099</v>
      </c>
      <c r="H534" s="37">
        <f ca="1">IF(AND(B534="",NOT(A534="")),VLOOKUP(A534,TaskPlan!A:M,13,FALSE),"")</f>
        <v>40417</v>
      </c>
      <c r="I534" s="38" t="str">
        <f ca="1">IF(AND(B534="",NOT(A534="")),VLOOKUP(A534,TaskPlan!A:M,12,FALSE),"")</f>
        <v>Closed</v>
      </c>
      <c r="J534" s="39" t="str">
        <f ca="1">IF(AND(B534="",NOT(A534="")),VLOOKUP(A534,TaskPlan!A:L,2,FALSE),"")</f>
        <v>Sachin</v>
      </c>
      <c r="K534" s="39" t="str">
        <f ca="1">IF(AND(B534="",NOT(A534="")),IF(NOT(LEFT(VLOOKUP(A534,TaskPlan!A:L,3,FALSE),1) = "0"),VLOOKUP(A534,TaskPlan!A:L,3,FALSE),""),"")</f>
        <v/>
      </c>
      <c r="L534" s="55" t="str">
        <f ca="1">IF(AND(B534="",NOT(A534="")),IF(NOT(LEFT(VLOOKUP(A534,TaskPlan!A:L,3,FALSE),1) = "0"),VLOOKUP(A534,TaskPlan!A:M,4,FALSE),""),"")</f>
        <v/>
      </c>
      <c r="M534" s="58" t="str">
        <f ca="1">IF(B534=".",1,IF(AND(B534="",NOT(A534="")),IF(VLOOKUP(A534,TaskPlan!A:L,5,FALSE)&gt;0,VLOOKUP(A534,TaskPlan!A:L,5,FALSE),""),""))</f>
        <v/>
      </c>
      <c r="N534" s="1" t="str">
        <f ca="1">IF(ISNA(VLOOKUP(A534,Projects!B:B,1,FALSE)),"","Yes")</f>
        <v>Yes</v>
      </c>
    </row>
    <row r="535" spans="1:14" hidden="1" outlineLevel="1">
      <c r="A535" s="43" t="s">
        <v>692</v>
      </c>
      <c r="B535" s="7"/>
      <c r="C535" s="44" t="s">
        <v>1448</v>
      </c>
      <c r="D535" s="7" t="s">
        <v>11</v>
      </c>
      <c r="E535" s="27">
        <v>40410</v>
      </c>
      <c r="F535" s="25">
        <v>1</v>
      </c>
      <c r="G535" s="28" t="s">
        <v>1099</v>
      </c>
      <c r="H535" s="37">
        <f ca="1">IF(AND(B535="",NOT(A535="")),VLOOKUP(A535,TaskPlan!A:M,13,FALSE),"")</f>
        <v>40417</v>
      </c>
      <c r="I535" s="38" t="str">
        <f ca="1">IF(AND(B535="",NOT(A535="")),VLOOKUP(A535,TaskPlan!A:M,12,FALSE),"")</f>
        <v>Closed</v>
      </c>
      <c r="J535" s="39" t="str">
        <f ca="1">IF(AND(B535="",NOT(A535="")),VLOOKUP(A535,TaskPlan!A:L,2,FALSE),"")</f>
        <v>All</v>
      </c>
      <c r="K535" s="39" t="str">
        <f ca="1">IF(AND(B535="",NOT(A535="")),IF(NOT(LEFT(VLOOKUP(A535,TaskPlan!A:L,3,FALSE),1) = "0"),VLOOKUP(A535,TaskPlan!A:L,3,FALSE),""),"")</f>
        <v/>
      </c>
      <c r="L535" s="55" t="str">
        <f ca="1">IF(AND(B535="",NOT(A535="")),IF(NOT(LEFT(VLOOKUP(A535,TaskPlan!A:L,3,FALSE),1) = "0"),VLOOKUP(A535,TaskPlan!A:M,4,FALSE),""),"")</f>
        <v/>
      </c>
      <c r="M535" s="58" t="str">
        <f ca="1">IF(B535=".",1,IF(AND(B535="",NOT(A535="")),IF(VLOOKUP(A535,TaskPlan!A:L,5,FALSE)&gt;0,VLOOKUP(A535,TaskPlan!A:L,5,FALSE),""),""))</f>
        <v/>
      </c>
      <c r="N535" s="1" t="str">
        <f ca="1">IF(ISNA(VLOOKUP(A535,Projects!B:B,1,FALSE)),"","Yes")</f>
        <v>Yes</v>
      </c>
    </row>
    <row r="536" spans="1:14" hidden="1" outlineLevel="1">
      <c r="A536" s="43" t="s">
        <v>1444</v>
      </c>
      <c r="B536" s="7"/>
      <c r="C536" s="44" t="s">
        <v>1449</v>
      </c>
      <c r="D536" s="7" t="s">
        <v>20</v>
      </c>
      <c r="E536" s="26">
        <v>40410</v>
      </c>
      <c r="F536" s="25">
        <v>7</v>
      </c>
      <c r="G536" s="28" t="s">
        <v>1099</v>
      </c>
      <c r="H536" s="37">
        <f ca="1">IF(AND(B536="",NOT(A536="")),VLOOKUP(A536,TaskPlan!A:M,13,FALSE),"")</f>
        <v>40428</v>
      </c>
      <c r="I536" s="38" t="str">
        <f ca="1">IF(AND(B536="",NOT(A536="")),VLOOKUP(A536,TaskPlan!A:M,12,FALSE),"")</f>
        <v>Closed</v>
      </c>
      <c r="J536" s="39" t="str">
        <f ca="1">IF(AND(B536="",NOT(A536="")),VLOOKUP(A536,TaskPlan!A:L,2,FALSE),"")</f>
        <v>Sachin</v>
      </c>
      <c r="K536" s="39" t="str">
        <f ca="1">IF(AND(B536="",NOT(A536="")),IF(NOT(LEFT(VLOOKUP(A536,TaskPlan!A:L,3,FALSE),1) = "0"),VLOOKUP(A536,TaskPlan!A:L,3,FALSE),""),"")</f>
        <v/>
      </c>
      <c r="L536" s="55" t="str">
        <f ca="1">IF(AND(B536="",NOT(A536="")),IF(NOT(LEFT(VLOOKUP(A536,TaskPlan!A:L,3,FALSE),1) = "0"),VLOOKUP(A536,TaskPlan!A:M,4,FALSE),""),"")</f>
        <v/>
      </c>
      <c r="M536" s="58" t="str">
        <f ca="1">IF(B536=".",1,IF(AND(B536="",NOT(A536="")),IF(VLOOKUP(A536,TaskPlan!A:L,5,FALSE)&gt;0,VLOOKUP(A536,TaskPlan!A:L,5,FALSE),""),""))</f>
        <v/>
      </c>
      <c r="N536" s="1" t="str">
        <f ca="1">IF(ISNA(VLOOKUP(A536,Projects!B:B,1,FALSE)),"","Yes")</f>
        <v>Yes</v>
      </c>
    </row>
    <row r="537" spans="1:14" hidden="1" outlineLevel="1">
      <c r="A537" s="43" t="s">
        <v>1445</v>
      </c>
      <c r="B537" s="7"/>
      <c r="C537" s="44" t="s">
        <v>1450</v>
      </c>
      <c r="D537" s="7" t="s">
        <v>415</v>
      </c>
      <c r="E537" s="26">
        <v>40410</v>
      </c>
      <c r="F537" s="25">
        <v>4</v>
      </c>
      <c r="G537" s="28" t="s">
        <v>1099</v>
      </c>
      <c r="H537" s="37">
        <f ca="1">IF(AND(B537="",NOT(A537="")),VLOOKUP(A537,TaskPlan!A:M,13,FALSE),"")</f>
        <v>40431</v>
      </c>
      <c r="I537" s="38" t="str">
        <f ca="1">IF(AND(B537="",NOT(A537="")),VLOOKUP(A537,TaskPlan!A:M,12,FALSE),"")</f>
        <v>Closed</v>
      </c>
      <c r="J537" s="39" t="str">
        <f ca="1">IF(AND(B537="",NOT(A537="")),VLOOKUP(A537,TaskPlan!A:L,2,FALSE),"")</f>
        <v>Sachin</v>
      </c>
      <c r="K537" s="39" t="str">
        <f ca="1">IF(AND(B537="",NOT(A537="")),IF(NOT(LEFT(VLOOKUP(A537,TaskPlan!A:L,3,FALSE),1) = "0"),VLOOKUP(A537,TaskPlan!A:L,3,FALSE),""),"")</f>
        <v/>
      </c>
      <c r="L537" s="55" t="str">
        <f ca="1">IF(AND(B537="",NOT(A537="")),IF(NOT(LEFT(VLOOKUP(A537,TaskPlan!A:L,3,FALSE),1) = "0"),VLOOKUP(A537,TaskPlan!A:M,4,FALSE),""),"")</f>
        <v/>
      </c>
      <c r="M537" s="58" t="str">
        <f ca="1">IF(B537=".",1,IF(AND(B537="",NOT(A537="")),IF(VLOOKUP(A537,TaskPlan!A:L,5,FALSE)&gt;0,VLOOKUP(A537,TaskPlan!A:L,5,FALSE),""),""))</f>
        <v/>
      </c>
      <c r="N537" s="1" t="str">
        <f ca="1">IF(ISNA(VLOOKUP(A537,Projects!B:B,1,FALSE)),"","Yes")</f>
        <v>Yes</v>
      </c>
    </row>
    <row r="538" spans="1:14" hidden="1" outlineLevel="1">
      <c r="A538" s="43" t="s">
        <v>1446</v>
      </c>
      <c r="B538" s="7"/>
      <c r="C538" s="44" t="s">
        <v>1451</v>
      </c>
      <c r="D538" s="7" t="s">
        <v>11</v>
      </c>
      <c r="E538" s="26">
        <v>40410</v>
      </c>
      <c r="F538" s="25">
        <v>1</v>
      </c>
      <c r="G538" s="28" t="s">
        <v>1099</v>
      </c>
      <c r="H538" s="37">
        <f ca="1">IF(AND(B538="",NOT(A538="")),VLOOKUP(A538,TaskPlan!A:M,13,FALSE),"")</f>
        <v>40443</v>
      </c>
      <c r="I538" s="38" t="str">
        <f ca="1">IF(AND(B538="",NOT(A538="")),VLOOKUP(A538,TaskPlan!A:M,12,FALSE),"")</f>
        <v>Closed</v>
      </c>
      <c r="J538" s="39" t="str">
        <f ca="1">IF(AND(B538="",NOT(A538="")),VLOOKUP(A538,TaskPlan!A:L,2,FALSE),"")</f>
        <v>All</v>
      </c>
      <c r="K538" s="39" t="str">
        <f ca="1">IF(AND(B538="",NOT(A538="")),IF(NOT(LEFT(VLOOKUP(A538,TaskPlan!A:L,3,FALSE),1) = "0"),VLOOKUP(A538,TaskPlan!A:L,3,FALSE),""),"")</f>
        <v/>
      </c>
      <c r="L538" s="55" t="str">
        <f ca="1">IF(AND(B538="",NOT(A538="")),IF(NOT(LEFT(VLOOKUP(A538,TaskPlan!A:L,3,FALSE),1) = "0"),VLOOKUP(A538,TaskPlan!A:M,4,FALSE),""),"")</f>
        <v/>
      </c>
      <c r="M538" s="58" t="str">
        <f ca="1">IF(B538=".",1,IF(AND(B538="",NOT(A538="")),IF(VLOOKUP(A538,TaskPlan!A:L,5,FALSE)&gt;0,VLOOKUP(A538,TaskPlan!A:L,5,FALSE),""),""))</f>
        <v/>
      </c>
      <c r="N538" s="1" t="str">
        <f ca="1">IF(ISNA(VLOOKUP(A538,Projects!B:B,1,FALSE)),"","Yes")</f>
        <v>Yes</v>
      </c>
    </row>
    <row r="539" spans="1:14" hidden="1" outlineLevel="1">
      <c r="A539" s="43" t="s">
        <v>1447</v>
      </c>
      <c r="B539" s="7"/>
      <c r="C539" s="44" t="s">
        <v>1452</v>
      </c>
      <c r="D539" s="7" t="s">
        <v>11</v>
      </c>
      <c r="E539" s="26">
        <v>40410</v>
      </c>
      <c r="F539" s="25">
        <v>1</v>
      </c>
      <c r="G539" s="28" t="s">
        <v>1099</v>
      </c>
      <c r="H539" s="37">
        <f ca="1">IF(AND(B539="",NOT(A539="")),VLOOKUP(A539,TaskPlan!A:M,13,FALSE),"")</f>
        <v>40479</v>
      </c>
      <c r="I539" s="38" t="str">
        <f ca="1">IF(AND(B539="",NOT(A539="")),VLOOKUP(A539,TaskPlan!A:M,12,FALSE),"")</f>
        <v>Closed</v>
      </c>
      <c r="J539" s="39" t="str">
        <f ca="1">IF(AND(B539="",NOT(A539="")),VLOOKUP(A539,TaskPlan!A:L,2,FALSE),"")</f>
        <v>Sachin</v>
      </c>
      <c r="K539" s="39" t="str">
        <f ca="1">IF(AND(B539="",NOT(A539="")),IF(NOT(LEFT(VLOOKUP(A539,TaskPlan!A:L,3,FALSE),1) = "0"),VLOOKUP(A539,TaskPlan!A:L,3,FALSE),""),"")</f>
        <v/>
      </c>
      <c r="L539" s="55" t="str">
        <f ca="1">IF(AND(B539="",NOT(A539="")),IF(NOT(LEFT(VLOOKUP(A539,TaskPlan!A:L,3,FALSE),1) = "0"),VLOOKUP(A539,TaskPlan!A:M,4,FALSE),""),"")</f>
        <v/>
      </c>
      <c r="M539" s="58" t="str">
        <f ca="1">IF(B539=".",1,IF(AND(B539="",NOT(A539="")),IF(VLOOKUP(A539,TaskPlan!A:L,5,FALSE)&gt;0,VLOOKUP(A539,TaskPlan!A:L,5,FALSE),""),""))</f>
        <v/>
      </c>
      <c r="N539" s="1" t="str">
        <f ca="1">IF(ISNA(VLOOKUP(A539,Projects!B:B,1,FALSE)),"","Yes")</f>
        <v>Yes</v>
      </c>
    </row>
    <row r="540" spans="1:14" hidden="1" outlineLevel="1">
      <c r="A540" s="43" t="s">
        <v>820</v>
      </c>
      <c r="B540" s="7" t="s">
        <v>15</v>
      </c>
      <c r="C540" s="45" t="s">
        <v>818</v>
      </c>
      <c r="E540" s="26"/>
      <c r="H540" s="37" t="str">
        <f ca="1">IF(AND(B540="",NOT(A540="")),VLOOKUP(A540,TaskPlan!A:M,13,FALSE),"")</f>
        <v/>
      </c>
      <c r="I540" s="38" t="str">
        <f ca="1">IF(AND(B540="",NOT(A540="")),VLOOKUP(A540,TaskPlan!A:M,12,FALSE),"")</f>
        <v/>
      </c>
      <c r="L540" s="55" t="str">
        <f ca="1">IF(AND(B540="",NOT(A540="")),IF(NOT(LEFT(VLOOKUP(A540,TaskPlan!A:L,3,FALSE),1) = "0"),VLOOKUP(A540,TaskPlan!A:M,4,FALSE),""),"")</f>
        <v/>
      </c>
      <c r="M540" s="58">
        <f ca="1">IF(B540=".",1,IF(AND(B540="",NOT(A540="")),IF(VLOOKUP(A540,TaskPlan!A:L,5,FALSE)&gt;0,VLOOKUP(A540,TaskPlan!A:L,5,FALSE),""),""))</f>
        <v>1</v>
      </c>
      <c r="N540" s="1" t="str">
        <f ca="1">IF(ISNA(VLOOKUP(A540,Projects!B:B,1,FALSE)),"","Yes")</f>
        <v/>
      </c>
    </row>
    <row r="541" spans="1:14" hidden="1" outlineLevel="1">
      <c r="A541" s="43" t="s">
        <v>819</v>
      </c>
      <c r="B541" s="7"/>
      <c r="C541" s="44" t="s">
        <v>832</v>
      </c>
      <c r="D541" s="7" t="s">
        <v>821</v>
      </c>
      <c r="E541" s="26">
        <v>40192</v>
      </c>
      <c r="F541" s="25">
        <v>2</v>
      </c>
      <c r="G541" s="28" t="s">
        <v>1099</v>
      </c>
      <c r="H541" s="37">
        <f ca="1">IF(AND(B541="",NOT(A541="")),VLOOKUP(A541,TaskPlan!A:M,13,FALSE),"")</f>
        <v>40353</v>
      </c>
      <c r="I541" s="38" t="str">
        <f ca="1">IF(AND(B541="",NOT(A541="")),VLOOKUP(A541,TaskPlan!A:M,12,FALSE),"")</f>
        <v>Closed</v>
      </c>
      <c r="J541" s="39" t="str">
        <f ca="1">IF(AND(B541="",NOT(A541="")),VLOOKUP(A541,TaskPlan!A:L,2,FALSE),"")</f>
        <v>Ruth</v>
      </c>
      <c r="K541" s="39" t="str">
        <f ca="1">IF(AND(B541="",NOT(A541="")),IF(NOT(LEFT(VLOOKUP(A541,TaskPlan!A:L,3,FALSE),1) = "0"),VLOOKUP(A541,TaskPlan!A:L,3,FALSE),""),"")</f>
        <v/>
      </c>
      <c r="L541" s="55" t="str">
        <f ca="1">IF(AND(B541="",NOT(A541="")),IF(NOT(LEFT(VLOOKUP(A541,TaskPlan!A:L,3,FALSE),1) = "0"),VLOOKUP(A541,TaskPlan!A:M,4,FALSE),""),"")</f>
        <v/>
      </c>
      <c r="M541" s="58" t="str">
        <f ca="1">IF(B541=".",1,IF(AND(B541="",NOT(A541="")),IF(VLOOKUP(A541,TaskPlan!A:L,5,FALSE)&gt;0,VLOOKUP(A541,TaskPlan!A:L,5,FALSE),""),""))</f>
        <v/>
      </c>
      <c r="N541" s="1" t="str">
        <f ca="1">IF(ISNA(VLOOKUP(A541,Projects!B:B,1,FALSE)),"","Yes")</f>
        <v/>
      </c>
    </row>
    <row r="542" spans="1:14" hidden="1" outlineLevel="1">
      <c r="A542" s="43" t="s">
        <v>828</v>
      </c>
      <c r="B542" s="7" t="s">
        <v>15</v>
      </c>
      <c r="C542" s="45" t="s">
        <v>829</v>
      </c>
      <c r="D542" s="7"/>
      <c r="E542" s="26"/>
      <c r="H542" s="37" t="str">
        <f ca="1">IF(AND(B542="",NOT(A542="")),VLOOKUP(A542,TaskPlan!A:M,13,FALSE),"")</f>
        <v/>
      </c>
      <c r="I542" s="38" t="str">
        <f ca="1">IF(AND(B542="",NOT(A542="")),VLOOKUP(A542,TaskPlan!A:M,12,FALSE),"")</f>
        <v/>
      </c>
      <c r="J542" s="39" t="str">
        <f ca="1">IF(AND(B542="",NOT(A542="")),VLOOKUP(A542,TaskPlan!A:L,2,FALSE),"")</f>
        <v/>
      </c>
      <c r="K542" s="39" t="str">
        <f ca="1">IF(AND(B542="",NOT(A542="")),IF(NOT(LEFT(VLOOKUP(A542,TaskPlan!A:L,3,FALSE),1) = "0"),VLOOKUP(A542,TaskPlan!A:L,3,FALSE),""),"")</f>
        <v/>
      </c>
      <c r="L542" s="55" t="str">
        <f ca="1">IF(AND(B542="",NOT(A542="")),IF(NOT(LEFT(VLOOKUP(A542,TaskPlan!A:L,3,FALSE),1) = "0"),VLOOKUP(A542,TaskPlan!A:M,4,FALSE),""),"")</f>
        <v/>
      </c>
      <c r="N542" s="1" t="str">
        <f ca="1">IF(ISNA(VLOOKUP(A542,Projects!B:B,1,FALSE)),"","Yes")</f>
        <v/>
      </c>
    </row>
    <row r="543" spans="1:14" hidden="1" outlineLevel="1">
      <c r="A543" s="43" t="s">
        <v>830</v>
      </c>
      <c r="B543" s="7"/>
      <c r="C543" s="44" t="s">
        <v>831</v>
      </c>
      <c r="D543" s="7" t="s">
        <v>20</v>
      </c>
      <c r="E543" s="26">
        <v>40192</v>
      </c>
      <c r="F543" s="25">
        <v>3</v>
      </c>
      <c r="G543" s="28" t="s">
        <v>1099</v>
      </c>
      <c r="H543" s="37">
        <f ca="1">IF(AND(B543="",NOT(A543="")),VLOOKUP(A543,TaskPlan!A:M,13,FALSE),"")</f>
        <v>40235</v>
      </c>
      <c r="I543" s="38" t="str">
        <f ca="1">IF(AND(B543="",NOT(A543="")),VLOOKUP(A543,TaskPlan!A:M,12,FALSE),"")</f>
        <v>Closed</v>
      </c>
      <c r="J543" s="39" t="str">
        <f ca="1">IF(AND(B543="",NOT(A543="")),VLOOKUP(A543,TaskPlan!A:L,2,FALSE),"")</f>
        <v>Ruth</v>
      </c>
      <c r="K543" s="39" t="str">
        <f ca="1">IF(AND(B543="",NOT(A543="")),IF(NOT(LEFT(VLOOKUP(A543,TaskPlan!A:L,3,FALSE),1) = "0"),VLOOKUP(A543,TaskPlan!A:L,3,FALSE),""),"")</f>
        <v/>
      </c>
      <c r="L543" s="55" t="str">
        <f ca="1">IF(AND(B543="",NOT(A543="")),IF(NOT(LEFT(VLOOKUP(A543,TaskPlan!A:L,3,FALSE),1) = "0"),VLOOKUP(A543,TaskPlan!A:M,4,FALSE),""),"")</f>
        <v/>
      </c>
      <c r="M543" s="58" t="str">
        <f ca="1">IF(B543=".",1,IF(AND(B543="",NOT(A543="")),IF(VLOOKUP(A543,TaskPlan!A:L,5,FALSE)&gt;0,VLOOKUP(A543,TaskPlan!A:L,5,FALSE),""),""))</f>
        <v/>
      </c>
      <c r="N543" s="1" t="str">
        <f ca="1">IF(ISNA(VLOOKUP(A543,Projects!B:B,1,FALSE)),"","Yes")</f>
        <v/>
      </c>
    </row>
    <row r="544" spans="1:14" hidden="1" outlineLevel="1">
      <c r="A544" s="43" t="s">
        <v>938</v>
      </c>
      <c r="B544" s="7"/>
      <c r="C544" s="44" t="s">
        <v>939</v>
      </c>
      <c r="D544" s="7" t="s">
        <v>415</v>
      </c>
      <c r="E544" s="26">
        <v>40245</v>
      </c>
      <c r="G544" s="28"/>
      <c r="H544" s="37">
        <f ca="1">IF(AND(B544="",NOT(A544="")),VLOOKUP(A544,TaskPlan!A:M,13,FALSE),"")</f>
        <v>40290</v>
      </c>
      <c r="I544" s="38" t="str">
        <f ca="1">IF(AND(B544="",NOT(A544="")),VLOOKUP(A544,TaskPlan!A:M,12,FALSE),"")</f>
        <v>Cancelled</v>
      </c>
      <c r="J544" s="39" t="str">
        <f ca="1">IF(AND(B544="",NOT(A544="")),VLOOKUP(A544,TaskPlan!A:L,2,FALSE),"")</f>
        <v>Ruth</v>
      </c>
      <c r="K544" s="39" t="str">
        <f ca="1">IF(AND(B544="",NOT(A544="")),IF(NOT(LEFT(VLOOKUP(A544,TaskPlan!A:L,3,FALSE),1) = "0"),VLOOKUP(A544,TaskPlan!A:L,3,FALSE),""),"")</f>
        <v/>
      </c>
      <c r="L544" s="55" t="str">
        <f ca="1">IF(AND(B544="",NOT(A544="")),IF(NOT(LEFT(VLOOKUP(A544,TaskPlan!A:L,3,FALSE),1) = "0"),VLOOKUP(A544,TaskPlan!A:M,4,FALSE),""),"")</f>
        <v/>
      </c>
      <c r="M544" s="58" t="str">
        <f ca="1">IF(B544=".",1,IF(AND(B544="",NOT(A544="")),IF(VLOOKUP(A544,TaskPlan!A:L,5,FALSE)&gt;0,VLOOKUP(A544,TaskPlan!A:L,5,FALSE),""),""))</f>
        <v/>
      </c>
      <c r="N544" s="1" t="str">
        <f ca="1">IF(ISNA(VLOOKUP(A544,Projects!B:B,1,FALSE)),"","Yes")</f>
        <v/>
      </c>
    </row>
    <row r="545" spans="1:14" hidden="1" outlineLevel="1">
      <c r="A545" s="43" t="s">
        <v>940</v>
      </c>
      <c r="B545" s="7"/>
      <c r="C545" s="44" t="s">
        <v>941</v>
      </c>
      <c r="D545" s="7" t="s">
        <v>415</v>
      </c>
      <c r="E545" s="26">
        <v>40235</v>
      </c>
      <c r="G545" s="28"/>
      <c r="H545" s="37">
        <f ca="1">IF(AND(B545="",NOT(A545="")),VLOOKUP(A545,TaskPlan!A:M,13,FALSE),"")</f>
        <v>40290</v>
      </c>
      <c r="I545" s="38" t="str">
        <f ca="1">IF(AND(B545="",NOT(A545="")),VLOOKUP(A545,TaskPlan!A:M,12,FALSE),"")</f>
        <v>Cancelled</v>
      </c>
      <c r="J545" s="39" t="str">
        <f ca="1">IF(AND(B545="",NOT(A545="")),VLOOKUP(A545,TaskPlan!A:L,2,FALSE),"")</f>
        <v>Ruth</v>
      </c>
      <c r="K545" s="39" t="str">
        <f ca="1">IF(AND(B545="",NOT(A545="")),IF(NOT(LEFT(VLOOKUP(A545,TaskPlan!A:L,3,FALSE),1) = "0"),VLOOKUP(A545,TaskPlan!A:L,3,FALSE),""),"")</f>
        <v/>
      </c>
      <c r="L545" s="55" t="str">
        <f ca="1">IF(AND(B545="",NOT(A545="")),IF(NOT(LEFT(VLOOKUP(A545,TaskPlan!A:L,3,FALSE),1) = "0"),VLOOKUP(A545,TaskPlan!A:M,4,FALSE),""),"")</f>
        <v/>
      </c>
      <c r="M545" s="58" t="str">
        <f ca="1">IF(B545=".",1,IF(AND(B545="",NOT(A545="")),IF(VLOOKUP(A545,TaskPlan!A:L,5,FALSE)&gt;0,VLOOKUP(A545,TaskPlan!A:L,5,FALSE),""),""))</f>
        <v/>
      </c>
      <c r="N545" s="1" t="str">
        <f ca="1">IF(ISNA(VLOOKUP(A545,Projects!B:B,1,FALSE)),"","Yes")</f>
        <v/>
      </c>
    </row>
    <row r="546" spans="1:14" hidden="1" outlineLevel="1">
      <c r="A546" s="43" t="s">
        <v>942</v>
      </c>
      <c r="B546" s="7"/>
      <c r="C546" s="44" t="s">
        <v>943</v>
      </c>
      <c r="D546" s="7" t="s">
        <v>415</v>
      </c>
      <c r="E546" s="26">
        <v>40235</v>
      </c>
      <c r="G546" s="28"/>
      <c r="H546" s="37">
        <f ca="1">IF(AND(B546="",NOT(A546="")),VLOOKUP(A546,TaskPlan!A:M,13,FALSE),"")</f>
        <v>40290</v>
      </c>
      <c r="I546" s="38" t="str">
        <f ca="1">IF(AND(B546="",NOT(A546="")),VLOOKUP(A546,TaskPlan!A:M,12,FALSE),"")</f>
        <v>Cancelled</v>
      </c>
      <c r="J546" s="39" t="str">
        <f ca="1">IF(AND(B546="",NOT(A546="")),VLOOKUP(A546,TaskPlan!A:L,2,FALSE),"")</f>
        <v>Ruth</v>
      </c>
      <c r="K546" s="39" t="str">
        <f ca="1">IF(AND(B546="",NOT(A546="")),IF(NOT(LEFT(VLOOKUP(A546,TaskPlan!A:L,3,FALSE),1) = "0"),VLOOKUP(A546,TaskPlan!A:L,3,FALSE),""),"")</f>
        <v/>
      </c>
      <c r="L546" s="55" t="str">
        <f ca="1">IF(AND(B546="",NOT(A546="")),IF(NOT(LEFT(VLOOKUP(A546,TaskPlan!A:L,3,FALSE),1) = "0"),VLOOKUP(A546,TaskPlan!A:M,4,FALSE),""),"")</f>
        <v/>
      </c>
      <c r="M546" s="58" t="str">
        <f ca="1">IF(B546=".",1,IF(AND(B546="",NOT(A546="")),IF(VLOOKUP(A546,TaskPlan!A:L,5,FALSE)&gt;0,VLOOKUP(A546,TaskPlan!A:L,5,FALSE),""),""))</f>
        <v/>
      </c>
      <c r="N546" s="1" t="str">
        <f ca="1">IF(ISNA(VLOOKUP(A546,Projects!B:B,1,FALSE)),"","Yes")</f>
        <v/>
      </c>
    </row>
    <row r="547" spans="1:14" hidden="1" outlineLevel="1">
      <c r="A547" s="43" t="s">
        <v>1167</v>
      </c>
      <c r="B547" s="7" t="s">
        <v>15</v>
      </c>
      <c r="C547" s="45" t="s">
        <v>1168</v>
      </c>
      <c r="D547" s="7"/>
      <c r="E547" s="26"/>
      <c r="L547" s="55"/>
      <c r="N547" s="1" t="str">
        <f ca="1">IF(ISNA(VLOOKUP(A547,Projects!B:B,1,FALSE)),"","Yes")</f>
        <v/>
      </c>
    </row>
    <row r="548" spans="1:14" hidden="1" outlineLevel="1">
      <c r="A548" s="43" t="s">
        <v>1169</v>
      </c>
      <c r="B548" s="7"/>
      <c r="C548" s="44" t="s">
        <v>1170</v>
      </c>
      <c r="D548" s="7" t="s">
        <v>415</v>
      </c>
      <c r="E548" s="26">
        <v>40319</v>
      </c>
      <c r="F548" s="25">
        <v>1</v>
      </c>
      <c r="G548" s="28" t="s">
        <v>1099</v>
      </c>
      <c r="H548" s="37">
        <f ca="1">IF(AND(B548="",NOT(A548="")),VLOOKUP(A548,TaskPlan!A:M,13,FALSE),"")</f>
        <v>40364</v>
      </c>
      <c r="I548" s="38" t="str">
        <f ca="1">IF(AND(B548="",NOT(A548="")),VLOOKUP(A548,TaskPlan!A:M,12,FALSE),"")</f>
        <v>Closed</v>
      </c>
      <c r="J548" s="39" t="str">
        <f ca="1">IF(AND(B548="",NOT(A548="")),VLOOKUP(A548,TaskPlan!A:L,2,FALSE),"")</f>
        <v>Neil</v>
      </c>
      <c r="K548" s="39" t="str">
        <f ca="1">IF(AND(B548="",NOT(A548="")),IF(NOT(LEFT(VLOOKUP(A548,TaskPlan!A:L,3,FALSE),1) = "0"),VLOOKUP(A548,TaskPlan!A:L,3,FALSE),""),"")</f>
        <v/>
      </c>
      <c r="L548" s="55" t="str">
        <f ca="1">IF(AND(B548="",NOT(A548="")),IF(NOT(LEFT(VLOOKUP(A548,TaskPlan!A:L,3,FALSE),1) = "0"),VLOOKUP(A548,TaskPlan!A:M,4,FALSE),""),"")</f>
        <v/>
      </c>
      <c r="N548" s="1" t="str">
        <f ca="1">IF(ISNA(VLOOKUP(A548,Projects!B:B,1,FALSE)),"","Yes")</f>
        <v/>
      </c>
    </row>
    <row r="549" spans="1:14" hidden="1" outlineLevel="1">
      <c r="A549" s="43" t="s">
        <v>1580</v>
      </c>
      <c r="B549" s="7" t="s">
        <v>15</v>
      </c>
      <c r="C549" s="45" t="s">
        <v>277</v>
      </c>
      <c r="D549" s="7"/>
      <c r="E549" s="26"/>
      <c r="G549" s="28"/>
      <c r="L549" s="55"/>
    </row>
    <row r="550" spans="1:14" ht="25.5" hidden="1" outlineLevel="1">
      <c r="A550" s="43" t="s">
        <v>1581</v>
      </c>
      <c r="B550" s="7"/>
      <c r="C550" s="44" t="s">
        <v>1582</v>
      </c>
      <c r="D550" s="7" t="s">
        <v>11</v>
      </c>
      <c r="E550" s="26">
        <v>40456</v>
      </c>
      <c r="F550" s="25">
        <v>5</v>
      </c>
      <c r="G550" s="28" t="s">
        <v>1099</v>
      </c>
      <c r="H550" s="37">
        <f ca="1">IF(AND(B550="",NOT(A550="")),VLOOKUP(A550,TaskPlan!A:M,13,FALSE),"")</f>
        <v>40456</v>
      </c>
      <c r="I550" s="38" t="str">
        <f ca="1">IF(AND(B550="",NOT(A550="")),VLOOKUP(A550,TaskPlan!A:M,12,FALSE),"")</f>
        <v>Not Started</v>
      </c>
      <c r="J550" s="39" t="str">
        <f ca="1">IF(AND(B550="",NOT(A550="")),VLOOKUP(A550,TaskPlan!A:L,2,FALSE),"")</f>
        <v>Unassigned</v>
      </c>
      <c r="K550" s="39" t="str">
        <f ca="1">IF(AND(B550="",NOT(A550="")),IF(NOT(LEFT(VLOOKUP(A550,TaskPlan!A:L,3,FALSE),1) = "0"),VLOOKUP(A550,TaskPlan!A:L,3,FALSE),""),"")</f>
        <v>3-MED</v>
      </c>
      <c r="L550" s="55">
        <f ca="1">IF(AND(B550="",NOT(A550="")),IF(NOT(LEFT(VLOOKUP(A550,TaskPlan!A:L,3,FALSE),1) = "0"),VLOOKUP(A550,TaskPlan!A:M,4,FALSE),""),"")</f>
        <v>0</v>
      </c>
      <c r="N550" s="1" t="str">
        <f ca="1">IF(ISNA(VLOOKUP(A550,Projects!B:B,1,FALSE)),"","Yes")</f>
        <v/>
      </c>
    </row>
    <row r="551" spans="1:14" hidden="1" outlineLevel="1">
      <c r="A551" s="43" t="s">
        <v>1690</v>
      </c>
      <c r="B551" s="7"/>
      <c r="C551" s="44" t="s">
        <v>1691</v>
      </c>
      <c r="D551" s="7" t="s">
        <v>11</v>
      </c>
      <c r="E551" s="26">
        <v>40498</v>
      </c>
      <c r="F551" s="25">
        <v>1</v>
      </c>
      <c r="G551" s="28" t="s">
        <v>1099</v>
      </c>
      <c r="H551" s="37">
        <f ca="1">IF(AND(B551="",NOT(A551="")),VLOOKUP(A551,TaskPlan!A:M,13,FALSE),"")</f>
        <v>40568</v>
      </c>
      <c r="I551" s="38" t="str">
        <f ca="1">IF(AND(B551="",NOT(A551="")),VLOOKUP(A551,TaskPlan!A:M,12,FALSE),"")</f>
        <v>Not Started</v>
      </c>
      <c r="J551" s="39" t="str">
        <f ca="1">IF(AND(B551="",NOT(A551="")),VLOOKUP(A551,TaskPlan!A:L,2,FALSE),"")</f>
        <v>Pramendra</v>
      </c>
      <c r="K551" s="39" t="str">
        <f ca="1">IF(AND(B551="",NOT(A551="")),IF(NOT(LEFT(VLOOKUP(A551,TaskPlan!A:L,3,FALSE),1) = "0"),VLOOKUP(A551,TaskPlan!A:L,3,FALSE),""),"")</f>
        <v>2-LOW</v>
      </c>
      <c r="L551" s="55">
        <f ca="1">IF(AND(B551="",NOT(A551="")),IF(NOT(LEFT(VLOOKUP(A551,TaskPlan!A:L,3,FALSE),1) = "0"),VLOOKUP(A551,TaskPlan!A:M,4,FALSE),""),"")</f>
        <v>0</v>
      </c>
      <c r="N551" s="1" t="str">
        <f ca="1">IF(ISNA(VLOOKUP(A551,Projects!B:B,1,FALSE)),"","Yes")</f>
        <v>Yes</v>
      </c>
    </row>
    <row r="552" spans="1:14" hidden="1" outlineLevel="1">
      <c r="A552" s="43" t="s">
        <v>1866</v>
      </c>
      <c r="B552" s="7"/>
      <c r="C552" s="44" t="s">
        <v>1867</v>
      </c>
      <c r="D552" s="7" t="s">
        <v>759</v>
      </c>
      <c r="E552" s="26">
        <v>40563</v>
      </c>
      <c r="F552" s="25">
        <v>2</v>
      </c>
      <c r="G552" s="28" t="s">
        <v>1099</v>
      </c>
      <c r="H552" s="37">
        <f ca="1">IF(AND(B552="",NOT(A552="")),VLOOKUP(A552,TaskPlan!A:M,13,FALSE),"")</f>
        <v>40589</v>
      </c>
      <c r="I552" s="38" t="str">
        <f ca="1">IF(AND(B552="",NOT(A552="")),VLOOKUP(A552,TaskPlan!A:M,12,FALSE),"")</f>
        <v>Closed</v>
      </c>
      <c r="J552" s="39" t="str">
        <f ca="1">IF(AND(B552="",NOT(A552="")),VLOOKUP(A552,TaskPlan!A:L,2,FALSE),"")</f>
        <v>Ruth</v>
      </c>
      <c r="K552" s="39" t="str">
        <f ca="1">IF(AND(B552="",NOT(A552="")),IF(NOT(LEFT(VLOOKUP(A552,TaskPlan!A:L,3,FALSE),1) = "0"),VLOOKUP(A552,TaskPlan!A:L,3,FALSE),""),"")</f>
        <v/>
      </c>
      <c r="L552" s="55" t="str">
        <f ca="1">IF(AND(B552="",NOT(A552="")),IF(NOT(LEFT(VLOOKUP(A552,TaskPlan!A:L,3,FALSE),1) = "0"),VLOOKUP(A552,TaskPlan!A:M,4,FALSE),""),"")</f>
        <v/>
      </c>
      <c r="N552" s="1" t="str">
        <f ca="1">IF(ISNA(VLOOKUP(A552,Projects!B:B,1,FALSE)),"","Yes")</f>
        <v/>
      </c>
    </row>
    <row r="553" spans="1:14" collapsed="1">
      <c r="A553" s="43"/>
      <c r="E553" s="26"/>
      <c r="H553" s="37" t="str">
        <f ca="1">IF(AND(B553="",NOT(A553="")),VLOOKUP(A553,TaskPlan!A:M,13,FALSE),"")</f>
        <v/>
      </c>
      <c r="I553" s="38" t="str">
        <f ca="1">IF(AND(B553="",NOT(A553="")),VLOOKUP(A553,TaskPlan!A:M,12,FALSE),"")</f>
        <v/>
      </c>
      <c r="J553" s="39" t="str">
        <f ca="1">IF(AND(B553="",NOT(A553="")),VLOOKUP(A553,TaskPlan!A:L,2,FALSE),"")</f>
        <v/>
      </c>
      <c r="K553" s="39" t="str">
        <f ca="1">IF(AND(B553="",NOT(A553="")),IF(NOT(LEFT(VLOOKUP(A553,TaskPlan!A:L,3,FALSE),1) = "0"),VLOOKUP(A553,TaskPlan!A:L,3,FALSE),""),"")</f>
        <v/>
      </c>
      <c r="L553" s="55" t="str">
        <f ca="1">IF(AND(B553="",NOT(A553="")),IF(NOT(LEFT(VLOOKUP(A553,TaskPlan!A:L,3,FALSE),1) = "0"),VLOOKUP(A553,TaskPlan!A:M,4,FALSE),""),"")</f>
        <v/>
      </c>
      <c r="M553" s="58" t="str">
        <f ca="1">IF(B553=".",1,IF(AND(B553="",NOT(A553="")),IF(VLOOKUP(A553,TaskPlan!A:L,5,FALSE)&gt;0,VLOOKUP(A553,TaskPlan!A:L,5,FALSE),""),""))</f>
        <v/>
      </c>
      <c r="N553" s="1" t="str">
        <f ca="1">IF(ISNA(VLOOKUP(A553,Projects!B:B,1,FALSE)),"","Yes")</f>
        <v/>
      </c>
    </row>
    <row r="554" spans="1:14" ht="15.75">
      <c r="A554" s="46" t="s">
        <v>72</v>
      </c>
      <c r="B554" s="1" t="s">
        <v>15</v>
      </c>
      <c r="C554" s="36" t="s">
        <v>75</v>
      </c>
      <c r="E554" s="26"/>
      <c r="H554" s="37" t="str">
        <f ca="1">IF(AND(B554="",NOT(A554="")),VLOOKUP(A554,TaskPlan!A:M,13,FALSE),"")</f>
        <v/>
      </c>
      <c r="I554" s="38" t="str">
        <f ca="1">IF(AND(B554="",NOT(A554="")),VLOOKUP(A554,TaskPlan!A:M,12,FALSE),"")</f>
        <v/>
      </c>
      <c r="J554" s="39" t="str">
        <f ca="1">IF(AND(B554="",NOT(A554="")),VLOOKUP(A554,TaskPlan!A:L,2,FALSE),"")</f>
        <v/>
      </c>
      <c r="K554" s="39" t="str">
        <f ca="1">IF(AND(B554="",NOT(A554="")),IF(NOT(LEFT(VLOOKUP(A554,TaskPlan!A:L,3,FALSE),1) = "0"),VLOOKUP(A554,TaskPlan!A:L,3,FALSE),""),"")</f>
        <v/>
      </c>
      <c r="L554" s="55" t="str">
        <f ca="1">IF(AND(B554="",NOT(A554="")),IF(NOT(LEFT(VLOOKUP(A554,TaskPlan!A:L,3,FALSE),1) = "0"),VLOOKUP(A554,TaskPlan!A:M,4,FALSE),""),"")</f>
        <v/>
      </c>
      <c r="N554" s="1" t="str">
        <f ca="1">IF(ISNA(VLOOKUP(A554,Projects!B:B,1,FALSE)),"","Yes")</f>
        <v/>
      </c>
    </row>
    <row r="555" spans="1:14" hidden="1" outlineLevel="1">
      <c r="A555" s="46" t="s">
        <v>74</v>
      </c>
      <c r="B555" s="1" t="s">
        <v>15</v>
      </c>
      <c r="C555" s="45" t="s">
        <v>73</v>
      </c>
      <c r="E555" s="26"/>
      <c r="H555" s="37" t="str">
        <f ca="1">IF(AND(B555="",NOT(A555="")),VLOOKUP(A555,TaskPlan!A:M,13,FALSE),"")</f>
        <v/>
      </c>
      <c r="I555" s="38" t="str">
        <f ca="1">IF(AND(B555="",NOT(A555="")),VLOOKUP(A555,TaskPlan!A:M,12,FALSE),"")</f>
        <v/>
      </c>
      <c r="J555" s="39" t="str">
        <f ca="1">IF(AND(B555="",NOT(A555="")),VLOOKUP(A555,TaskPlan!A:L,2,FALSE),"")</f>
        <v/>
      </c>
      <c r="K555" s="39" t="str">
        <f ca="1">IF(AND(B555="",NOT(A555="")),IF(NOT(LEFT(VLOOKUP(A555,TaskPlan!A:L,3,FALSE),1) = "0"),VLOOKUP(A555,TaskPlan!A:L,3,FALSE),""),"")</f>
        <v/>
      </c>
      <c r="L555" s="55" t="str">
        <f ca="1">IF(AND(B555="",NOT(A555="")),IF(NOT(LEFT(VLOOKUP(A555,TaskPlan!A:L,3,FALSE),1) = "0"),VLOOKUP(A555,TaskPlan!A:M,4,FALSE),""),"")</f>
        <v/>
      </c>
      <c r="N555" s="1" t="str">
        <f ca="1">IF(ISNA(VLOOKUP(A555,Projects!B:B,1,FALSE)),"","Yes")</f>
        <v/>
      </c>
    </row>
    <row r="556" spans="1:14" hidden="1" outlineLevel="1">
      <c r="A556" s="46" t="s">
        <v>76</v>
      </c>
      <c r="C556" s="42" t="s">
        <v>77</v>
      </c>
      <c r="D556" s="7" t="s">
        <v>20</v>
      </c>
      <c r="E556" s="26">
        <v>39926</v>
      </c>
      <c r="H556" s="37">
        <f ca="1">IF(AND(B556="",NOT(A556="")),VLOOKUP(A556,TaskPlan!A:M,13,FALSE),"")</f>
        <v>39946</v>
      </c>
      <c r="I556" s="38" t="str">
        <f ca="1">IF(AND(B556="",NOT(A556="")),VLOOKUP(A556,TaskPlan!A:M,12,FALSE),"")</f>
        <v>Closed</v>
      </c>
      <c r="J556" s="39" t="str">
        <f ca="1">IF(AND(B556="",NOT(A556="")),VLOOKUP(A556,TaskPlan!A:L,2,FALSE),"")</f>
        <v>David S</v>
      </c>
      <c r="K556" s="39" t="str">
        <f ca="1">IF(AND(B556="",NOT(A556="")),IF(NOT(LEFT(VLOOKUP(A556,TaskPlan!A:L,3,FALSE),1) = "0"),VLOOKUP(A556,TaskPlan!A:L,3,FALSE),""),"")</f>
        <v/>
      </c>
      <c r="L556" s="55" t="str">
        <f ca="1">IF(AND(B556="",NOT(A556="")),IF(NOT(LEFT(VLOOKUP(A556,TaskPlan!A:L,3,FALSE),1) = "0"),VLOOKUP(A556,TaskPlan!A:M,4,FALSE),""),"")</f>
        <v/>
      </c>
      <c r="M556" s="58" t="str">
        <f ca="1">IF(B556=".",1,IF(AND(B556="",NOT(A556="")),IF(VLOOKUP(A556,TaskPlan!A:L,5,FALSE)&gt;0,VLOOKUP(A556,TaskPlan!A:L,5,FALSE),""),""))</f>
        <v/>
      </c>
      <c r="N556" s="1" t="str">
        <f ca="1">IF(ISNA(VLOOKUP(A556,Projects!B:B,1,FALSE)),"","Yes")</f>
        <v/>
      </c>
    </row>
    <row r="557" spans="1:14" hidden="1" outlineLevel="1">
      <c r="A557" s="46" t="s">
        <v>78</v>
      </c>
      <c r="C557" s="44" t="s">
        <v>80</v>
      </c>
      <c r="D557" s="7" t="s">
        <v>45</v>
      </c>
      <c r="E557" s="26">
        <v>39917</v>
      </c>
      <c r="H557" s="37">
        <f ca="1">IF(AND(B557="",NOT(A557="")),VLOOKUP(A557,TaskPlan!A:M,13,FALSE),"")</f>
        <v>40239</v>
      </c>
      <c r="I557" s="38" t="str">
        <f ca="1">IF(AND(B557="",NOT(A557="")),VLOOKUP(A557,TaskPlan!A:M,12,FALSE),"")</f>
        <v>Closed</v>
      </c>
      <c r="J557" s="39" t="str">
        <f ca="1">IF(AND(B557="",NOT(A557="")),VLOOKUP(A557,TaskPlan!A:L,2,FALSE),"")</f>
        <v>David S</v>
      </c>
      <c r="K557" s="39" t="str">
        <f ca="1">IF(AND(B557="",NOT(A557="")),IF(NOT(LEFT(VLOOKUP(A557,TaskPlan!A:L,3,FALSE),1) = "0"),VLOOKUP(A557,TaskPlan!A:L,3,FALSE),""),"")</f>
        <v/>
      </c>
      <c r="L557" s="55" t="str">
        <f ca="1">IF(AND(B557="",NOT(A557="")),IF(NOT(LEFT(VLOOKUP(A557,TaskPlan!A:L,3,FALSE),1) = "0"),VLOOKUP(A557,TaskPlan!A:M,4,FALSE),""),"")</f>
        <v/>
      </c>
      <c r="M557" s="58" t="str">
        <f ca="1">IF(B557=".",1,IF(AND(B557="",NOT(A557="")),IF(VLOOKUP(A557,TaskPlan!A:L,5,FALSE)&gt;0,VLOOKUP(A557,TaskPlan!A:L,5,FALSE),""),""))</f>
        <v/>
      </c>
      <c r="N557" s="1" t="str">
        <f ca="1">IF(ISNA(VLOOKUP(A557,Projects!B:B,1,FALSE)),"","Yes")</f>
        <v/>
      </c>
    </row>
    <row r="558" spans="1:14" hidden="1" outlineLevel="1">
      <c r="A558" s="46" t="s">
        <v>79</v>
      </c>
      <c r="C558" s="44" t="s">
        <v>870</v>
      </c>
      <c r="D558" s="7" t="s">
        <v>20</v>
      </c>
      <c r="E558" s="26">
        <v>40205</v>
      </c>
      <c r="F558" s="25">
        <v>0</v>
      </c>
      <c r="H558" s="37">
        <f ca="1">IF(AND(B558="",NOT(A558="")),VLOOKUP(A558,TaskPlan!A:M,13,FALSE),"")</f>
        <v>40239</v>
      </c>
      <c r="I558" s="38" t="str">
        <f ca="1">IF(AND(B558="",NOT(A558="")),VLOOKUP(A558,TaskPlan!A:M,12,FALSE),"")</f>
        <v>Closed</v>
      </c>
      <c r="J558" s="39" t="str">
        <f ca="1">IF(AND(B558="",NOT(A558="")),VLOOKUP(A558,TaskPlan!A:L,2,FALSE),"")</f>
        <v>Michael C</v>
      </c>
      <c r="K558" s="39" t="str">
        <f ca="1">IF(AND(B558="",NOT(A558="")),IF(NOT(LEFT(VLOOKUP(A558,TaskPlan!A:L,3,FALSE),1) = "0"),VLOOKUP(A558,TaskPlan!A:L,3,FALSE),""),"")</f>
        <v/>
      </c>
      <c r="L558" s="55" t="str">
        <f ca="1">IF(AND(B558="",NOT(A558="")),IF(NOT(LEFT(VLOOKUP(A558,TaskPlan!A:L,3,FALSE),1) = "0"),VLOOKUP(A558,TaskPlan!A:M,4,FALSE),""),"")</f>
        <v/>
      </c>
      <c r="M558" s="58" t="str">
        <f ca="1">IF(B558=".",1,IF(AND(B558="",NOT(A558="")),IF(VLOOKUP(A558,TaskPlan!A:L,5,FALSE)&gt;0,VLOOKUP(A558,TaskPlan!A:L,5,FALSE),""),""))</f>
        <v/>
      </c>
      <c r="N558" s="1" t="str">
        <f ca="1">IF(ISNA(VLOOKUP(A558,Projects!B:B,1,FALSE)),"","Yes")</f>
        <v/>
      </c>
    </row>
    <row r="559" spans="1:14" hidden="1" outlineLevel="1">
      <c r="A559" s="43" t="s">
        <v>130</v>
      </c>
      <c r="C559" s="44" t="s">
        <v>131</v>
      </c>
      <c r="D559" s="7" t="s">
        <v>20</v>
      </c>
      <c r="E559" s="26">
        <v>39926</v>
      </c>
      <c r="H559" s="37">
        <f ca="1">IF(AND(B559="",NOT(A559="")),VLOOKUP(A559,TaskPlan!A:M,13,FALSE),"")</f>
        <v>39966</v>
      </c>
      <c r="I559" s="38" t="str">
        <f ca="1">IF(AND(B559="",NOT(A559="")),VLOOKUP(A559,TaskPlan!A:M,12,FALSE),"")</f>
        <v>Closed</v>
      </c>
      <c r="J559" s="39" t="str">
        <f ca="1">IF(AND(B559="",NOT(A559="")),VLOOKUP(A559,TaskPlan!A:L,2,FALSE),"")</f>
        <v>Neil</v>
      </c>
      <c r="K559" s="39" t="str">
        <f ca="1">IF(AND(B559="",NOT(A559="")),IF(NOT(LEFT(VLOOKUP(A559,TaskPlan!A:L,3,FALSE),1) = "0"),VLOOKUP(A559,TaskPlan!A:L,3,FALSE),""),"")</f>
        <v/>
      </c>
      <c r="L559" s="55" t="str">
        <f ca="1">IF(AND(B559="",NOT(A559="")),IF(NOT(LEFT(VLOOKUP(A559,TaskPlan!A:L,3,FALSE),1) = "0"),VLOOKUP(A559,TaskPlan!A:M,4,FALSE),""),"")</f>
        <v/>
      </c>
      <c r="M559" s="58" t="str">
        <f ca="1">IF(B559=".",1,IF(AND(B559="",NOT(A559="")),IF(VLOOKUP(A559,TaskPlan!A:L,5,FALSE)&gt;0,VLOOKUP(A559,TaskPlan!A:L,5,FALSE),""),""))</f>
        <v/>
      </c>
      <c r="N559" s="1" t="str">
        <f ca="1">IF(ISNA(VLOOKUP(A559,Projects!B:B,1,FALSE)),"","Yes")</f>
        <v/>
      </c>
    </row>
    <row r="560" spans="1:14" hidden="1" outlineLevel="1">
      <c r="A560" s="43" t="s">
        <v>156</v>
      </c>
      <c r="C560" s="44" t="s">
        <v>157</v>
      </c>
      <c r="D560" s="7" t="s">
        <v>11</v>
      </c>
      <c r="E560" s="26">
        <v>39933</v>
      </c>
      <c r="H560" s="37">
        <f ca="1">IF(AND(B560="",NOT(A560="")),VLOOKUP(A560,TaskPlan!A:M,13,FALSE),"")</f>
        <v>39946</v>
      </c>
      <c r="I560" s="38" t="str">
        <f ca="1">IF(AND(B560="",NOT(A560="")),VLOOKUP(A560,TaskPlan!A:M,12,FALSE),"")</f>
        <v>Closed</v>
      </c>
      <c r="J560" s="39" t="str">
        <f ca="1">IF(AND(B560="",NOT(A560="")),VLOOKUP(A560,TaskPlan!A:L,2,FALSE),"")</f>
        <v>David S</v>
      </c>
      <c r="K560" s="39" t="str">
        <f ca="1">IF(AND(B560="",NOT(A560="")),IF(NOT(LEFT(VLOOKUP(A560,TaskPlan!A:L,3,FALSE),1) = "0"),VLOOKUP(A560,TaskPlan!A:L,3,FALSE),""),"")</f>
        <v/>
      </c>
      <c r="L560" s="55" t="str">
        <f ca="1">IF(AND(B560="",NOT(A560="")),IF(NOT(LEFT(VLOOKUP(A560,TaskPlan!A:L,3,FALSE),1) = "0"),VLOOKUP(A560,TaskPlan!A:M,4,FALSE),""),"")</f>
        <v/>
      </c>
      <c r="M560" s="58" t="str">
        <f ca="1">IF(B560=".",1,IF(AND(B560="",NOT(A560="")),IF(VLOOKUP(A560,TaskPlan!A:L,5,FALSE)&gt;0,VLOOKUP(A560,TaskPlan!A:L,5,FALSE),""),""))</f>
        <v/>
      </c>
      <c r="N560" s="1" t="str">
        <f ca="1">IF(ISNA(VLOOKUP(A560,Projects!B:B,1,FALSE)),"","Yes")</f>
        <v/>
      </c>
    </row>
    <row r="561" spans="1:14" hidden="1" outlineLevel="1">
      <c r="A561" s="43" t="s">
        <v>198</v>
      </c>
      <c r="C561" s="44" t="s">
        <v>199</v>
      </c>
      <c r="D561" s="7" t="s">
        <v>11</v>
      </c>
      <c r="E561" s="26">
        <v>39948</v>
      </c>
      <c r="F561" s="25">
        <v>0.5</v>
      </c>
      <c r="G561" s="28" t="s">
        <v>289</v>
      </c>
      <c r="H561" s="37">
        <f ca="1">IF(AND(B561="",NOT(A561="")),VLOOKUP(A561,TaskPlan!A:M,13,FALSE),"")</f>
        <v>40254</v>
      </c>
      <c r="I561" s="38" t="str">
        <f ca="1">IF(AND(B561="",NOT(A561="")),VLOOKUP(A561,TaskPlan!A:M,12,FALSE),"")</f>
        <v>Support</v>
      </c>
      <c r="J561" s="39" t="str">
        <f ca="1">IF(AND(B561="",NOT(A561="")),VLOOKUP(A561,TaskPlan!A:L,2,FALSE),"")</f>
        <v>Neil</v>
      </c>
      <c r="K561" s="39" t="str">
        <f ca="1">IF(AND(B561="",NOT(A561="")),IF(NOT(LEFT(VLOOKUP(A561,TaskPlan!A:L,3,FALSE),1) = "0"),VLOOKUP(A561,TaskPlan!A:L,3,FALSE),""),"")</f>
        <v>2-LOW</v>
      </c>
      <c r="L561" s="55">
        <f ca="1">IF(AND(B561="",NOT(A561="")),IF(NOT(LEFT(VLOOKUP(A561,TaskPlan!A:L,3,FALSE),1) = "0"),VLOOKUP(A561,TaskPlan!A:M,4,FALSE),""),"")</f>
        <v>0</v>
      </c>
      <c r="M561" s="58" t="str">
        <f ca="1">IF(B561=".",1,IF(AND(B561="",NOT(A561="")),IF(VLOOKUP(A561,TaskPlan!A:L,5,FALSE)&gt;0,VLOOKUP(A561,TaskPlan!A:L,5,FALSE),""),""))</f>
        <v/>
      </c>
      <c r="N561" s="1" t="str">
        <f ca="1">IF(ISNA(VLOOKUP(A561,Projects!B:B,1,FALSE)),"","Yes")</f>
        <v/>
      </c>
    </row>
    <row r="562" spans="1:14" hidden="1" outlineLevel="1">
      <c r="A562" s="43" t="s">
        <v>396</v>
      </c>
      <c r="C562" s="44" t="s">
        <v>397</v>
      </c>
      <c r="D562" s="7" t="s">
        <v>11</v>
      </c>
      <c r="E562" s="26">
        <v>40032</v>
      </c>
      <c r="H562" s="37">
        <f ca="1">IF(AND(B562="",NOT(A562="")),VLOOKUP(A562,TaskPlan!A:M,13,FALSE),"")</f>
        <v>40134</v>
      </c>
      <c r="I562" s="38" t="str">
        <f ca="1">IF(AND(B562="",NOT(A562="")),VLOOKUP(A562,TaskPlan!A:M,12,FALSE),"")</f>
        <v>Closed</v>
      </c>
      <c r="J562" s="39" t="str">
        <f ca="1">IF(AND(B562="",NOT(A562="")),VLOOKUP(A562,TaskPlan!A:L,2,FALSE),"")</f>
        <v>Pramendra</v>
      </c>
      <c r="K562" s="39" t="str">
        <f ca="1">IF(AND(B562="",NOT(A562="")),IF(NOT(LEFT(VLOOKUP(A562,TaskPlan!A:L,3,FALSE),1) = "0"),VLOOKUP(A562,TaskPlan!A:L,3,FALSE),""),"")</f>
        <v/>
      </c>
      <c r="L562" s="55" t="str">
        <f ca="1">IF(AND(B562="",NOT(A562="")),IF(NOT(LEFT(VLOOKUP(A562,TaskPlan!A:L,3,FALSE),1) = "0"),VLOOKUP(A562,TaskPlan!A:M,4,FALSE),""),"")</f>
        <v/>
      </c>
      <c r="M562" s="58" t="str">
        <f ca="1">IF(B562=".",1,IF(AND(B562="",NOT(A562="")),IF(VLOOKUP(A562,TaskPlan!A:L,5,FALSE)&gt;0,VLOOKUP(A562,TaskPlan!A:L,5,FALSE),""),""))</f>
        <v/>
      </c>
      <c r="N562" s="1" t="str">
        <f ca="1">IF(ISNA(VLOOKUP(A562,Projects!B:B,1,FALSE)),"","Yes")</f>
        <v/>
      </c>
    </row>
    <row r="563" spans="1:14" hidden="1" outlineLevel="1">
      <c r="A563" s="43" t="s">
        <v>805</v>
      </c>
      <c r="C563" s="44" t="s">
        <v>806</v>
      </c>
      <c r="D563" s="7" t="s">
        <v>11</v>
      </c>
      <c r="E563" s="26">
        <v>40168</v>
      </c>
      <c r="F563" s="25">
        <v>2</v>
      </c>
      <c r="G563" s="25" t="s">
        <v>1098</v>
      </c>
      <c r="H563" s="37">
        <f ca="1">IF(AND(B563="",NOT(A563="")),VLOOKUP(A563,TaskPlan!A:M,13,FALSE),"")</f>
        <v>40520</v>
      </c>
      <c r="I563" s="38" t="str">
        <f ca="1">IF(AND(B563="",NOT(A563="")),VLOOKUP(A563,TaskPlan!A:M,12,FALSE),"")</f>
        <v>Cancelled</v>
      </c>
      <c r="J563" s="39" t="str">
        <f ca="1">IF(AND(B563="",NOT(A563="")),VLOOKUP(A563,TaskPlan!A:L,2,FALSE),"")</f>
        <v>Neil</v>
      </c>
      <c r="K563" s="39" t="str">
        <f ca="1">IF(AND(B563="",NOT(A563="")),IF(NOT(LEFT(VLOOKUP(A563,TaskPlan!A:L,3,FALSE),1) = "0"),VLOOKUP(A563,TaskPlan!A:L,3,FALSE),""),"")</f>
        <v/>
      </c>
      <c r="L563" s="55" t="str">
        <f ca="1">IF(AND(B563="",NOT(A563="")),IF(NOT(LEFT(VLOOKUP(A563,TaskPlan!A:L,3,FALSE),1) = "0"),VLOOKUP(A563,TaskPlan!A:M,4,FALSE),""),"")</f>
        <v/>
      </c>
      <c r="M563" s="58" t="str">
        <f ca="1">IF(B563=".",1,IF(AND(B563="",NOT(A563="")),IF(VLOOKUP(A563,TaskPlan!A:L,5,FALSE)&gt;0,VLOOKUP(A563,TaskPlan!A:L,5,FALSE),""),""))</f>
        <v/>
      </c>
      <c r="N563" s="1" t="str">
        <f ca="1">IF(ISNA(VLOOKUP(A563,Projects!B:B,1,FALSE)),"","Yes")</f>
        <v/>
      </c>
    </row>
    <row r="564" spans="1:14" hidden="1" outlineLevel="1">
      <c r="A564" s="43" t="s">
        <v>948</v>
      </c>
      <c r="C564" s="44" t="s">
        <v>1070</v>
      </c>
      <c r="D564" s="7" t="s">
        <v>11</v>
      </c>
      <c r="E564" s="27">
        <v>40284</v>
      </c>
      <c r="F564" s="25">
        <v>2</v>
      </c>
      <c r="G564" s="25" t="s">
        <v>1098</v>
      </c>
      <c r="H564" s="37">
        <f ca="1">IF(AND(B564="",NOT(A564="")),VLOOKUP(A564,TaskPlan!A:M,13,FALSE),"")</f>
        <v>40283</v>
      </c>
      <c r="I564" s="38" t="str">
        <f ca="1">IF(AND(B564="",NOT(A564="")),VLOOKUP(A564,TaskPlan!A:M,12,FALSE),"")</f>
        <v>Not started</v>
      </c>
      <c r="J564" s="39" t="str">
        <f ca="1">IF(AND(B564="",NOT(A564="")),VLOOKUP(A564,TaskPlan!A:L,2,FALSE),"")</f>
        <v>Michael C</v>
      </c>
      <c r="K564" s="39" t="str">
        <f ca="1">IF(AND(B564="",NOT(A564="")),IF(NOT(LEFT(VLOOKUP(A564,TaskPlan!A:L,3,FALSE),1) = "0"),VLOOKUP(A564,TaskPlan!A:L,3,FALSE),""),"")</f>
        <v>3-MED</v>
      </c>
      <c r="L564" s="55">
        <f ca="1">IF(AND(B564="",NOT(A564="")),IF(NOT(LEFT(VLOOKUP(A564,TaskPlan!A:L,3,FALSE),1) = "0"),VLOOKUP(A564,TaskPlan!A:M,4,FALSE),""),"")</f>
        <v>0</v>
      </c>
      <c r="M564" s="58" t="str">
        <f ca="1">IF(B564=".",1,IF(AND(B564="",NOT(A564="")),IF(VLOOKUP(A564,TaskPlan!A:L,5,FALSE)&gt;0,VLOOKUP(A564,TaskPlan!A:L,5,FALSE),""),""))</f>
        <v/>
      </c>
      <c r="N564" s="1" t="str">
        <f ca="1">IF(ISNA(VLOOKUP(A564,Projects!B:B,1,FALSE)),"","Yes")</f>
        <v/>
      </c>
    </row>
    <row r="565" spans="1:14" hidden="1" outlineLevel="1">
      <c r="A565" s="43" t="s">
        <v>1036</v>
      </c>
      <c r="C565" s="44" t="s">
        <v>1037</v>
      </c>
      <c r="D565" s="7" t="s">
        <v>11</v>
      </c>
      <c r="E565" s="26">
        <v>40274</v>
      </c>
      <c r="F565" s="25">
        <v>1</v>
      </c>
      <c r="G565" s="25" t="s">
        <v>1098</v>
      </c>
      <c r="H565" s="37">
        <f ca="1">IF(AND(B565="",NOT(A565="")),VLOOKUP(A565,TaskPlan!A:M,13,FALSE),"")</f>
        <v>40568</v>
      </c>
      <c r="I565" s="38" t="str">
        <f ca="1">IF(AND(B565="",NOT(A565="")),VLOOKUP(A565,TaskPlan!A:M,12,FALSE),"")</f>
        <v>In Progress</v>
      </c>
      <c r="J565" s="39" t="str">
        <f ca="1">IF(AND(B565="",NOT(A565="")),VLOOKUP(A565,TaskPlan!A:L,2,FALSE),"")</f>
        <v>Pramendra</v>
      </c>
      <c r="K565" s="39" t="str">
        <f ca="1">IF(AND(B565="",NOT(A565="")),IF(NOT(LEFT(VLOOKUP(A565,TaskPlan!A:L,3,FALSE),1) = "0"),VLOOKUP(A565,TaskPlan!A:L,3,FALSE),""),"")</f>
        <v>2-LOW</v>
      </c>
      <c r="L565" s="55">
        <f ca="1">IF(AND(B565="",NOT(A565="")),IF(NOT(LEFT(VLOOKUP(A565,TaskPlan!A:L,3,FALSE),1) = "0"),VLOOKUP(A565,TaskPlan!A:M,4,FALSE),""),"")</f>
        <v>0</v>
      </c>
      <c r="M565" s="58" t="str">
        <f ca="1">IF(B565=".",1,IF(AND(B565="",NOT(A565="")),IF(VLOOKUP(A565,TaskPlan!A:L,5,FALSE)&gt;0,VLOOKUP(A565,TaskPlan!A:L,5,FALSE),""),""))</f>
        <v/>
      </c>
      <c r="N565" s="1" t="str">
        <f ca="1">IF(ISNA(VLOOKUP(A565,Projects!B:B,1,FALSE)),"","Yes")</f>
        <v/>
      </c>
    </row>
    <row r="566" spans="1:14" hidden="1" outlineLevel="1">
      <c r="A566" s="43" t="s">
        <v>1833</v>
      </c>
      <c r="C566" s="44" t="s">
        <v>1834</v>
      </c>
      <c r="D566" s="7" t="s">
        <v>11</v>
      </c>
      <c r="E566" s="26">
        <v>40555</v>
      </c>
      <c r="F566" s="25">
        <v>10</v>
      </c>
      <c r="G566" s="25" t="s">
        <v>1098</v>
      </c>
      <c r="H566" s="37">
        <f ca="1">IF(AND(B566="",NOT(A566="")),VLOOKUP(A566,TaskPlan!A:M,13,FALSE),"")</f>
        <v>40555</v>
      </c>
      <c r="I566" s="38" t="str">
        <f ca="1">IF(AND(B566="",NOT(A566="")),VLOOKUP(A566,TaskPlan!A:M,12,FALSE),"")</f>
        <v>Not Started</v>
      </c>
      <c r="J566" s="39" t="str">
        <f ca="1">IF(AND(B566="",NOT(A566="")),VLOOKUP(A566,TaskPlan!A:L,2,FALSE),"")</f>
        <v>Michael C</v>
      </c>
      <c r="K566" s="39" t="str">
        <f ca="1">IF(AND(B566="",NOT(A566="")),IF(NOT(LEFT(VLOOKUP(A566,TaskPlan!A:L,3,FALSE),1) = "0"),VLOOKUP(A566,TaskPlan!A:L,3,FALSE),""),"")</f>
        <v>3-MED</v>
      </c>
      <c r="L566" s="55">
        <f ca="1">IF(AND(B566="",NOT(A566="")),IF(NOT(LEFT(VLOOKUP(A566,TaskPlan!A:L,3,FALSE),1) = "0"),VLOOKUP(A566,TaskPlan!A:M,4,FALSE),""),"")</f>
        <v>0</v>
      </c>
      <c r="M566" s="58" t="str">
        <f ca="1">IF(B566=".",1,IF(AND(B566="",NOT(A566="")),IF(VLOOKUP(A566,TaskPlan!A:L,5,FALSE)&gt;0,VLOOKUP(A566,TaskPlan!A:L,5,FALSE),""),""))</f>
        <v/>
      </c>
      <c r="N566" s="1" t="str">
        <f ca="1">IF(ISNA(VLOOKUP(A566,Projects!B:B,1,FALSE)),"","Yes")</f>
        <v>Yes</v>
      </c>
    </row>
    <row r="567" spans="1:14" hidden="1" outlineLevel="1">
      <c r="A567" s="46" t="s">
        <v>81</v>
      </c>
      <c r="B567" s="1" t="s">
        <v>15</v>
      </c>
      <c r="C567" s="45" t="s">
        <v>82</v>
      </c>
      <c r="E567" s="26"/>
      <c r="H567" s="37" t="str">
        <f ca="1">IF(AND(B567="",NOT(A567="")),VLOOKUP(A567,TaskPlan!A:M,13,FALSE),"")</f>
        <v/>
      </c>
      <c r="I567" s="38" t="str">
        <f ca="1">IF(AND(B567="",NOT(A567="")),VLOOKUP(A567,TaskPlan!A:M,12,FALSE),"")</f>
        <v/>
      </c>
      <c r="J567" s="39" t="str">
        <f ca="1">IF(AND(B567="",NOT(A567="")),VLOOKUP(A567,TaskPlan!A:L,2,FALSE),"")</f>
        <v/>
      </c>
      <c r="K567" s="39" t="str">
        <f ca="1">IF(AND(B567="",NOT(A567="")),IF(NOT(LEFT(VLOOKUP(A567,TaskPlan!A:L,3,FALSE),1) = "0"),VLOOKUP(A567,TaskPlan!A:L,3,FALSE),""),"")</f>
        <v/>
      </c>
      <c r="L567" s="55" t="str">
        <f ca="1">IF(AND(B567="",NOT(A567="")),IF(NOT(LEFT(VLOOKUP(A567,TaskPlan!A:L,3,FALSE),1) = "0"),VLOOKUP(A567,TaskPlan!A:M,4,FALSE),""),"")</f>
        <v/>
      </c>
      <c r="M567" s="58">
        <f ca="1">IF(B567=".",1,IF(AND(B567="",NOT(A567="")),IF(VLOOKUP(A567,TaskPlan!A:L,5,FALSE)&gt;0,VLOOKUP(A567,TaskPlan!A:L,5,FALSE),""),""))</f>
        <v>1</v>
      </c>
      <c r="N567" s="1" t="str">
        <f ca="1">IF(ISNA(VLOOKUP(A567,Projects!B:B,1,FALSE)),"","Yes")</f>
        <v/>
      </c>
    </row>
    <row r="568" spans="1:14" hidden="1" outlineLevel="1">
      <c r="A568" s="46" t="s">
        <v>83</v>
      </c>
      <c r="C568" s="42" t="s">
        <v>50</v>
      </c>
      <c r="D568" s="7" t="s">
        <v>11</v>
      </c>
      <c r="E568" s="26">
        <v>39917</v>
      </c>
      <c r="F568" s="25">
        <v>10</v>
      </c>
      <c r="G568" s="25" t="s">
        <v>1098</v>
      </c>
      <c r="H568" s="37">
        <f ca="1">IF(AND(B568="",NOT(A568="")),VLOOKUP(A568,TaskPlan!A:M,13,FALSE),"")</f>
        <v>40239</v>
      </c>
      <c r="I568" s="38" t="str">
        <f ca="1">IF(AND(B568="",NOT(A568="")),VLOOKUP(A568,TaskPlan!A:M,12,FALSE),"")</f>
        <v>Not Started</v>
      </c>
      <c r="J568" s="39" t="str">
        <f ca="1">IF(AND(B568="",NOT(A568="")),VLOOKUP(A568,TaskPlan!A:L,2,FALSE),"")</f>
        <v>Unassigned</v>
      </c>
      <c r="K568" s="39" t="str">
        <f ca="1">IF(AND(B568="",NOT(A568="")),IF(NOT(LEFT(VLOOKUP(A568,TaskPlan!A:L,3,FALSE),1) = "0"),VLOOKUP(A568,TaskPlan!A:L,3,FALSE),""),"")</f>
        <v>1-LOW</v>
      </c>
      <c r="L568" s="55">
        <f ca="1">IF(AND(B568="",NOT(A568="")),IF(NOT(LEFT(VLOOKUP(A568,TaskPlan!A:L,3,FALSE),1) = "0"),VLOOKUP(A568,TaskPlan!A:M,4,FALSE),""),"")</f>
        <v>0</v>
      </c>
      <c r="M568" s="58" t="str">
        <f ca="1">IF(B568=".",1,IF(AND(B568="",NOT(A568="")),IF(VLOOKUP(A568,TaskPlan!A:L,5,FALSE)&gt;0,VLOOKUP(A568,TaskPlan!A:L,5,FALSE),""),""))</f>
        <v/>
      </c>
      <c r="N568" s="1" t="str">
        <f ca="1">IF(ISNA(VLOOKUP(A568,Projects!B:B,1,FALSE)),"","Yes")</f>
        <v/>
      </c>
    </row>
    <row r="569" spans="1:14" hidden="1" outlineLevel="1">
      <c r="A569" s="46" t="s">
        <v>146</v>
      </c>
      <c r="C569" s="44" t="s">
        <v>147</v>
      </c>
      <c r="D569" s="7" t="s">
        <v>45</v>
      </c>
      <c r="E569" s="26">
        <v>39932</v>
      </c>
      <c r="F569" s="25">
        <v>10</v>
      </c>
      <c r="G569" s="25" t="s">
        <v>1098</v>
      </c>
      <c r="H569" s="37">
        <f ca="1">IF(AND(B569="",NOT(A569="")),VLOOKUP(A569,TaskPlan!A:M,13,FALSE),"")</f>
        <v>40239</v>
      </c>
      <c r="I569" s="38" t="str">
        <f ca="1">IF(AND(B569="",NOT(A569="")),VLOOKUP(A569,TaskPlan!A:M,12,FALSE),"")</f>
        <v>Not Started</v>
      </c>
      <c r="J569" s="39" t="str">
        <f ca="1">IF(AND(B569="",NOT(A569="")),VLOOKUP(A569,TaskPlan!A:L,2,FALSE),"")</f>
        <v>Unassigned</v>
      </c>
      <c r="K569" s="39" t="str">
        <f ca="1">IF(AND(B569="",NOT(A569="")),IF(NOT(LEFT(VLOOKUP(A569,TaskPlan!A:L,3,FALSE),1) = "0"),VLOOKUP(A569,TaskPlan!A:L,3,FALSE),""),"")</f>
        <v>1-LOW</v>
      </c>
      <c r="L569" s="55">
        <f ca="1">IF(AND(B569="",NOT(A569="")),IF(NOT(LEFT(VLOOKUP(A569,TaskPlan!A:L,3,FALSE),1) = "0"),VLOOKUP(A569,TaskPlan!A:M,4,FALSE),""),"")</f>
        <v>0</v>
      </c>
      <c r="M569" s="58" t="str">
        <f ca="1">IF(B569=".",1,IF(AND(B569="",NOT(A569="")),IF(VLOOKUP(A569,TaskPlan!A:L,5,FALSE)&gt;0,VLOOKUP(A569,TaskPlan!A:L,5,FALSE),""),""))</f>
        <v/>
      </c>
      <c r="N569" s="1" t="str">
        <f ca="1">IF(ISNA(VLOOKUP(A569,Projects!B:B,1,FALSE)),"","Yes")</f>
        <v/>
      </c>
    </row>
    <row r="570" spans="1:14" ht="10.5" hidden="1" customHeight="1" outlineLevel="1">
      <c r="A570" s="43" t="s">
        <v>152</v>
      </c>
      <c r="B570" s="7" t="s">
        <v>15</v>
      </c>
      <c r="C570" s="45" t="s">
        <v>376</v>
      </c>
      <c r="E570" s="26"/>
      <c r="H570" s="37" t="str">
        <f ca="1">IF(AND(B570="",NOT(A570="")),VLOOKUP(A570,TaskPlan!A:M,13,FALSE),"")</f>
        <v/>
      </c>
      <c r="I570" s="38" t="str">
        <f ca="1">IF(AND(B570="",NOT(A570="")),VLOOKUP(A570,TaskPlan!A:M,12,FALSE),"")</f>
        <v/>
      </c>
      <c r="J570" s="39" t="str">
        <f ca="1">IF(AND(B570="",NOT(A570="")),VLOOKUP(A570,TaskPlan!A:L,2,FALSE),"")</f>
        <v/>
      </c>
      <c r="K570" s="39" t="str">
        <f ca="1">IF(AND(B570="",NOT(A570="")),IF(NOT(LEFT(VLOOKUP(A570,TaskPlan!A:L,3,FALSE),1) = "0"),VLOOKUP(A570,TaskPlan!A:L,3,FALSE),""),"")</f>
        <v/>
      </c>
      <c r="L570" s="55" t="str">
        <f ca="1">IF(AND(B570="",NOT(A570="")),IF(NOT(LEFT(VLOOKUP(A570,TaskPlan!A:L,3,FALSE),1) = "0"),VLOOKUP(A570,TaskPlan!A:M,4,FALSE),""),"")</f>
        <v/>
      </c>
      <c r="M570" s="58">
        <f ca="1">IF(B570=".",1,IF(AND(B570="",NOT(A570="")),IF(VLOOKUP(A570,TaskPlan!A:L,5,FALSE)&gt;0,VLOOKUP(A570,TaskPlan!A:L,5,FALSE),""),""))</f>
        <v>1</v>
      </c>
      <c r="N570" s="1" t="str">
        <f ca="1">IF(ISNA(VLOOKUP(A570,Projects!B:B,1,FALSE)),"","Yes")</f>
        <v/>
      </c>
    </row>
    <row r="571" spans="1:14" hidden="1" outlineLevel="1">
      <c r="A571" s="43" t="s">
        <v>153</v>
      </c>
      <c r="C571" s="44" t="s">
        <v>154</v>
      </c>
      <c r="D571" s="7" t="s">
        <v>158</v>
      </c>
      <c r="E571" s="26">
        <v>39938</v>
      </c>
      <c r="H571" s="37">
        <f ca="1">IF(AND(B571="",NOT(A571="")),VLOOKUP(A571,TaskPlan!A:M,13,FALSE),"")</f>
        <v>40532</v>
      </c>
      <c r="I571" s="38" t="str">
        <f ca="1">IF(AND(B571="",NOT(A571="")),VLOOKUP(A571,TaskPlan!A:M,12,FALSE),"")</f>
        <v>Closed</v>
      </c>
      <c r="J571" s="39" t="str">
        <f ca="1">IF(AND(B571="",NOT(A571="")),VLOOKUP(A571,TaskPlan!A:L,2,FALSE),"")</f>
        <v>RDM</v>
      </c>
      <c r="K571" s="39" t="str">
        <f ca="1">IF(AND(B571="",NOT(A571="")),IF(NOT(LEFT(VLOOKUP(A571,TaskPlan!A:L,3,FALSE),1) = "0"),VLOOKUP(A571,TaskPlan!A:L,3,FALSE),""),"")</f>
        <v/>
      </c>
      <c r="L571" s="55" t="str">
        <f ca="1">IF(AND(B571="",NOT(A571="")),IF(NOT(LEFT(VLOOKUP(A571,TaskPlan!A:L,3,FALSE),1) = "0"),VLOOKUP(A571,TaskPlan!A:M,4,FALSE),""),"")</f>
        <v/>
      </c>
      <c r="M571" s="58" t="str">
        <f ca="1">IF(B571=".",1,IF(AND(B571="",NOT(A571="")),IF(VLOOKUP(A571,TaskPlan!A:L,5,FALSE)&gt;0,VLOOKUP(A571,TaskPlan!A:L,5,FALSE),""),""))</f>
        <v/>
      </c>
      <c r="N571" s="1" t="str">
        <f ca="1">IF(ISNA(VLOOKUP(A571,Projects!B:B,1,FALSE)),"","Yes")</f>
        <v/>
      </c>
    </row>
    <row r="572" spans="1:14" hidden="1" outlineLevel="1">
      <c r="A572" s="43" t="s">
        <v>374</v>
      </c>
      <c r="C572" s="44" t="s">
        <v>375</v>
      </c>
      <c r="D572" s="7" t="s">
        <v>158</v>
      </c>
      <c r="E572" s="26">
        <v>40029</v>
      </c>
      <c r="H572" s="37">
        <f ca="1">IF(AND(B572="",NOT(A572="")),VLOOKUP(A572,TaskPlan!A:M,13,FALSE),"")</f>
        <v>40071</v>
      </c>
      <c r="I572" s="38" t="str">
        <f ca="1">IF(AND(B572="",NOT(A572="")),VLOOKUP(A572,TaskPlan!A:M,12,FALSE),"")</f>
        <v>Closed</v>
      </c>
      <c r="J572" s="39" t="str">
        <f ca="1">IF(AND(B572="",NOT(A572="")),VLOOKUP(A572,TaskPlan!A:L,2,FALSE),"")</f>
        <v>Neil</v>
      </c>
      <c r="K572" s="39" t="str">
        <f ca="1">IF(AND(B572="",NOT(A572="")),IF(NOT(LEFT(VLOOKUP(A572,TaskPlan!A:L,3,FALSE),1) = "0"),VLOOKUP(A572,TaskPlan!A:L,3,FALSE),""),"")</f>
        <v/>
      </c>
      <c r="L572" s="55" t="str">
        <f ca="1">IF(AND(B572="",NOT(A572="")),IF(NOT(LEFT(VLOOKUP(A572,TaskPlan!A:L,3,FALSE),1) = "0"),VLOOKUP(A572,TaskPlan!A:M,4,FALSE),""),"")</f>
        <v/>
      </c>
      <c r="M572" s="58" t="str">
        <f ca="1">IF(B572=".",1,IF(AND(B572="",NOT(A572="")),IF(VLOOKUP(A572,TaskPlan!A:L,5,FALSE)&gt;0,VLOOKUP(A572,TaskPlan!A:L,5,FALSE),""),""))</f>
        <v/>
      </c>
      <c r="N572" s="1" t="str">
        <f ca="1">IF(ISNA(VLOOKUP(A572,Projects!B:B,1,FALSE)),"","Yes")</f>
        <v/>
      </c>
    </row>
    <row r="573" spans="1:14" hidden="1" outlineLevel="1">
      <c r="A573" s="46" t="s">
        <v>867</v>
      </c>
      <c r="C573" s="44" t="s">
        <v>868</v>
      </c>
      <c r="D573" s="7" t="s">
        <v>20</v>
      </c>
      <c r="E573" s="26">
        <v>40200</v>
      </c>
      <c r="G573" s="25" t="s">
        <v>1098</v>
      </c>
      <c r="H573" s="37">
        <f ca="1">IF(AND(B573="",NOT(A573="")),VLOOKUP(A573,TaskPlan!A:M,13,FALSE),"")</f>
        <v>40283</v>
      </c>
      <c r="I573" s="38" t="str">
        <f ca="1">IF(AND(B573="",NOT(A573="")),VLOOKUP(A573,TaskPlan!A:M,12,FALSE),"")</f>
        <v>In Progress</v>
      </c>
      <c r="J573" s="39" t="str">
        <f ca="1">IF(AND(B573="",NOT(A573="")),VLOOKUP(A573,TaskPlan!A:L,2,FALSE),"")</f>
        <v>BackOffice</v>
      </c>
      <c r="K573" s="39" t="str">
        <f ca="1">IF(AND(B573="",NOT(A573="")),IF(NOT(LEFT(VLOOKUP(A573,TaskPlan!A:L,3,FALSE),1) = "0"),VLOOKUP(A573,TaskPlan!A:L,3,FALSE),""),"")</f>
        <v>3-MED</v>
      </c>
      <c r="L573" s="55">
        <f ca="1">IF(AND(B573="",NOT(A573="")),IF(NOT(LEFT(VLOOKUP(A573,TaskPlan!A:L,3,FALSE),1) = "0"),VLOOKUP(A573,TaskPlan!A:M,4,FALSE),""),"")</f>
        <v>0</v>
      </c>
      <c r="M573" s="58" t="str">
        <f ca="1">IF(B573=".",1,IF(AND(B573="",NOT(A573="")),IF(VLOOKUP(A573,TaskPlan!A:L,5,FALSE)&gt;0,VLOOKUP(A573,TaskPlan!A:L,5,FALSE),""),""))</f>
        <v/>
      </c>
      <c r="N573" s="1" t="str">
        <f ca="1">IF(ISNA(VLOOKUP(A573,Projects!B:B,1,FALSE)),"","Yes")</f>
        <v/>
      </c>
    </row>
    <row r="574" spans="1:14" hidden="1" outlineLevel="1">
      <c r="A574" s="43" t="s">
        <v>1077</v>
      </c>
      <c r="C574" s="44" t="s">
        <v>1140</v>
      </c>
      <c r="D574" s="7" t="s">
        <v>11</v>
      </c>
      <c r="E574" s="26">
        <v>40304</v>
      </c>
      <c r="F574" s="25">
        <v>2</v>
      </c>
      <c r="G574" s="25" t="s">
        <v>1098</v>
      </c>
      <c r="H574" s="37">
        <f ca="1">IF(AND(B574="",NOT(A574="")),VLOOKUP(A574,TaskPlan!A:M,13,FALSE),"")</f>
        <v>40287</v>
      </c>
      <c r="I574" s="38" t="str">
        <f ca="1">IF(AND(B574="",NOT(A574="")),VLOOKUP(A574,TaskPlan!A:M,12,FALSE),"")</f>
        <v>In Progress</v>
      </c>
      <c r="J574" s="39" t="str">
        <f ca="1">IF(AND(B574="",NOT(A574="")),VLOOKUP(A574,TaskPlan!A:L,2,FALSE),"")</f>
        <v>Neil</v>
      </c>
      <c r="K574" s="39" t="str">
        <f ca="1">IF(AND(B574="",NOT(A574="")),IF(NOT(LEFT(VLOOKUP(A574,TaskPlan!A:L,3,FALSE),1) = "0"),VLOOKUP(A574,TaskPlan!A:L,3,FALSE),""),"")</f>
        <v>3-MED</v>
      </c>
      <c r="L574" s="55">
        <f ca="1">IF(AND(B574="",NOT(A574="")),IF(NOT(LEFT(VLOOKUP(A574,TaskPlan!A:L,3,FALSE),1) = "0"),VLOOKUP(A574,TaskPlan!A:M,4,FALSE),""),"")</f>
        <v>0</v>
      </c>
      <c r="M574" s="58" t="str">
        <f ca="1">IF(B574=".",1,IF(AND(B574="",NOT(A574="")),IF(VLOOKUP(A574,TaskPlan!A:L,5,FALSE)&gt;0,VLOOKUP(A574,TaskPlan!A:L,5,FALSE),""),""))</f>
        <v/>
      </c>
      <c r="N574" s="1" t="str">
        <f ca="1">IF(ISNA(VLOOKUP(A574,Projects!B:B,1,FALSE)),"","Yes")</f>
        <v/>
      </c>
    </row>
    <row r="575" spans="1:14" hidden="1" outlineLevel="1">
      <c r="A575" s="46" t="s">
        <v>1075</v>
      </c>
      <c r="B575" s="1" t="s">
        <v>15</v>
      </c>
      <c r="C575" s="45" t="s">
        <v>1074</v>
      </c>
      <c r="D575" s="7"/>
      <c r="E575" s="26"/>
      <c r="H575" s="37" t="str">
        <f ca="1">IF(AND(B575="",NOT(A575="")),VLOOKUP(A575,TaskPlan!A:M,13,FALSE),"")</f>
        <v/>
      </c>
      <c r="I575" s="38" t="str">
        <f ca="1">IF(AND(B575="",NOT(A575="")),VLOOKUP(A575,TaskPlan!A:M,12,FALSE),"")</f>
        <v/>
      </c>
      <c r="L575" s="55"/>
      <c r="M575" s="58">
        <f ca="1">IF(B575=".",1,IF(AND(B575="",NOT(A575="")),IF(VLOOKUP(A575,TaskPlan!A:L,5,FALSE)&gt;0,VLOOKUP(A575,TaskPlan!A:L,5,FALSE),""),""))</f>
        <v>1</v>
      </c>
      <c r="N575" s="1" t="str">
        <f ca="1">IF(ISNA(VLOOKUP(A575,Projects!B:B,1,FALSE)),"","Yes")</f>
        <v/>
      </c>
    </row>
    <row r="576" spans="1:14" hidden="1" outlineLevel="1">
      <c r="A576" s="46" t="s">
        <v>1076</v>
      </c>
      <c r="C576" s="44" t="s">
        <v>1073</v>
      </c>
      <c r="D576" s="7" t="s">
        <v>11</v>
      </c>
      <c r="E576" s="26">
        <v>40287</v>
      </c>
      <c r="F576" s="25">
        <v>2</v>
      </c>
      <c r="G576" s="25" t="s">
        <v>1098</v>
      </c>
      <c r="H576" s="37">
        <f ca="1">IF(AND(B576="",NOT(A576="")),VLOOKUP(A576,TaskPlan!A:M,13,FALSE),"")</f>
        <v>40567</v>
      </c>
      <c r="I576" s="38" t="str">
        <f ca="1">IF(AND(B576="",NOT(A576="")),VLOOKUP(A576,TaskPlan!A:M,12,FALSE),"")</f>
        <v>Closed</v>
      </c>
      <c r="J576" s="39" t="str">
        <f ca="1">IF(AND(B576="",NOT(A576="")),VLOOKUP(A576,TaskPlan!A:L,2,FALSE),"")</f>
        <v>Neil</v>
      </c>
      <c r="K576" s="39" t="str">
        <f ca="1">IF(AND(B576="",NOT(A576="")),IF(NOT(LEFT(VLOOKUP(A576,TaskPlan!A:L,3,FALSE),1) = "0"),VLOOKUP(A576,TaskPlan!A:L,3,FALSE),""),"")</f>
        <v/>
      </c>
      <c r="L576" s="55" t="str">
        <f ca="1">IF(AND(B576="",NOT(A576="")),IF(NOT(LEFT(VLOOKUP(A576,TaskPlan!A:L,3,FALSE),1) = "0"),VLOOKUP(A576,TaskPlan!A:M,4,FALSE),""),"")</f>
        <v/>
      </c>
      <c r="M576" s="58" t="str">
        <f ca="1">IF(B576=".",1,IF(AND(B576="",NOT(A576="")),IF(VLOOKUP(A576,TaskPlan!A:L,5,FALSE)&gt;0,VLOOKUP(A576,TaskPlan!A:L,5,FALSE),""),""))</f>
        <v/>
      </c>
      <c r="N576" s="1" t="str">
        <f ca="1">IF(ISNA(VLOOKUP(A576,Projects!B:B,1,FALSE)),"","Yes")</f>
        <v/>
      </c>
    </row>
    <row r="577" spans="1:14" hidden="1" outlineLevel="1">
      <c r="A577" s="43" t="s">
        <v>1468</v>
      </c>
      <c r="B577" s="7" t="s">
        <v>15</v>
      </c>
      <c r="C577" s="45" t="s">
        <v>1406</v>
      </c>
      <c r="D577" s="7"/>
      <c r="E577" s="26"/>
      <c r="L577" s="55"/>
      <c r="M577" s="58">
        <f ca="1">IF(B577=".",1,IF(AND(B577="",NOT(A577="")),IF(VLOOKUP(A577,TaskPlan!A:L,5,FALSE)&gt;0,VLOOKUP(A577,TaskPlan!A:L,5,FALSE),""),""))</f>
        <v>1</v>
      </c>
      <c r="N577" s="1" t="str">
        <f ca="1">IF(ISNA(VLOOKUP(A577,Projects!B:B,1,FALSE)),"","Yes")</f>
        <v/>
      </c>
    </row>
    <row r="578" spans="1:14" hidden="1" outlineLevel="1">
      <c r="A578" s="43" t="s">
        <v>1469</v>
      </c>
      <c r="B578" s="7"/>
      <c r="C578" s="44" t="s">
        <v>1470</v>
      </c>
      <c r="D578" s="7" t="s">
        <v>11</v>
      </c>
      <c r="E578" s="26">
        <v>40429</v>
      </c>
      <c r="F578" s="25">
        <v>1</v>
      </c>
      <c r="G578" s="25" t="s">
        <v>1099</v>
      </c>
      <c r="H578" s="37">
        <f ca="1">IF(AND(B578="",NOT(A578="")),VLOOKUP(A578,TaskPlan!A:M,13,FALSE),"")</f>
        <v>40452</v>
      </c>
      <c r="I578" s="38" t="str">
        <f ca="1">IF(AND(B578="",NOT(A578="")),VLOOKUP(A578,TaskPlan!A:M,12,FALSE),"")</f>
        <v>Closed</v>
      </c>
      <c r="J578" s="39" t="str">
        <f ca="1">IF(AND(B578="",NOT(A578="")),VLOOKUP(A578,TaskPlan!A:L,2,FALSE),"")</f>
        <v>Sreevani</v>
      </c>
      <c r="K578" s="39" t="str">
        <f ca="1">IF(AND(B578="",NOT(A578="")),IF(NOT(LEFT(VLOOKUP(A578,TaskPlan!A:L,3,FALSE),1) = "0"),VLOOKUP(A578,TaskPlan!A:L,3,FALSE),""),"")</f>
        <v/>
      </c>
      <c r="L578" s="55" t="str">
        <f ca="1">IF(AND(B578="",NOT(A578="")),IF(NOT(LEFT(VLOOKUP(A578,TaskPlan!A:L,3,FALSE),1) = "0"),VLOOKUP(A578,TaskPlan!A:M,4,FALSE),""),"")</f>
        <v/>
      </c>
      <c r="M578" s="58" t="str">
        <f ca="1">IF(B578=".",1,IF(AND(B578="",NOT(A578="")),IF(VLOOKUP(A578,TaskPlan!A:L,5,FALSE)&gt;0,VLOOKUP(A578,TaskPlan!A:L,5,FALSE),""),""))</f>
        <v/>
      </c>
      <c r="N578" s="1" t="str">
        <f ca="1">IF(ISNA(VLOOKUP(A578,Projects!B:B,1,FALSE)),"","Yes")</f>
        <v>Yes</v>
      </c>
    </row>
    <row r="579" spans="1:14" hidden="1" outlineLevel="1">
      <c r="A579" s="43" t="s">
        <v>1471</v>
      </c>
      <c r="B579" s="7"/>
      <c r="C579" s="44" t="s">
        <v>1472</v>
      </c>
      <c r="D579" s="7" t="s">
        <v>11</v>
      </c>
      <c r="E579" s="26">
        <v>40429</v>
      </c>
      <c r="F579" s="25">
        <v>1</v>
      </c>
      <c r="G579" s="25" t="s">
        <v>1099</v>
      </c>
      <c r="H579" s="37">
        <f ca="1">IF(AND(B579="",NOT(A579="")),VLOOKUP(A579,TaskPlan!A:M,13,FALSE),"")</f>
        <v>40452</v>
      </c>
      <c r="I579" s="38" t="str">
        <f ca="1">IF(AND(B579="",NOT(A579="")),VLOOKUP(A579,TaskPlan!A:M,12,FALSE),"")</f>
        <v>Closed</v>
      </c>
      <c r="J579" s="39" t="str">
        <f ca="1">IF(AND(B579="",NOT(A579="")),VLOOKUP(A579,TaskPlan!A:L,2,FALSE),"")</f>
        <v>Sreevani</v>
      </c>
      <c r="K579" s="39" t="str">
        <f ca="1">IF(AND(B579="",NOT(A579="")),IF(NOT(LEFT(VLOOKUP(A579,TaskPlan!A:L,3,FALSE),1) = "0"),VLOOKUP(A579,TaskPlan!A:L,3,FALSE),""),"")</f>
        <v/>
      </c>
      <c r="L579" s="55" t="str">
        <f ca="1">IF(AND(B579="",NOT(A579="")),IF(NOT(LEFT(VLOOKUP(A579,TaskPlan!A:L,3,FALSE),1) = "0"),VLOOKUP(A579,TaskPlan!A:M,4,FALSE),""),"")</f>
        <v/>
      </c>
      <c r="M579" s="58" t="str">
        <f ca="1">IF(B579=".",1,IF(AND(B579="",NOT(A579="")),IF(VLOOKUP(A579,TaskPlan!A:L,5,FALSE)&gt;0,VLOOKUP(A579,TaskPlan!A:L,5,FALSE),""),""))</f>
        <v/>
      </c>
      <c r="N579" s="1" t="str">
        <f ca="1">IF(ISNA(VLOOKUP(A579,Projects!B:B,1,FALSE)),"","Yes")</f>
        <v>Yes</v>
      </c>
    </row>
    <row r="580" spans="1:14" hidden="1" outlineLevel="1">
      <c r="A580" s="43" t="s">
        <v>1473</v>
      </c>
      <c r="B580" s="7"/>
      <c r="C580" s="44" t="s">
        <v>1474</v>
      </c>
      <c r="D580" s="7" t="s">
        <v>11</v>
      </c>
      <c r="E580" s="26">
        <v>40429</v>
      </c>
      <c r="F580" s="25">
        <v>1</v>
      </c>
      <c r="G580" s="25" t="s">
        <v>1099</v>
      </c>
      <c r="H580" s="37">
        <f ca="1">IF(AND(B580="",NOT(A580="")),VLOOKUP(A580,TaskPlan!A:M,13,FALSE),"")</f>
        <v>40452</v>
      </c>
      <c r="I580" s="38" t="str">
        <f ca="1">IF(AND(B580="",NOT(A580="")),VLOOKUP(A580,TaskPlan!A:M,12,FALSE),"")</f>
        <v>Closed</v>
      </c>
      <c r="J580" s="39" t="str">
        <f ca="1">IF(AND(B580="",NOT(A580="")),VLOOKUP(A580,TaskPlan!A:L,2,FALSE),"")</f>
        <v>Neil</v>
      </c>
      <c r="K580" s="39" t="str">
        <f ca="1">IF(AND(B580="",NOT(A580="")),IF(NOT(LEFT(VLOOKUP(A580,TaskPlan!A:L,3,FALSE),1) = "0"),VLOOKUP(A580,TaskPlan!A:L,3,FALSE),""),"")</f>
        <v/>
      </c>
      <c r="L580" s="55" t="str">
        <f ca="1">IF(AND(B580="",NOT(A580="")),IF(NOT(LEFT(VLOOKUP(A580,TaskPlan!A:L,3,FALSE),1) = "0"),VLOOKUP(A580,TaskPlan!A:M,4,FALSE),""),"")</f>
        <v/>
      </c>
      <c r="M580" s="58" t="str">
        <f ca="1">IF(B580=".",1,IF(AND(B580="",NOT(A580="")),IF(VLOOKUP(A580,TaskPlan!A:L,5,FALSE)&gt;0,VLOOKUP(A580,TaskPlan!A:L,5,FALSE),""),""))</f>
        <v/>
      </c>
      <c r="N580" s="1" t="str">
        <f ca="1">IF(ISNA(VLOOKUP(A580,Projects!B:B,1,FALSE)),"","Yes")</f>
        <v>Yes</v>
      </c>
    </row>
    <row r="581" spans="1:14" hidden="1" outlineLevel="1">
      <c r="A581" s="43" t="s">
        <v>1475</v>
      </c>
      <c r="B581" s="7"/>
      <c r="C581" s="44" t="s">
        <v>1476</v>
      </c>
      <c r="D581" s="7" t="s">
        <v>11</v>
      </c>
      <c r="E581" s="26">
        <v>40429</v>
      </c>
      <c r="F581" s="25">
        <v>5</v>
      </c>
      <c r="G581" s="25" t="s">
        <v>1099</v>
      </c>
      <c r="H581" s="37">
        <f ca="1">IF(AND(B581="",NOT(A581="")),VLOOKUP(A581,TaskPlan!A:M,13,FALSE),"")</f>
        <v>40443</v>
      </c>
      <c r="I581" s="38" t="str">
        <f ca="1">IF(AND(B581="",NOT(A581="")),VLOOKUP(A581,TaskPlan!A:M,12,FALSE),"")</f>
        <v>Closed</v>
      </c>
      <c r="J581" s="39" t="str">
        <f ca="1">IF(AND(B581="",NOT(A581="")),VLOOKUP(A581,TaskPlan!A:L,2,FALSE),"")</f>
        <v>Sreevani</v>
      </c>
      <c r="K581" s="39" t="str">
        <f ca="1">IF(AND(B581="",NOT(A581="")),IF(NOT(LEFT(VLOOKUP(A581,TaskPlan!A:L,3,FALSE),1) = "0"),VLOOKUP(A581,TaskPlan!A:L,3,FALSE),""),"")</f>
        <v/>
      </c>
      <c r="L581" s="55" t="str">
        <f ca="1">IF(AND(B581="",NOT(A581="")),IF(NOT(LEFT(VLOOKUP(A581,TaskPlan!A:L,3,FALSE),1) = "0"),VLOOKUP(A581,TaskPlan!A:M,4,FALSE),""),"")</f>
        <v/>
      </c>
      <c r="M581" s="58" t="str">
        <f ca="1">IF(B581=".",1,IF(AND(B581="",NOT(A581="")),IF(VLOOKUP(A581,TaskPlan!A:L,5,FALSE)&gt;0,VLOOKUP(A581,TaskPlan!A:L,5,FALSE),""),""))</f>
        <v/>
      </c>
      <c r="N581" s="1" t="str">
        <f ca="1">IF(ISNA(VLOOKUP(A581,Projects!B:B,1,FALSE)),"","Yes")</f>
        <v>Yes</v>
      </c>
    </row>
    <row r="582" spans="1:14" hidden="1" outlineLevel="1">
      <c r="A582" s="43" t="s">
        <v>1479</v>
      </c>
      <c r="B582" s="7"/>
      <c r="C582" s="44" t="s">
        <v>1477</v>
      </c>
      <c r="D582" s="7" t="s">
        <v>11</v>
      </c>
      <c r="E582" s="26">
        <v>40429</v>
      </c>
      <c r="F582" s="25">
        <v>1</v>
      </c>
      <c r="G582" s="25" t="s">
        <v>1099</v>
      </c>
      <c r="H582" s="37">
        <f ca="1">IF(AND(B582="",NOT(A582="")),VLOOKUP(A582,TaskPlan!A:M,13,FALSE),"")</f>
        <v>40521</v>
      </c>
      <c r="I582" s="38" t="str">
        <f ca="1">IF(AND(B582="",NOT(A582="")),VLOOKUP(A582,TaskPlan!A:M,12,FALSE),"")</f>
        <v>Closed</v>
      </c>
      <c r="J582" s="39" t="str">
        <f ca="1">IF(AND(B582="",NOT(A582="")),VLOOKUP(A582,TaskPlan!A:L,2,FALSE),"")</f>
        <v>All</v>
      </c>
      <c r="K582" s="39" t="str">
        <f ca="1">IF(AND(B582="",NOT(A582="")),IF(NOT(LEFT(VLOOKUP(A582,TaskPlan!A:L,3,FALSE),1) = "0"),VLOOKUP(A582,TaskPlan!A:L,3,FALSE),""),"")</f>
        <v/>
      </c>
      <c r="L582" s="55" t="str">
        <f ca="1">IF(AND(B582="",NOT(A582="")),IF(NOT(LEFT(VLOOKUP(A582,TaskPlan!A:L,3,FALSE),1) = "0"),VLOOKUP(A582,TaskPlan!A:M,4,FALSE),""),"")</f>
        <v/>
      </c>
      <c r="M582" s="58" t="str">
        <f ca="1">IF(B582=".",1,IF(AND(B582="",NOT(A582="")),IF(VLOOKUP(A582,TaskPlan!A:L,5,FALSE)&gt;0,VLOOKUP(A582,TaskPlan!A:L,5,FALSE),""),""))</f>
        <v/>
      </c>
      <c r="N582" s="1" t="str">
        <f ca="1">IF(ISNA(VLOOKUP(A582,Projects!B:B,1,FALSE)),"","Yes")</f>
        <v>Yes</v>
      </c>
    </row>
    <row r="583" spans="1:14" hidden="1" outlineLevel="1">
      <c r="A583" s="43" t="s">
        <v>1480</v>
      </c>
      <c r="B583" s="7"/>
      <c r="C583" s="44" t="s">
        <v>1478</v>
      </c>
      <c r="D583" s="7" t="s">
        <v>11</v>
      </c>
      <c r="E583" s="26">
        <v>40429</v>
      </c>
      <c r="F583" s="25">
        <v>3</v>
      </c>
      <c r="G583" s="25" t="s">
        <v>1099</v>
      </c>
      <c r="H583" s="37">
        <f ca="1">IF(AND(B583="",NOT(A583="")),VLOOKUP(A583,TaskPlan!A:M,13,FALSE),"")</f>
        <v>40521</v>
      </c>
      <c r="I583" s="38" t="str">
        <f ca="1">IF(AND(B583="",NOT(A583="")),VLOOKUP(A583,TaskPlan!A:M,12,FALSE),"")</f>
        <v>Closed</v>
      </c>
      <c r="J583" s="39" t="str">
        <f ca="1">IF(AND(B583="",NOT(A583="")),VLOOKUP(A583,TaskPlan!A:L,2,FALSE),"")</f>
        <v>Sreevani</v>
      </c>
      <c r="K583" s="39" t="str">
        <f ca="1">IF(AND(B583="",NOT(A583="")),IF(NOT(LEFT(VLOOKUP(A583,TaskPlan!A:L,3,FALSE),1) = "0"),VLOOKUP(A583,TaskPlan!A:L,3,FALSE),""),"")</f>
        <v/>
      </c>
      <c r="L583" s="55" t="str">
        <f ca="1">IF(AND(B583="",NOT(A583="")),IF(NOT(LEFT(VLOOKUP(A583,TaskPlan!A:L,3,FALSE),1) = "0"),VLOOKUP(A583,TaskPlan!A:M,4,FALSE),""),"")</f>
        <v/>
      </c>
      <c r="M583" s="58" t="str">
        <f ca="1">IF(B583=".",1,IF(AND(B583="",NOT(A583="")),IF(VLOOKUP(A583,TaskPlan!A:L,5,FALSE)&gt;0,VLOOKUP(A583,TaskPlan!A:L,5,FALSE),""),""))</f>
        <v/>
      </c>
      <c r="N583" s="1" t="str">
        <f ca="1">IF(ISNA(VLOOKUP(A583,Projects!B:B,1,FALSE)),"","Yes")</f>
        <v>Yes</v>
      </c>
    </row>
    <row r="584" spans="1:14" hidden="1" outlineLevel="1">
      <c r="A584" s="43" t="s">
        <v>1596</v>
      </c>
      <c r="B584" s="7" t="s">
        <v>15</v>
      </c>
      <c r="C584" s="45" t="s">
        <v>55</v>
      </c>
      <c r="D584" s="7"/>
      <c r="E584" s="26"/>
      <c r="L584" s="55"/>
    </row>
    <row r="585" spans="1:14" hidden="1" outlineLevel="1">
      <c r="A585" s="43" t="s">
        <v>1597</v>
      </c>
      <c r="B585" s="7"/>
      <c r="C585" s="44" t="s">
        <v>1598</v>
      </c>
      <c r="D585" s="7" t="s">
        <v>11</v>
      </c>
      <c r="E585" s="26">
        <v>40459</v>
      </c>
      <c r="F585" s="25">
        <v>1</v>
      </c>
      <c r="G585" s="25" t="s">
        <v>1098</v>
      </c>
      <c r="H585" s="37">
        <f ca="1">IF(AND(B585="",NOT(A585="")),VLOOKUP(A585,TaskPlan!A:M,13,FALSE),"")</f>
        <v>40459</v>
      </c>
      <c r="I585" s="38" t="str">
        <f ca="1">IF(AND(B585="",NOT(A585="")),VLOOKUP(A585,TaskPlan!A:M,12,FALSE),"")</f>
        <v>Not Started</v>
      </c>
      <c r="J585" s="39" t="str">
        <f ca="1">IF(AND(B585="",NOT(A585="")),VLOOKUP(A585,TaskPlan!A:L,2,FALSE),"")</f>
        <v>Unassigned</v>
      </c>
      <c r="K585" s="39" t="str">
        <f ca="1">IF(AND(B585="",NOT(A585="")),IF(NOT(LEFT(VLOOKUP(A585,TaskPlan!A:L,3,FALSE),1) = "0"),VLOOKUP(A585,TaskPlan!A:L,3,FALSE),""),"")</f>
        <v>3-MED</v>
      </c>
      <c r="L585" s="55">
        <f ca="1">IF(AND(B585="",NOT(A585="")),IF(NOT(LEFT(VLOOKUP(A585,TaskPlan!A:L,3,FALSE),1) = "0"),VLOOKUP(A585,TaskPlan!A:M,4,FALSE),""),"")</f>
        <v>0</v>
      </c>
      <c r="M585" s="58" t="str">
        <f ca="1">IF(B585=".",1,IF(AND(B585="",NOT(A585="")),IF(VLOOKUP(A585,TaskPlan!A:L,5,FALSE)&gt;0,VLOOKUP(A585,TaskPlan!A:L,5,FALSE),""),""))</f>
        <v/>
      </c>
      <c r="N585" s="1" t="str">
        <f ca="1">IF(ISNA(VLOOKUP(A585,Projects!B:B,1,FALSE)),"","Yes")</f>
        <v/>
      </c>
    </row>
    <row r="586" spans="1:14" collapsed="1">
      <c r="C586" s="44"/>
      <c r="E586" s="26"/>
      <c r="H586" s="37" t="str">
        <f ca="1">IF(AND(B586="",NOT(A586="")),VLOOKUP(A586,TaskPlan!A:M,13,FALSE),"")</f>
        <v/>
      </c>
      <c r="I586" s="38" t="str">
        <f ca="1">IF(AND(B586="",NOT(A586="")),VLOOKUP(A586,TaskPlan!A:M,12,FALSE),"")</f>
        <v/>
      </c>
      <c r="L586" s="55" t="str">
        <f ca="1">IF(AND(B586="",NOT(A586="")),IF(NOT(LEFT(VLOOKUP(A586,TaskPlan!A:L,3,FALSE),1) = "0"),VLOOKUP(A586,TaskPlan!A:M,4,FALSE),""),"")</f>
        <v/>
      </c>
      <c r="M586" s="58" t="str">
        <f ca="1">IF(B586=".",1,IF(AND(B586="",NOT(A586="")),IF(VLOOKUP(A586,TaskPlan!A:L,5,FALSE)&gt;0,VLOOKUP(A586,TaskPlan!A:L,5,FALSE),""),""))</f>
        <v/>
      </c>
      <c r="N586" s="1" t="str">
        <f ca="1">IF(ISNA(VLOOKUP(A586,Projects!B:B,1,FALSE)),"","Yes")</f>
        <v/>
      </c>
    </row>
    <row r="587" spans="1:14" ht="15.75">
      <c r="A587" s="43" t="s">
        <v>212</v>
      </c>
      <c r="B587" s="7" t="s">
        <v>15</v>
      </c>
      <c r="C587" s="36" t="s">
        <v>213</v>
      </c>
      <c r="E587" s="26"/>
      <c r="H587" s="37" t="str">
        <f ca="1">IF(AND(B587="",NOT(A587="")),VLOOKUP(A587,TaskPlan!A:M,13,FALSE),"")</f>
        <v/>
      </c>
      <c r="I587" s="38" t="str">
        <f ca="1">IF(AND(B587="",NOT(A587="")),VLOOKUP(A587,TaskPlan!A:M,12,FALSE),"")</f>
        <v/>
      </c>
      <c r="J587" s="39" t="str">
        <f ca="1">IF(AND(B587="",NOT(A587="")),VLOOKUP(A587,TaskPlan!A:L,2,FALSE),"")</f>
        <v/>
      </c>
      <c r="K587" s="39" t="str">
        <f ca="1">IF(AND(B587="",NOT(A587="")),IF(NOT(LEFT(VLOOKUP(A587,TaskPlan!A:L,3,FALSE),1) = "0"),VLOOKUP(A587,TaskPlan!A:L,3,FALSE),""),"")</f>
        <v/>
      </c>
      <c r="L587" s="55" t="str">
        <f ca="1">IF(AND(B587="",NOT(A587="")),IF(NOT(LEFT(VLOOKUP(A587,TaskPlan!A:L,3,FALSE),1) = "0"),VLOOKUP(A587,TaskPlan!A:M,4,FALSE),""),"")</f>
        <v/>
      </c>
      <c r="M587" s="58">
        <f ca="1">IF(B587=".",1,IF(AND(B587="",NOT(A587="")),IF(VLOOKUP(A587,TaskPlan!A:L,5,FALSE)&gt;0,VLOOKUP(A587,TaskPlan!A:L,5,FALSE),""),""))</f>
        <v>1</v>
      </c>
      <c r="N587" s="1" t="str">
        <f ca="1">IF(ISNA(VLOOKUP(A587,Projects!B:B,1,FALSE)),"","Yes")</f>
        <v/>
      </c>
    </row>
    <row r="588" spans="1:14" hidden="1" outlineLevel="1">
      <c r="A588" s="43" t="s">
        <v>214</v>
      </c>
      <c r="B588" s="7" t="s">
        <v>15</v>
      </c>
      <c r="C588" s="45" t="s">
        <v>215</v>
      </c>
      <c r="E588" s="26"/>
      <c r="H588" s="37" t="str">
        <f ca="1">IF(AND(B588="",NOT(A588="")),VLOOKUP(A588,TaskPlan!A:M,13,FALSE),"")</f>
        <v/>
      </c>
      <c r="I588" s="38" t="str">
        <f ca="1">IF(AND(B588="",NOT(A588="")),VLOOKUP(A588,TaskPlan!A:M,12,FALSE),"")</f>
        <v/>
      </c>
      <c r="J588" s="39" t="str">
        <f ca="1">IF(AND(B588="",NOT(A588="")),VLOOKUP(A588,TaskPlan!A:L,2,FALSE),"")</f>
        <v/>
      </c>
      <c r="K588" s="39" t="str">
        <f ca="1">IF(AND(B588="",NOT(A588="")),IF(NOT(LEFT(VLOOKUP(A588,TaskPlan!A:L,3,FALSE),1) = "0"),VLOOKUP(A588,TaskPlan!A:L,3,FALSE),""),"")</f>
        <v/>
      </c>
      <c r="L588" s="55" t="str">
        <f ca="1">IF(AND(B588="",NOT(A588="")),IF(NOT(LEFT(VLOOKUP(A588,TaskPlan!A:L,3,FALSE),1) = "0"),VLOOKUP(A588,TaskPlan!A:M,4,FALSE),""),"")</f>
        <v/>
      </c>
      <c r="N588" s="1" t="str">
        <f ca="1">IF(ISNA(VLOOKUP(A588,Projects!B:B,1,FALSE)),"","Yes")</f>
        <v/>
      </c>
    </row>
    <row r="589" spans="1:14" hidden="1" outlineLevel="1">
      <c r="A589" s="43" t="s">
        <v>216</v>
      </c>
      <c r="C589" s="44" t="s">
        <v>217</v>
      </c>
      <c r="D589" s="7" t="s">
        <v>11</v>
      </c>
      <c r="E589" s="26">
        <v>39959</v>
      </c>
      <c r="H589" s="37">
        <f ca="1">IF(AND(B589="",NOT(A589="")),VLOOKUP(A589,TaskPlan!A:M,13,FALSE),"")</f>
        <v>39975</v>
      </c>
      <c r="I589" s="38" t="str">
        <f ca="1">IF(AND(B589="",NOT(A589="")),VLOOKUP(A589,TaskPlan!A:M,12,FALSE),"")</f>
        <v>Closed</v>
      </c>
      <c r="J589" s="39" t="str">
        <f ca="1">IF(AND(B589="",NOT(A589="")),VLOOKUP(A589,TaskPlan!A:L,2,FALSE),"")</f>
        <v>Neil</v>
      </c>
      <c r="K589" s="39" t="str">
        <f ca="1">IF(AND(B589="",NOT(A589="")),IF(NOT(LEFT(VLOOKUP(A589,TaskPlan!A:L,3,FALSE),1) = "0"),VLOOKUP(A589,TaskPlan!A:L,3,FALSE),""),"")</f>
        <v/>
      </c>
      <c r="L589" s="55" t="str">
        <f ca="1">IF(AND(B589="",NOT(A589="")),IF(NOT(LEFT(VLOOKUP(A589,TaskPlan!A:L,3,FALSE),1) = "0"),VLOOKUP(A589,TaskPlan!A:M,4,FALSE),""),"")</f>
        <v/>
      </c>
      <c r="M589" s="58" t="str">
        <f ca="1">IF(B589=".",1,IF(AND(B589="",NOT(A589="")),IF(VLOOKUP(A589,TaskPlan!A:L,5,FALSE)&gt;0,VLOOKUP(A589,TaskPlan!A:L,5,FALSE),""),""))</f>
        <v/>
      </c>
      <c r="N589" s="1" t="str">
        <f ca="1">IF(ISNA(VLOOKUP(A589,Projects!B:B,1,FALSE)),"","Yes")</f>
        <v/>
      </c>
    </row>
    <row r="590" spans="1:14" hidden="1" outlineLevel="1">
      <c r="A590" s="43" t="s">
        <v>224</v>
      </c>
      <c r="C590" s="44" t="s">
        <v>270</v>
      </c>
      <c r="D590" s="7" t="s">
        <v>268</v>
      </c>
      <c r="E590" s="26">
        <v>39975</v>
      </c>
      <c r="H590" s="37">
        <f ca="1">IF(AND(B590="",NOT(A590="")),VLOOKUP(A590,TaskPlan!A:M,13,FALSE),"")</f>
        <v>40085</v>
      </c>
      <c r="I590" s="38" t="str">
        <f ca="1">IF(AND(B590="",NOT(A590="")),VLOOKUP(A590,TaskPlan!A:M,12,FALSE),"")</f>
        <v>Closed</v>
      </c>
      <c r="J590" s="39" t="str">
        <f ca="1">IF(AND(B590="",NOT(A590="")),VLOOKUP(A590,TaskPlan!A:L,2,FALSE),"")</f>
        <v>Neil</v>
      </c>
      <c r="K590" s="39" t="str">
        <f ca="1">IF(AND(B590="",NOT(A590="")),IF(NOT(LEFT(VLOOKUP(A590,TaskPlan!A:L,3,FALSE),1) = "0"),VLOOKUP(A590,TaskPlan!A:L,3,FALSE),""),"")</f>
        <v/>
      </c>
      <c r="L590" s="55" t="str">
        <f ca="1">IF(AND(B590="",NOT(A590="")),IF(NOT(LEFT(VLOOKUP(A590,TaskPlan!A:L,3,FALSE),1) = "0"),VLOOKUP(A590,TaskPlan!A:M,4,FALSE),""),"")</f>
        <v/>
      </c>
      <c r="M590" s="58" t="str">
        <f ca="1">IF(B590=".",1,IF(AND(B590="",NOT(A590="")),IF(VLOOKUP(A590,TaskPlan!A:L,5,FALSE)&gt;0,VLOOKUP(A590,TaskPlan!A:L,5,FALSE),""),""))</f>
        <v/>
      </c>
      <c r="N590" s="1" t="str">
        <f ca="1">IF(ISNA(VLOOKUP(A590,Projects!B:B,1,FALSE)),"","Yes")</f>
        <v/>
      </c>
    </row>
    <row r="591" spans="1:14" ht="25.5" hidden="1" outlineLevel="1">
      <c r="A591" s="43" t="s">
        <v>269</v>
      </c>
      <c r="C591" s="44" t="s">
        <v>272</v>
      </c>
      <c r="D591" s="7" t="s">
        <v>268</v>
      </c>
      <c r="E591" s="26">
        <v>39975</v>
      </c>
      <c r="H591" s="37">
        <f ca="1">IF(AND(B591="",NOT(A591="")),VLOOKUP(A591,TaskPlan!A:M,13,FALSE),"")</f>
        <v>40071</v>
      </c>
      <c r="I591" s="38" t="str">
        <f ca="1">IF(AND(B591="",NOT(A591="")),VLOOKUP(A591,TaskPlan!A:M,12,FALSE),"")</f>
        <v>Closed</v>
      </c>
      <c r="J591" s="39" t="str">
        <f ca="1">IF(AND(B591="",NOT(A591="")),VLOOKUP(A591,TaskPlan!A:L,2,FALSE),"")</f>
        <v>Neil</v>
      </c>
      <c r="K591" s="39" t="str">
        <f ca="1">IF(AND(B591="",NOT(A591="")),IF(NOT(LEFT(VLOOKUP(A591,TaskPlan!A:L,3,FALSE),1) = "0"),VLOOKUP(A591,TaskPlan!A:L,3,FALSE),""),"")</f>
        <v/>
      </c>
      <c r="L591" s="55" t="str">
        <f ca="1">IF(AND(B591="",NOT(A591="")),IF(NOT(LEFT(VLOOKUP(A591,TaskPlan!A:L,3,FALSE),1) = "0"),VLOOKUP(A591,TaskPlan!A:M,4,FALSE),""),"")</f>
        <v/>
      </c>
      <c r="M591" s="58" t="str">
        <f ca="1">IF(B591=".",1,IF(AND(B591="",NOT(A591="")),IF(VLOOKUP(A591,TaskPlan!A:L,5,FALSE)&gt;0,VLOOKUP(A591,TaskPlan!A:L,5,FALSE),""),""))</f>
        <v/>
      </c>
      <c r="N591" s="1" t="str">
        <f ca="1">IF(ISNA(VLOOKUP(A591,Projects!B:B,1,FALSE)),"","Yes")</f>
        <v/>
      </c>
    </row>
    <row r="592" spans="1:14" hidden="1" outlineLevel="1">
      <c r="A592" s="43" t="s">
        <v>271</v>
      </c>
      <c r="C592" s="44" t="s">
        <v>274</v>
      </c>
      <c r="D592" s="7" t="s">
        <v>268</v>
      </c>
      <c r="E592" s="26">
        <v>39975</v>
      </c>
      <c r="H592" s="37">
        <f ca="1">IF(AND(B592="",NOT(A592="")),VLOOKUP(A592,TaskPlan!A:M,13,FALSE),"")</f>
        <v>40045</v>
      </c>
      <c r="I592" s="38" t="str">
        <f ca="1">IF(AND(B592="",NOT(A592="")),VLOOKUP(A592,TaskPlan!A:M,12,FALSE),"")</f>
        <v>Closed</v>
      </c>
      <c r="J592" s="39" t="str">
        <f ca="1">IF(AND(B592="",NOT(A592="")),VLOOKUP(A592,TaskPlan!A:L,2,FALSE),"")</f>
        <v>Neil</v>
      </c>
      <c r="K592" s="39" t="str">
        <f ca="1">IF(AND(B592="",NOT(A592="")),IF(NOT(LEFT(VLOOKUP(A592,TaskPlan!A:L,3,FALSE),1) = "0"),VLOOKUP(A592,TaskPlan!A:L,3,FALSE),""),"")</f>
        <v/>
      </c>
      <c r="L592" s="55" t="str">
        <f ca="1">IF(AND(B592="",NOT(A592="")),IF(NOT(LEFT(VLOOKUP(A592,TaskPlan!A:L,3,FALSE),1) = "0"),VLOOKUP(A592,TaskPlan!A:M,4,FALSE),""),"")</f>
        <v/>
      </c>
      <c r="M592" s="58" t="str">
        <f ca="1">IF(B592=".",1,IF(AND(B592="",NOT(A592="")),IF(VLOOKUP(A592,TaskPlan!A:L,5,FALSE)&gt;0,VLOOKUP(A592,TaskPlan!A:L,5,FALSE),""),""))</f>
        <v/>
      </c>
      <c r="N592" s="1" t="str">
        <f ca="1">IF(ISNA(VLOOKUP(A592,Projects!B:B,1,FALSE)),"","Yes")</f>
        <v/>
      </c>
    </row>
    <row r="593" spans="1:14" hidden="1" outlineLevel="1">
      <c r="A593" s="43" t="s">
        <v>429</v>
      </c>
      <c r="C593" s="44" t="s">
        <v>430</v>
      </c>
      <c r="D593" s="7" t="s">
        <v>268</v>
      </c>
      <c r="E593" s="26">
        <v>40050</v>
      </c>
      <c r="H593" s="37">
        <f ca="1">IF(AND(B593="",NOT(A593="")),VLOOKUP(A593,TaskPlan!A:M,13,FALSE),"")</f>
        <v>40086</v>
      </c>
      <c r="I593" s="38" t="str">
        <f ca="1">IF(AND(B593="",NOT(A593="")),VLOOKUP(A593,TaskPlan!A:M,12,FALSE),"")</f>
        <v>Closed</v>
      </c>
      <c r="J593" s="39" t="str">
        <f ca="1">IF(AND(B593="",NOT(A593="")),VLOOKUP(A593,TaskPlan!A:L,2,FALSE),"")</f>
        <v>Neil</v>
      </c>
      <c r="K593" s="39" t="str">
        <f ca="1">IF(AND(B593="",NOT(A593="")),IF(NOT(LEFT(VLOOKUP(A593,TaskPlan!A:L,3,FALSE),1) = "0"),VLOOKUP(A593,TaskPlan!A:L,3,FALSE),""),"")</f>
        <v/>
      </c>
      <c r="L593" s="55" t="str">
        <f ca="1">IF(AND(B593="",NOT(A593="")),IF(NOT(LEFT(VLOOKUP(A593,TaskPlan!A:L,3,FALSE),1) = "0"),VLOOKUP(A593,TaskPlan!A:M,4,FALSE),""),"")</f>
        <v/>
      </c>
      <c r="M593" s="58" t="str">
        <f ca="1">IF(B593=".",1,IF(AND(B593="",NOT(A593="")),IF(VLOOKUP(A593,TaskPlan!A:L,5,FALSE)&gt;0,VLOOKUP(A593,TaskPlan!A:L,5,FALSE),""),""))</f>
        <v/>
      </c>
      <c r="N593" s="1" t="str">
        <f ca="1">IF(ISNA(VLOOKUP(A593,Projects!B:B,1,FALSE)),"","Yes")</f>
        <v/>
      </c>
    </row>
    <row r="594" spans="1:14" hidden="1" outlineLevel="1">
      <c r="A594" s="43" t="s">
        <v>915</v>
      </c>
      <c r="C594" s="44" t="s">
        <v>918</v>
      </c>
      <c r="D594" s="7" t="s">
        <v>268</v>
      </c>
      <c r="E594" s="26">
        <v>40072</v>
      </c>
      <c r="H594" s="37">
        <f ca="1">IF(AND(B594="",NOT(A594="")),VLOOKUP(A594,TaskPlan!A:M,13,FALSE),"")</f>
        <v>40225</v>
      </c>
      <c r="I594" s="38" t="str">
        <f ca="1">IF(AND(B594="",NOT(A594="")),VLOOKUP(A594,TaskPlan!A:M,12,FALSE),"")</f>
        <v>Closed</v>
      </c>
      <c r="J594" s="39" t="str">
        <f ca="1">IF(AND(B594="",NOT(A594="")),VLOOKUP(A594,TaskPlan!A:L,2,FALSE),"")</f>
        <v>Neil</v>
      </c>
      <c r="K594" s="39" t="str">
        <f ca="1">IF(AND(B594="",NOT(A594="")),IF(NOT(LEFT(VLOOKUP(A594,TaskPlan!A:L,3,FALSE),1) = "0"),VLOOKUP(A594,TaskPlan!A:L,3,FALSE),""),"")</f>
        <v/>
      </c>
      <c r="L594" s="55" t="str">
        <f ca="1">IF(AND(B594="",NOT(A594="")),IF(NOT(LEFT(VLOOKUP(A594,TaskPlan!A:L,3,FALSE),1) = "0"),VLOOKUP(A594,TaskPlan!A:M,4,FALSE),""),"")</f>
        <v/>
      </c>
      <c r="M594" s="58" t="str">
        <f ca="1">IF(B594=".",1,IF(AND(B594="",NOT(A594="")),IF(VLOOKUP(A594,TaskPlan!A:L,5,FALSE)&gt;0,VLOOKUP(A594,TaskPlan!A:L,5,FALSE),""),""))</f>
        <v/>
      </c>
      <c r="N594" s="1" t="str">
        <f ca="1">IF(ISNA(VLOOKUP(A594,Projects!B:B,1,FALSE)),"","Yes")</f>
        <v/>
      </c>
    </row>
    <row r="595" spans="1:14" hidden="1" outlineLevel="1">
      <c r="A595" s="43" t="s">
        <v>917</v>
      </c>
      <c r="C595" s="44" t="s">
        <v>916</v>
      </c>
      <c r="D595" s="7" t="s">
        <v>52</v>
      </c>
      <c r="E595" s="26">
        <v>40225</v>
      </c>
      <c r="H595" s="37">
        <f ca="1">IF(AND(B595="",NOT(A595="")),VLOOKUP(A595,TaskPlan!A:M,13,FALSE),"")</f>
        <v>40233</v>
      </c>
      <c r="I595" s="38" t="str">
        <f ca="1">IF(AND(B595="",NOT(A595="")),VLOOKUP(A595,TaskPlan!A:M,12,FALSE),"")</f>
        <v>Closed</v>
      </c>
      <c r="J595" s="39" t="str">
        <f ca="1">IF(AND(B595="",NOT(A595="")),VLOOKUP(A595,TaskPlan!A:L,2,FALSE),"")</f>
        <v>Neil</v>
      </c>
      <c r="K595" s="39" t="str">
        <f ca="1">IF(AND(B595="",NOT(A595="")),IF(NOT(LEFT(VLOOKUP(A595,TaskPlan!A:L,3,FALSE),1) = "0"),VLOOKUP(A595,TaskPlan!A:L,3,FALSE),""),"")</f>
        <v/>
      </c>
      <c r="L595" s="55" t="str">
        <f ca="1">IF(AND(B595="",NOT(A595="")),IF(NOT(LEFT(VLOOKUP(A595,TaskPlan!A:L,3,FALSE),1) = "0"),VLOOKUP(A595,TaskPlan!A:M,4,FALSE),""),"")</f>
        <v/>
      </c>
      <c r="M595" s="58" t="str">
        <f ca="1">IF(B595=".",1,IF(AND(B595="",NOT(A595="")),IF(VLOOKUP(A595,TaskPlan!A:L,5,FALSE)&gt;0,VLOOKUP(A595,TaskPlan!A:L,5,FALSE),""),""))</f>
        <v/>
      </c>
      <c r="N595" s="1" t="str">
        <f ca="1">IF(ISNA(VLOOKUP(A595,Projects!B:B,1,FALSE)),"","Yes")</f>
        <v/>
      </c>
    </row>
    <row r="596" spans="1:14" hidden="1" outlineLevel="1">
      <c r="A596" s="43" t="s">
        <v>1025</v>
      </c>
      <c r="C596" s="44" t="s">
        <v>1026</v>
      </c>
      <c r="D596" s="7" t="s">
        <v>11</v>
      </c>
      <c r="E596" s="26">
        <v>40274</v>
      </c>
      <c r="F596" s="25">
        <v>0.5</v>
      </c>
      <c r="G596" s="25" t="s">
        <v>1098</v>
      </c>
      <c r="H596" s="37">
        <f ca="1">IF(AND(B596="",NOT(A596="")),VLOOKUP(A596,TaskPlan!A:M,13,FALSE),"")</f>
        <v>40505</v>
      </c>
      <c r="I596" s="38" t="str">
        <f ca="1">IF(AND(B596="",NOT(A596="")),VLOOKUP(A596,TaskPlan!A:M,12,FALSE),"")</f>
        <v>Not Started</v>
      </c>
      <c r="J596" s="39" t="str">
        <f ca="1">IF(AND(B596="",NOT(A596="")),VLOOKUP(A596,TaskPlan!A:L,2,FALSE),"")</f>
        <v>Sreevani</v>
      </c>
      <c r="K596" s="39" t="str">
        <f ca="1">IF(AND(B596="",NOT(A596="")),IF(NOT(LEFT(VLOOKUP(A596,TaskPlan!A:L,3,FALSE),1) = "0"),VLOOKUP(A596,TaskPlan!A:L,3,FALSE),""),"")</f>
        <v>4-HIGH</v>
      </c>
      <c r="L596" s="55">
        <f ca="1">IF(AND(B596="",NOT(A596="")),IF(NOT(LEFT(VLOOKUP(A596,TaskPlan!A:L,3,FALSE),1) = "0"),VLOOKUP(A596,TaskPlan!A:M,4,FALSE),""),"")</f>
        <v>0</v>
      </c>
      <c r="M596" s="58" t="str">
        <f ca="1">IF(B596=".",1,IF(AND(B596="",NOT(A596="")),IF(VLOOKUP(A596,TaskPlan!A:L,5,FALSE)&gt;0,VLOOKUP(A596,TaskPlan!A:L,5,FALSE),""),""))</f>
        <v/>
      </c>
      <c r="N596" s="1" t="str">
        <f ca="1">IF(ISNA(VLOOKUP(A596,Projects!B:B,1,FALSE)),"","Yes")</f>
        <v/>
      </c>
    </row>
    <row r="597" spans="1:14" hidden="1" outlineLevel="1">
      <c r="A597" s="43" t="s">
        <v>275</v>
      </c>
      <c r="B597" s="7" t="s">
        <v>15</v>
      </c>
      <c r="C597" s="45" t="s">
        <v>277</v>
      </c>
      <c r="D597" s="7"/>
      <c r="E597" s="26"/>
      <c r="H597" s="37" t="str">
        <f ca="1">IF(AND(B597="",NOT(A597="")),VLOOKUP(A597,TaskPlan!A:M,13,FALSE),"")</f>
        <v/>
      </c>
      <c r="I597" s="38" t="str">
        <f ca="1">IF(AND(B597="",NOT(A597="")),VLOOKUP(A597,TaskPlan!A:M,12,FALSE),"")</f>
        <v/>
      </c>
      <c r="J597" s="39" t="str">
        <f ca="1">IF(AND(B597="",NOT(A597="")),VLOOKUP(A597,TaskPlan!A:L,2,FALSE),"")</f>
        <v/>
      </c>
      <c r="K597" s="39" t="str">
        <f ca="1">IF(AND(B597="",NOT(A597="")),IF(NOT(LEFT(VLOOKUP(A597,TaskPlan!A:L,3,FALSE),1) = "0"),VLOOKUP(A597,TaskPlan!A:L,3,FALSE),""),"")</f>
        <v/>
      </c>
      <c r="L597" s="55" t="str">
        <f ca="1">IF(AND(B597="",NOT(A597="")),IF(NOT(LEFT(VLOOKUP(A597,TaskPlan!A:L,3,FALSE),1) = "0"),VLOOKUP(A597,TaskPlan!A:M,4,FALSE),""),"")</f>
        <v/>
      </c>
      <c r="M597" s="58">
        <f ca="1">IF(B597=".",1,IF(AND(B597="",NOT(A597="")),IF(VLOOKUP(A597,TaskPlan!A:L,5,FALSE)&gt;0,VLOOKUP(A597,TaskPlan!A:L,5,FALSE),""),""))</f>
        <v>1</v>
      </c>
      <c r="N597" s="1" t="str">
        <f ca="1">IF(ISNA(VLOOKUP(A597,Projects!B:B,1,FALSE)),"","Yes")</f>
        <v/>
      </c>
    </row>
    <row r="598" spans="1:14" hidden="1" outlineLevel="1">
      <c r="A598" s="43" t="s">
        <v>276</v>
      </c>
      <c r="C598" s="44" t="s">
        <v>223</v>
      </c>
      <c r="D598" s="7" t="s">
        <v>32</v>
      </c>
      <c r="E598" s="26">
        <v>39960</v>
      </c>
      <c r="H598" s="37">
        <f ca="1">IF(AND(B598="",NOT(A598="")),VLOOKUP(A598,TaskPlan!A:M,13,FALSE),"")</f>
        <v>39975</v>
      </c>
      <c r="I598" s="38" t="str">
        <f ca="1">IF(AND(B598="",NOT(A598="")),VLOOKUP(A598,TaskPlan!A:M,12,FALSE),"")</f>
        <v>Closed</v>
      </c>
      <c r="J598" s="39" t="str">
        <f ca="1">IF(AND(B598="",NOT(A598="")),VLOOKUP(A598,TaskPlan!A:L,2,FALSE),"")</f>
        <v>Neil</v>
      </c>
      <c r="K598" s="39" t="str">
        <f ca="1">IF(AND(B598="",NOT(A598="")),IF(NOT(LEFT(VLOOKUP(A598,TaskPlan!A:L,3,FALSE),1) = "0"),VLOOKUP(A598,TaskPlan!A:L,3,FALSE),""),"")</f>
        <v/>
      </c>
      <c r="L598" s="55" t="str">
        <f ca="1">IF(AND(B598="",NOT(A598="")),IF(NOT(LEFT(VLOOKUP(A598,TaskPlan!A:L,3,FALSE),1) = "0"),VLOOKUP(A598,TaskPlan!A:M,4,FALSE),""),"")</f>
        <v/>
      </c>
      <c r="M598" s="58" t="str">
        <f ca="1">IF(B598=".",1,IF(AND(B598="",NOT(A598="")),IF(VLOOKUP(A598,TaskPlan!A:L,5,FALSE)&gt;0,VLOOKUP(A598,TaskPlan!A:L,5,FALSE),""),""))</f>
        <v/>
      </c>
      <c r="N598" s="1" t="str">
        <f ca="1">IF(ISNA(VLOOKUP(A598,Projects!B:B,1,FALSE)),"","Yes")</f>
        <v/>
      </c>
    </row>
    <row r="599" spans="1:14" hidden="1" outlineLevel="1">
      <c r="A599" s="43" t="s">
        <v>301</v>
      </c>
      <c r="C599" s="44" t="s">
        <v>316</v>
      </c>
      <c r="D599" s="7" t="s">
        <v>11</v>
      </c>
      <c r="E599" s="26">
        <v>40003</v>
      </c>
      <c r="F599" s="25">
        <v>2</v>
      </c>
      <c r="G599" s="28" t="s">
        <v>1099</v>
      </c>
      <c r="H599" s="37">
        <f ca="1">IF(AND(B599="",NOT(A599="")),VLOOKUP(A599,TaskPlan!A:M,13,FALSE),"")</f>
        <v>40352</v>
      </c>
      <c r="I599" s="38" t="str">
        <f ca="1">IF(AND(B599="",NOT(A599="")),VLOOKUP(A599,TaskPlan!A:M,12,FALSE),"")</f>
        <v>Closed</v>
      </c>
      <c r="J599" s="39" t="str">
        <f ca="1">IF(AND(B599="",NOT(A599="")),VLOOKUP(A599,TaskPlan!A:L,2,FALSE),"")</f>
        <v>Neil</v>
      </c>
      <c r="K599" s="39" t="str">
        <f ca="1">IF(AND(B599="",NOT(A599="")),IF(NOT(LEFT(VLOOKUP(A599,TaskPlan!A:L,3,FALSE),1) = "0"),VLOOKUP(A599,TaskPlan!A:L,3,FALSE),""),"")</f>
        <v/>
      </c>
      <c r="L599" s="55" t="str">
        <f ca="1">IF(AND(B599="",NOT(A599="")),IF(NOT(LEFT(VLOOKUP(A599,TaskPlan!A:L,3,FALSE),1) = "0"),VLOOKUP(A599,TaskPlan!A:M,4,FALSE),""),"")</f>
        <v/>
      </c>
      <c r="M599" s="58" t="str">
        <f ca="1">IF(B599=".",1,IF(AND(B599="",NOT(A599="")),IF(VLOOKUP(A599,TaskPlan!A:L,5,FALSE)&gt;0,VLOOKUP(A599,TaskPlan!A:L,5,FALSE),""),""))</f>
        <v/>
      </c>
      <c r="N599" s="1" t="str">
        <f ca="1">IF(ISNA(VLOOKUP(A599,Projects!B:B,1,FALSE)),"","Yes")</f>
        <v/>
      </c>
    </row>
    <row r="600" spans="1:14" hidden="1" outlineLevel="1">
      <c r="A600" s="43" t="s">
        <v>334</v>
      </c>
      <c r="C600" s="44" t="s">
        <v>335</v>
      </c>
      <c r="D600" s="7" t="s">
        <v>315</v>
      </c>
      <c r="E600" s="26">
        <v>40024</v>
      </c>
      <c r="F600" s="25">
        <v>2</v>
      </c>
      <c r="G600" s="28" t="s">
        <v>1099</v>
      </c>
      <c r="H600" s="37">
        <f ca="1">IF(AND(B600="",NOT(A600="")),VLOOKUP(A600,TaskPlan!A:M,13,FALSE),"")</f>
        <v>40239</v>
      </c>
      <c r="I600" s="38" t="str">
        <f ca="1">IF(AND(B600="",NOT(A600="")),VLOOKUP(A600,TaskPlan!A:M,12,FALSE),"")</f>
        <v>Not Started</v>
      </c>
      <c r="J600" s="39" t="str">
        <f ca="1">IF(AND(B600="",NOT(A600="")),VLOOKUP(A600,TaskPlan!A:L,2,FALSE),"")</f>
        <v>Unassigned</v>
      </c>
      <c r="K600" s="39" t="str">
        <f ca="1">IF(AND(B600="",NOT(A600="")),IF(NOT(LEFT(VLOOKUP(A600,TaskPlan!A:L,3,FALSE),1) = "0"),VLOOKUP(A600,TaskPlan!A:L,3,FALSE),""),"")</f>
        <v>1-LOW</v>
      </c>
      <c r="L600" s="55">
        <f ca="1">IF(AND(B600="",NOT(A600="")),IF(NOT(LEFT(VLOOKUP(A600,TaskPlan!A:L,3,FALSE),1) = "0"),VLOOKUP(A600,TaskPlan!A:M,4,FALSE),""),"")</f>
        <v>0</v>
      </c>
      <c r="M600" s="58" t="str">
        <f ca="1">IF(B600=".",1,IF(AND(B600="",NOT(A600="")),IF(VLOOKUP(A600,TaskPlan!A:L,5,FALSE)&gt;0,VLOOKUP(A600,TaskPlan!A:L,5,FALSE),""),""))</f>
        <v/>
      </c>
      <c r="N600" s="1" t="str">
        <f ca="1">IF(ISNA(VLOOKUP(A600,Projects!B:B,1,FALSE)),"","Yes")</f>
        <v/>
      </c>
    </row>
    <row r="601" spans="1:14" hidden="1" outlineLevel="1">
      <c r="A601" s="43" t="s">
        <v>355</v>
      </c>
      <c r="C601" s="44" t="s">
        <v>356</v>
      </c>
      <c r="D601" s="7" t="s">
        <v>366</v>
      </c>
      <c r="E601" s="26">
        <v>40053</v>
      </c>
      <c r="F601" s="25">
        <v>1</v>
      </c>
      <c r="G601" s="28" t="s">
        <v>1099</v>
      </c>
      <c r="H601" s="37">
        <f ca="1">IF(AND(B601="",NOT(A601="")),VLOOKUP(A601,TaskPlan!A:M,13,FALSE),"")</f>
        <v>40239</v>
      </c>
      <c r="I601" s="38" t="str">
        <f ca="1">IF(AND(B601="",NOT(A601="")),VLOOKUP(A601,TaskPlan!A:M,12,FALSE),"")</f>
        <v>Not Started</v>
      </c>
      <c r="J601" s="39" t="str">
        <f ca="1">IF(AND(B601="",NOT(A601="")),VLOOKUP(A601,TaskPlan!A:L,2,FALSE),"")</f>
        <v>Unassigned</v>
      </c>
      <c r="K601" s="39" t="str">
        <f ca="1">IF(AND(B601="",NOT(A601="")),IF(NOT(LEFT(VLOOKUP(A601,TaskPlan!A:L,3,FALSE),1) = "0"),VLOOKUP(A601,TaskPlan!A:L,3,FALSE),""),"")</f>
        <v>1-LOW</v>
      </c>
      <c r="L601" s="55">
        <f ca="1">IF(AND(B601="",NOT(A601="")),IF(NOT(LEFT(VLOOKUP(A601,TaskPlan!A:L,3,FALSE),1) = "0"),VLOOKUP(A601,TaskPlan!A:M,4,FALSE),""),"")</f>
        <v>0</v>
      </c>
      <c r="M601" s="58" t="str">
        <f ca="1">IF(B601=".",1,IF(AND(B601="",NOT(A601="")),IF(VLOOKUP(A601,TaskPlan!A:L,5,FALSE)&gt;0,VLOOKUP(A601,TaskPlan!A:L,5,FALSE),""),""))</f>
        <v/>
      </c>
      <c r="N601" s="1" t="str">
        <f ca="1">IF(ISNA(VLOOKUP(A601,Projects!B:B,1,FALSE)),"","Yes")</f>
        <v/>
      </c>
    </row>
    <row r="602" spans="1:14" hidden="1" outlineLevel="1">
      <c r="A602" s="43" t="s">
        <v>394</v>
      </c>
      <c r="C602" s="44" t="s">
        <v>395</v>
      </c>
      <c r="D602" s="7" t="s">
        <v>366</v>
      </c>
      <c r="E602" s="26">
        <v>40053</v>
      </c>
      <c r="F602" s="25">
        <v>0.5</v>
      </c>
      <c r="G602" s="25" t="s">
        <v>1098</v>
      </c>
      <c r="H602" s="37">
        <f ca="1">IF(AND(B602="",NOT(A602="")),VLOOKUP(A602,TaskPlan!A:M,13,FALSE),"")</f>
        <v>40406</v>
      </c>
      <c r="I602" s="38" t="str">
        <f ca="1">IF(AND(B602="",NOT(A602="")),VLOOKUP(A602,TaskPlan!A:M,12,FALSE),"")</f>
        <v>Closed</v>
      </c>
      <c r="J602" s="39" t="str">
        <f ca="1">IF(AND(B602="",NOT(A602="")),VLOOKUP(A602,TaskPlan!A:L,2,FALSE),"")</f>
        <v>Neil</v>
      </c>
      <c r="K602" s="39" t="str">
        <f ca="1">IF(AND(B602="",NOT(A602="")),IF(NOT(LEFT(VLOOKUP(A602,TaskPlan!A:L,3,FALSE),1) = "0"),VLOOKUP(A602,TaskPlan!A:L,3,FALSE),""),"")</f>
        <v/>
      </c>
      <c r="L602" s="55" t="str">
        <f ca="1">IF(AND(B602="",NOT(A602="")),IF(NOT(LEFT(VLOOKUP(A602,TaskPlan!A:L,3,FALSE),1) = "0"),VLOOKUP(A602,TaskPlan!A:M,4,FALSE),""),"")</f>
        <v/>
      </c>
      <c r="M602" s="58" t="str">
        <f ca="1">IF(B602=".",1,IF(AND(B602="",NOT(A602="")),IF(VLOOKUP(A602,TaskPlan!A:L,5,FALSE)&gt;0,VLOOKUP(A602,TaskPlan!A:L,5,FALSE),""),""))</f>
        <v/>
      </c>
      <c r="N602" s="1" t="str">
        <f ca="1">IF(ISNA(VLOOKUP(A602,Projects!B:B,1,FALSE)),"","Yes")</f>
        <v/>
      </c>
    </row>
    <row r="603" spans="1:14" hidden="1" outlineLevel="1">
      <c r="A603" s="43" t="s">
        <v>416</v>
      </c>
      <c r="C603" s="44" t="s">
        <v>417</v>
      </c>
      <c r="D603" s="7" t="s">
        <v>11</v>
      </c>
      <c r="E603" s="26">
        <v>40045</v>
      </c>
      <c r="H603" s="37">
        <f ca="1">IF(AND(B603="",NOT(A603="")),VLOOKUP(A603,TaskPlan!A:M,13,FALSE),"")</f>
        <v>40052</v>
      </c>
      <c r="I603" s="38" t="str">
        <f ca="1">IF(AND(B603="",NOT(A603="")),VLOOKUP(A603,TaskPlan!A:M,12,FALSE),"")</f>
        <v>Closed</v>
      </c>
      <c r="J603" s="39" t="str">
        <f ca="1">IF(AND(B603="",NOT(A603="")),VLOOKUP(A603,TaskPlan!A:L,2,FALSE),"")</f>
        <v>Neil</v>
      </c>
      <c r="K603" s="39" t="str">
        <f ca="1">IF(AND(B603="",NOT(A603="")),IF(NOT(LEFT(VLOOKUP(A603,TaskPlan!A:L,3,FALSE),1) = "0"),VLOOKUP(A603,TaskPlan!A:L,3,FALSE),""),"")</f>
        <v/>
      </c>
      <c r="L603" s="55" t="str">
        <f ca="1">IF(AND(B603="",NOT(A603="")),IF(NOT(LEFT(VLOOKUP(A603,TaskPlan!A:L,3,FALSE),1) = "0"),VLOOKUP(A603,TaskPlan!A:M,4,FALSE),""),"")</f>
        <v/>
      </c>
      <c r="M603" s="58" t="str">
        <f ca="1">IF(B603=".",1,IF(AND(B603="",NOT(A603="")),IF(VLOOKUP(A603,TaskPlan!A:L,5,FALSE)&gt;0,VLOOKUP(A603,TaskPlan!A:L,5,FALSE),""),""))</f>
        <v/>
      </c>
      <c r="N603" s="1" t="str">
        <f ca="1">IF(ISNA(VLOOKUP(A603,Projects!B:B,1,FALSE)),"","Yes")</f>
        <v/>
      </c>
    </row>
    <row r="604" spans="1:14" hidden="1" outlineLevel="1">
      <c r="A604" s="43" t="s">
        <v>505</v>
      </c>
      <c r="C604" s="44" t="s">
        <v>744</v>
      </c>
      <c r="D604" s="7" t="s">
        <v>11</v>
      </c>
      <c r="E604" s="26">
        <v>40086</v>
      </c>
      <c r="F604" s="25">
        <v>0.5</v>
      </c>
      <c r="H604" s="37">
        <f ca="1">IF(AND(B604="",NOT(A604="")),VLOOKUP(A604,TaskPlan!A:M,13,FALSE),"")</f>
        <v>40283</v>
      </c>
      <c r="I604" s="38" t="str">
        <f ca="1">IF(AND(B604="",NOT(A604="")),VLOOKUP(A604,TaskPlan!A:M,12,FALSE),"")</f>
        <v>Closed</v>
      </c>
      <c r="J604" s="39" t="str">
        <f ca="1">IF(AND(B604="",NOT(A604="")),VLOOKUP(A604,TaskPlan!A:L,2,FALSE),"")</f>
        <v>Neil</v>
      </c>
      <c r="K604" s="39" t="str">
        <f ca="1">IF(AND(B604="",NOT(A604="")),IF(NOT(LEFT(VLOOKUP(A604,TaskPlan!A:L,3,FALSE),1) = "0"),VLOOKUP(A604,TaskPlan!A:L,3,FALSE),""),"")</f>
        <v/>
      </c>
      <c r="L604" s="55" t="str">
        <f ca="1">IF(AND(B604="",NOT(A604="")),IF(NOT(LEFT(VLOOKUP(A604,TaskPlan!A:L,3,FALSE),1) = "0"),VLOOKUP(A604,TaskPlan!A:M,4,FALSE),""),"")</f>
        <v/>
      </c>
      <c r="M604" s="58" t="str">
        <f ca="1">IF(B604=".",1,IF(AND(B604="",NOT(A604="")),IF(VLOOKUP(A604,TaskPlan!A:L,5,FALSE)&gt;0,VLOOKUP(A604,TaskPlan!A:L,5,FALSE),""),""))</f>
        <v/>
      </c>
      <c r="N604" s="1" t="str">
        <f ca="1">IF(ISNA(VLOOKUP(A604,Projects!B:B,1,FALSE)),"","Yes")</f>
        <v/>
      </c>
    </row>
    <row r="605" spans="1:14" hidden="1" outlineLevel="1">
      <c r="A605" s="43" t="s">
        <v>714</v>
      </c>
      <c r="C605" s="44" t="s">
        <v>715</v>
      </c>
      <c r="D605" s="7" t="s">
        <v>11</v>
      </c>
      <c r="E605" s="26">
        <v>40135</v>
      </c>
      <c r="F605" s="25">
        <f>1*52</f>
        <v>52</v>
      </c>
      <c r="G605" s="28" t="s">
        <v>289</v>
      </c>
      <c r="H605" s="37">
        <f ca="1">IF(AND(B605="",NOT(A605="")),VLOOKUP(A605,TaskPlan!A:M,13,FALSE),"")</f>
        <v>40304</v>
      </c>
      <c r="I605" s="38" t="str">
        <f ca="1">IF(AND(B605="",NOT(A605="")),VLOOKUP(A605,TaskPlan!A:M,12,FALSE),"")</f>
        <v>Support</v>
      </c>
      <c r="J605" s="39" t="str">
        <f ca="1">IF(AND(B605="",NOT(A605="")),VLOOKUP(A605,TaskPlan!A:L,2,FALSE),"")</f>
        <v>Neil</v>
      </c>
      <c r="K605" s="39" t="str">
        <f ca="1">IF(AND(B605="",NOT(A605="")),IF(NOT(LEFT(VLOOKUP(A605,TaskPlan!A:L,3,FALSE),1) = "0"),VLOOKUP(A605,TaskPlan!A:L,3,FALSE),""),"")</f>
        <v>4-HIGH</v>
      </c>
      <c r="L605" s="55">
        <f ca="1">IF(AND(B605="",NOT(A605="")),IF(NOT(LEFT(VLOOKUP(A605,TaskPlan!A:L,3,FALSE),1) = "0"),VLOOKUP(A605,TaskPlan!A:M,4,FALSE),""),"")</f>
        <v>0</v>
      </c>
      <c r="M605" s="58" t="str">
        <f ca="1">IF(B605=".",1,IF(AND(B605="",NOT(A605="")),IF(VLOOKUP(A605,TaskPlan!A:L,5,FALSE)&gt;0,VLOOKUP(A605,TaskPlan!A:L,5,FALSE),""),""))</f>
        <v/>
      </c>
      <c r="N605" s="1" t="str">
        <f ca="1">IF(ISNA(VLOOKUP(A605,Projects!B:B,1,FALSE)),"","Yes")</f>
        <v/>
      </c>
    </row>
    <row r="606" spans="1:14" ht="25.5" hidden="1" outlineLevel="1">
      <c r="A606" s="43" t="s">
        <v>812</v>
      </c>
      <c r="C606" s="44" t="s">
        <v>813</v>
      </c>
      <c r="D606" s="7" t="s">
        <v>11</v>
      </c>
      <c r="E606" s="26">
        <v>40182</v>
      </c>
      <c r="F606" s="25">
        <v>15</v>
      </c>
      <c r="H606" s="37">
        <f ca="1">IF(AND(B606="",NOT(A606="")),VLOOKUP(A606,TaskPlan!A:M,13,FALSE),"")</f>
        <v>40245</v>
      </c>
      <c r="I606" s="38" t="str">
        <f ca="1">IF(AND(B606="",NOT(A606="")),VLOOKUP(A606,TaskPlan!A:M,12,FALSE),"")</f>
        <v>Closed</v>
      </c>
      <c r="J606" s="39" t="str">
        <f ca="1">IF(AND(B606="",NOT(A606="")),VLOOKUP(A606,TaskPlan!A:L,2,FALSE),"")</f>
        <v>Sachin</v>
      </c>
      <c r="K606" s="39" t="str">
        <f ca="1">IF(AND(B606="",NOT(A606="")),IF(NOT(LEFT(VLOOKUP(A606,TaskPlan!A:L,3,FALSE),1) = "0"),VLOOKUP(A606,TaskPlan!A:L,3,FALSE),""),"")</f>
        <v/>
      </c>
      <c r="L606" s="55" t="str">
        <f ca="1">IF(AND(B606="",NOT(A606="")),IF(NOT(LEFT(VLOOKUP(A606,TaskPlan!A:L,3,FALSE),1) = "0"),VLOOKUP(A606,TaskPlan!A:M,4,FALSE),""),"")</f>
        <v/>
      </c>
      <c r="M606" s="58" t="str">
        <f ca="1">IF(B606=".",1,IF(AND(B606="",NOT(A606="")),IF(VLOOKUP(A606,TaskPlan!A:L,5,FALSE)&gt;0,VLOOKUP(A606,TaskPlan!A:L,5,FALSE),""),""))</f>
        <v/>
      </c>
      <c r="N606" s="1" t="str">
        <f ca="1">IF(ISNA(VLOOKUP(A606,Projects!B:B,1,FALSE)),"","Yes")</f>
        <v/>
      </c>
    </row>
    <row r="607" spans="1:14" hidden="1" outlineLevel="1">
      <c r="A607" s="43" t="s">
        <v>824</v>
      </c>
      <c r="C607" s="44" t="s">
        <v>827</v>
      </c>
      <c r="D607" s="7" t="s">
        <v>11</v>
      </c>
      <c r="E607" s="26">
        <v>40192</v>
      </c>
      <c r="F607" s="25">
        <v>1</v>
      </c>
      <c r="G607" s="28" t="s">
        <v>1100</v>
      </c>
      <c r="H607" s="37">
        <f ca="1">IF(AND(B607="",NOT(A607="")),VLOOKUP(A607,TaskPlan!A:M,13,FALSE),"")</f>
        <v>40325</v>
      </c>
      <c r="I607" s="38" t="str">
        <f ca="1">IF(AND(B607="",NOT(A607="")),VLOOKUP(A607,TaskPlan!A:M,12,FALSE),"")</f>
        <v>Closed</v>
      </c>
      <c r="J607" s="39" t="str">
        <f ca="1">IF(AND(B607="",NOT(A607="")),VLOOKUP(A607,TaskPlan!A:L,2,FALSE),"")</f>
        <v>Neil</v>
      </c>
      <c r="K607" s="39" t="str">
        <f ca="1">IF(AND(B607="",NOT(A607="")),IF(NOT(LEFT(VLOOKUP(A607,TaskPlan!A:L,3,FALSE),1) = "0"),VLOOKUP(A607,TaskPlan!A:L,3,FALSE),""),"")</f>
        <v/>
      </c>
      <c r="L607" s="55" t="str">
        <f ca="1">IF(AND(B607="",NOT(A607="")),IF(NOT(LEFT(VLOOKUP(A607,TaskPlan!A:L,3,FALSE),1) = "0"),VLOOKUP(A607,TaskPlan!A:M,4,FALSE),""),"")</f>
        <v/>
      </c>
      <c r="M607" s="58" t="str">
        <f ca="1">IF(B607=".",1,IF(AND(B607="",NOT(A607="")),IF(VLOOKUP(A607,TaskPlan!A:L,5,FALSE)&gt;0,VLOOKUP(A607,TaskPlan!A:L,5,FALSE),""),""))</f>
        <v/>
      </c>
      <c r="N607" s="1" t="str">
        <f ca="1">IF(ISNA(VLOOKUP(A607,Projects!B:B,1,FALSE)),"","Yes")</f>
        <v/>
      </c>
    </row>
    <row r="608" spans="1:14" hidden="1" outlineLevel="1">
      <c r="A608" s="43" t="s">
        <v>826</v>
      </c>
      <c r="C608" s="44" t="s">
        <v>825</v>
      </c>
      <c r="D608" s="7" t="s">
        <v>11</v>
      </c>
      <c r="E608" s="26">
        <v>40192</v>
      </c>
      <c r="F608" s="25">
        <v>1</v>
      </c>
      <c r="G608" s="28" t="s">
        <v>1100</v>
      </c>
      <c r="H608" s="37">
        <f ca="1">IF(AND(B608="",NOT(A608="")),VLOOKUP(A608,TaskPlan!A:M,13,FALSE),"")</f>
        <v>40308</v>
      </c>
      <c r="I608" s="38" t="str">
        <f ca="1">IF(AND(B608="",NOT(A608="")),VLOOKUP(A608,TaskPlan!A:M,12,FALSE),"")</f>
        <v>Closed</v>
      </c>
      <c r="J608" s="39" t="str">
        <f ca="1">IF(AND(B608="",NOT(A608="")),VLOOKUP(A608,TaskPlan!A:L,2,FALSE),"")</f>
        <v>Neil</v>
      </c>
      <c r="K608" s="39" t="str">
        <f ca="1">IF(AND(B608="",NOT(A608="")),IF(NOT(LEFT(VLOOKUP(A608,TaskPlan!A:L,3,FALSE),1) = "0"),VLOOKUP(A608,TaskPlan!A:L,3,FALSE),""),"")</f>
        <v/>
      </c>
      <c r="L608" s="55" t="str">
        <f ca="1">IF(AND(B608="",NOT(A608="")),IF(NOT(LEFT(VLOOKUP(A608,TaskPlan!A:L,3,FALSE),1) = "0"),VLOOKUP(A608,TaskPlan!A:M,4,FALSE),""),"")</f>
        <v/>
      </c>
      <c r="M608" s="58" t="str">
        <f ca="1">IF(B608=".",1,IF(AND(B608="",NOT(A608="")),IF(VLOOKUP(A608,TaskPlan!A:L,5,FALSE)&gt;0,VLOOKUP(A608,TaskPlan!A:L,5,FALSE),""),""))</f>
        <v/>
      </c>
      <c r="N608" s="1" t="str">
        <f ca="1">IF(ISNA(VLOOKUP(A608,Projects!B:B,1,FALSE)),"","Yes")</f>
        <v/>
      </c>
    </row>
    <row r="609" spans="1:14" hidden="1" outlineLevel="1">
      <c r="A609" s="43" t="s">
        <v>851</v>
      </c>
      <c r="C609" s="44" t="s">
        <v>852</v>
      </c>
      <c r="D609" s="7" t="s">
        <v>315</v>
      </c>
      <c r="E609" s="26">
        <v>40198</v>
      </c>
      <c r="F609" s="25">
        <v>1</v>
      </c>
      <c r="H609" s="37">
        <f ca="1">IF(AND(B609="",NOT(A609="")),VLOOKUP(A609,TaskPlan!A:M,13,FALSE),"")</f>
        <v>40213</v>
      </c>
      <c r="I609" s="38" t="str">
        <f ca="1">IF(AND(B609="",NOT(A609="")),VLOOKUP(A609,TaskPlan!A:M,12,FALSE),"")</f>
        <v>Closed</v>
      </c>
      <c r="J609" s="39" t="str">
        <f ca="1">IF(AND(B609="",NOT(A609="")),VLOOKUP(A609,TaskPlan!A:L,2,FALSE),"")</f>
        <v>Neil</v>
      </c>
      <c r="K609" s="39" t="str">
        <f ca="1">IF(AND(B609="",NOT(A609="")),IF(NOT(LEFT(VLOOKUP(A609,TaskPlan!A:L,3,FALSE),1) = "0"),VLOOKUP(A609,TaskPlan!A:L,3,FALSE),""),"")</f>
        <v/>
      </c>
      <c r="L609" s="55" t="str">
        <f ca="1">IF(AND(B609="",NOT(A609="")),IF(NOT(LEFT(VLOOKUP(A609,TaskPlan!A:L,3,FALSE),1) = "0"),VLOOKUP(A609,TaskPlan!A:M,4,FALSE),""),"")</f>
        <v/>
      </c>
      <c r="M609" s="58" t="str">
        <f ca="1">IF(B609=".",1,IF(AND(B609="",NOT(A609="")),IF(VLOOKUP(A609,TaskPlan!A:L,5,FALSE)&gt;0,VLOOKUP(A609,TaskPlan!A:L,5,FALSE),""),""))</f>
        <v/>
      </c>
      <c r="N609" s="1" t="str">
        <f ca="1">IF(ISNA(VLOOKUP(A609,Projects!B:B,1,FALSE)),"","Yes")</f>
        <v/>
      </c>
    </row>
    <row r="610" spans="1:14" hidden="1" outlineLevel="1">
      <c r="A610" s="43" t="s">
        <v>922</v>
      </c>
      <c r="C610" s="44" t="s">
        <v>923</v>
      </c>
      <c r="D610" s="7" t="s">
        <v>11</v>
      </c>
      <c r="E610" s="26">
        <v>40232</v>
      </c>
      <c r="F610" s="25">
        <v>1</v>
      </c>
      <c r="H610" s="37">
        <f ca="1">IF(AND(B610="",NOT(A610="")),VLOOKUP(A610,TaskPlan!A:M,13,FALSE),"")</f>
        <v>40283</v>
      </c>
      <c r="I610" s="38" t="str">
        <f ca="1">IF(AND(B610="",NOT(A610="")),VLOOKUP(A610,TaskPlan!A:M,12,FALSE),"")</f>
        <v>Closed</v>
      </c>
      <c r="J610" s="39" t="str">
        <f ca="1">IF(AND(B610="",NOT(A610="")),VLOOKUP(A610,TaskPlan!A:L,2,FALSE),"")</f>
        <v>Sachin</v>
      </c>
      <c r="K610" s="39" t="str">
        <f ca="1">IF(AND(B610="",NOT(A610="")),IF(NOT(LEFT(VLOOKUP(A610,TaskPlan!A:L,3,FALSE),1) = "0"),VLOOKUP(A610,TaskPlan!A:L,3,FALSE),""),"")</f>
        <v/>
      </c>
      <c r="L610" s="55" t="str">
        <f ca="1">IF(AND(B610="",NOT(A610="")),IF(NOT(LEFT(VLOOKUP(A610,TaskPlan!A:L,3,FALSE),1) = "0"),VLOOKUP(A610,TaskPlan!A:M,4,FALSE),""),"")</f>
        <v/>
      </c>
      <c r="M610" s="58" t="str">
        <f ca="1">IF(B610=".",1,IF(AND(B610="",NOT(A610="")),IF(VLOOKUP(A610,TaskPlan!A:L,5,FALSE)&gt;0,VLOOKUP(A610,TaskPlan!A:L,5,FALSE),""),""))</f>
        <v/>
      </c>
      <c r="N610" s="1" t="str">
        <f ca="1">IF(ISNA(VLOOKUP(A610,Projects!B:B,1,FALSE)),"","Yes")</f>
        <v/>
      </c>
    </row>
    <row r="611" spans="1:14" hidden="1" outlineLevel="1">
      <c r="A611" s="43" t="s">
        <v>955</v>
      </c>
      <c r="C611" s="44" t="s">
        <v>956</v>
      </c>
      <c r="D611" s="7" t="s">
        <v>759</v>
      </c>
      <c r="E611" s="26">
        <v>40240</v>
      </c>
      <c r="F611" s="25">
        <v>1</v>
      </c>
      <c r="H611" s="37">
        <f ca="1">IF(AND(B611="",NOT(A611="")),VLOOKUP(A611,TaskPlan!A:M,13,FALSE),"")</f>
        <v>40283</v>
      </c>
      <c r="I611" s="38" t="str">
        <f ca="1">IF(AND(B611="",NOT(A611="")),VLOOKUP(A611,TaskPlan!A:M,12,FALSE),"")</f>
        <v>Closed</v>
      </c>
      <c r="J611" s="39" t="str">
        <f ca="1">IF(AND(B611="",NOT(A611="")),VLOOKUP(A611,TaskPlan!A:L,2,FALSE),"")</f>
        <v>Neil</v>
      </c>
      <c r="K611" s="39" t="str">
        <f ca="1">IF(AND(B611="",NOT(A611="")),IF(NOT(LEFT(VLOOKUP(A611,TaskPlan!A:L,3,FALSE),1) = "0"),VLOOKUP(A611,TaskPlan!A:L,3,FALSE),""),"")</f>
        <v/>
      </c>
      <c r="L611" s="55" t="str">
        <f ca="1">IF(AND(B611="",NOT(A611="")),IF(NOT(LEFT(VLOOKUP(A611,TaskPlan!A:L,3,FALSE),1) = "0"),VLOOKUP(A611,TaskPlan!A:M,4,FALSE),""),"")</f>
        <v/>
      </c>
      <c r="M611" s="58" t="str">
        <f ca="1">IF(B611=".",1,IF(AND(B611="",NOT(A611="")),IF(VLOOKUP(A611,TaskPlan!A:L,5,FALSE)&gt;0,VLOOKUP(A611,TaskPlan!A:L,5,FALSE),""),""))</f>
        <v/>
      </c>
      <c r="N611" s="1" t="str">
        <f ca="1">IF(ISNA(VLOOKUP(A611,Projects!B:B,1,FALSE)),"","Yes")</f>
        <v/>
      </c>
    </row>
    <row r="612" spans="1:14" hidden="1" outlineLevel="1">
      <c r="A612" s="43" t="s">
        <v>979</v>
      </c>
      <c r="C612" s="44" t="s">
        <v>980</v>
      </c>
      <c r="D612" s="7" t="s">
        <v>366</v>
      </c>
      <c r="E612" s="26">
        <v>40245</v>
      </c>
      <c r="F612" s="25">
        <v>2</v>
      </c>
      <c r="G612" s="25" t="s">
        <v>1098</v>
      </c>
      <c r="H612" s="37">
        <f ca="1">IF(AND(B612="",NOT(A612="")),VLOOKUP(A612,TaskPlan!A:M,13,FALSE),"")</f>
        <v>40406</v>
      </c>
      <c r="I612" s="38" t="str">
        <f ca="1">IF(AND(B612="",NOT(A612="")),VLOOKUP(A612,TaskPlan!A:M,12,FALSE),"")</f>
        <v>Closed</v>
      </c>
      <c r="J612" s="39" t="str">
        <f ca="1">IF(AND(B612="",NOT(A612="")),VLOOKUP(A612,TaskPlan!A:L,2,FALSE),"")</f>
        <v>Neil</v>
      </c>
      <c r="K612" s="39" t="str">
        <f ca="1">IF(AND(B612="",NOT(A612="")),IF(NOT(LEFT(VLOOKUP(A612,TaskPlan!A:L,3,FALSE),1) = "0"),VLOOKUP(A612,TaskPlan!A:L,3,FALSE),""),"")</f>
        <v/>
      </c>
      <c r="L612" s="55" t="str">
        <f ca="1">IF(AND(B612="",NOT(A612="")),IF(NOT(LEFT(VLOOKUP(A612,TaskPlan!A:L,3,FALSE),1) = "0"),VLOOKUP(A612,TaskPlan!A:M,4,FALSE),""),"")</f>
        <v/>
      </c>
      <c r="M612" s="58" t="str">
        <f ca="1">IF(B612=".",1,IF(AND(B612="",NOT(A612="")),IF(VLOOKUP(A612,TaskPlan!A:L,5,FALSE)&gt;0,VLOOKUP(A612,TaskPlan!A:L,5,FALSE),""),""))</f>
        <v/>
      </c>
      <c r="N612" s="1" t="str">
        <f ca="1">IF(ISNA(VLOOKUP(A612,Projects!B:B,1,FALSE)),"","Yes")</f>
        <v/>
      </c>
    </row>
    <row r="613" spans="1:14" hidden="1" outlineLevel="1">
      <c r="A613" s="43" t="s">
        <v>1030</v>
      </c>
      <c r="C613" s="44" t="s">
        <v>1031</v>
      </c>
      <c r="D613" s="7" t="s">
        <v>11</v>
      </c>
      <c r="E613" s="26">
        <v>40274</v>
      </c>
      <c r="F613" s="25">
        <v>2</v>
      </c>
      <c r="G613" s="28" t="s">
        <v>1099</v>
      </c>
      <c r="H613" s="37">
        <f ca="1">IF(AND(B613="",NOT(A613="")),VLOOKUP(A613,TaskPlan!A:M,13,FALSE),"")</f>
        <v>40452</v>
      </c>
      <c r="I613" s="38" t="str">
        <f ca="1">IF(AND(B613="",NOT(A613="")),VLOOKUP(A613,TaskPlan!A:M,12,FALSE),"")</f>
        <v>In Progress</v>
      </c>
      <c r="J613" s="39" t="str">
        <f ca="1">IF(AND(B613="",NOT(A613="")),VLOOKUP(A613,TaskPlan!A:L,2,FALSE),"")</f>
        <v>Neil</v>
      </c>
      <c r="K613" s="39" t="str">
        <f ca="1">IF(AND(B613="",NOT(A613="")),IF(NOT(LEFT(VLOOKUP(A613,TaskPlan!A:L,3,FALSE),1) = "0"),VLOOKUP(A613,TaskPlan!A:L,3,FALSE),""),"")</f>
        <v>4-HIGH</v>
      </c>
      <c r="L613" s="55">
        <f ca="1">IF(AND(B613="",NOT(A613="")),IF(NOT(LEFT(VLOOKUP(A613,TaskPlan!A:L,3,FALSE),1) = "0"),VLOOKUP(A613,TaskPlan!A:M,4,FALSE),""),"")</f>
        <v>0</v>
      </c>
      <c r="M613" s="58" t="str">
        <f ca="1">IF(B613=".",1,IF(AND(B613="",NOT(A613="")),IF(VLOOKUP(A613,TaskPlan!A:L,5,FALSE)&gt;0,VLOOKUP(A613,TaskPlan!A:L,5,FALSE),""),""))</f>
        <v/>
      </c>
      <c r="N613" s="1" t="str">
        <f ca="1">IF(ISNA(VLOOKUP(A613,Projects!B:B,1,FALSE)),"","Yes")</f>
        <v/>
      </c>
    </row>
    <row r="614" spans="1:14" hidden="1" outlineLevel="1">
      <c r="A614" s="43" t="s">
        <v>1032</v>
      </c>
      <c r="C614" s="44" t="s">
        <v>1033</v>
      </c>
      <c r="D614" s="7" t="s">
        <v>11</v>
      </c>
      <c r="E614" s="26">
        <v>40274</v>
      </c>
      <c r="F614" s="25">
        <v>1</v>
      </c>
      <c r="G614" s="28" t="s">
        <v>1099</v>
      </c>
      <c r="H614" s="37">
        <f ca="1">IF(AND(B614="",NOT(A614="")),VLOOKUP(A614,TaskPlan!A:M,13,FALSE),"")</f>
        <v>40283</v>
      </c>
      <c r="I614" s="38" t="str">
        <f ca="1">IF(AND(B614="",NOT(A614="")),VLOOKUP(A614,TaskPlan!A:M,12,FALSE),"")</f>
        <v>Not Started</v>
      </c>
      <c r="J614" s="39" t="str">
        <f ca="1">IF(AND(B614="",NOT(A614="")),VLOOKUP(A614,TaskPlan!A:L,2,FALSE),"")</f>
        <v>Unassigned</v>
      </c>
      <c r="K614" s="39" t="str">
        <f ca="1">IF(AND(B614="",NOT(A614="")),IF(NOT(LEFT(VLOOKUP(A614,TaskPlan!A:L,3,FALSE),1) = "0"),VLOOKUP(A614,TaskPlan!A:L,3,FALSE),""),"")</f>
        <v>3-MED</v>
      </c>
      <c r="L614" s="55">
        <f ca="1">IF(AND(B614="",NOT(A614="")),IF(NOT(LEFT(VLOOKUP(A614,TaskPlan!A:L,3,FALSE),1) = "0"),VLOOKUP(A614,TaskPlan!A:M,4,FALSE),""),"")</f>
        <v>0</v>
      </c>
      <c r="M614" s="58" t="str">
        <f ca="1">IF(B614=".",1,IF(AND(B614="",NOT(A614="")),IF(VLOOKUP(A614,TaskPlan!A:L,5,FALSE)&gt;0,VLOOKUP(A614,TaskPlan!A:L,5,FALSE),""),""))</f>
        <v/>
      </c>
      <c r="N614" s="1" t="str">
        <f ca="1">IF(ISNA(VLOOKUP(A614,Projects!B:B,1,FALSE)),"","Yes")</f>
        <v/>
      </c>
    </row>
    <row r="615" spans="1:14" hidden="1" outlineLevel="1">
      <c r="A615" s="43" t="s">
        <v>1034</v>
      </c>
      <c r="C615" s="44" t="s">
        <v>1035</v>
      </c>
      <c r="D615" s="7" t="s">
        <v>11</v>
      </c>
      <c r="E615" s="26">
        <v>40274</v>
      </c>
      <c r="F615" s="25">
        <v>1</v>
      </c>
      <c r="G615" s="28" t="s">
        <v>1100</v>
      </c>
      <c r="H615" s="37">
        <f ca="1">IF(AND(B615="",NOT(A615="")),VLOOKUP(A615,TaskPlan!A:M,13,FALSE),"")</f>
        <v>40304</v>
      </c>
      <c r="I615" s="38" t="str">
        <f ca="1">IF(AND(B615="",NOT(A615="")),VLOOKUP(A615,TaskPlan!A:M,12,FALSE),"")</f>
        <v>Closed</v>
      </c>
      <c r="J615" s="39" t="str">
        <f ca="1">IF(AND(B615="",NOT(A615="")),VLOOKUP(A615,TaskPlan!A:L,2,FALSE),"")</f>
        <v>Neil</v>
      </c>
      <c r="K615" s="39" t="str">
        <f ca="1">IF(AND(B615="",NOT(A615="")),IF(NOT(LEFT(VLOOKUP(A615,TaskPlan!A:L,3,FALSE),1) = "0"),VLOOKUP(A615,TaskPlan!A:L,3,FALSE),""),"")</f>
        <v/>
      </c>
      <c r="L615" s="55" t="str">
        <f ca="1">IF(AND(B615="",NOT(A615="")),IF(NOT(LEFT(VLOOKUP(A615,TaskPlan!A:L,3,FALSE),1) = "0"),VLOOKUP(A615,TaskPlan!A:M,4,FALSE),""),"")</f>
        <v/>
      </c>
      <c r="M615" s="58" t="str">
        <f ca="1">IF(B615=".",1,IF(AND(B615="",NOT(A615="")),IF(VLOOKUP(A615,TaskPlan!A:L,5,FALSE)&gt;0,VLOOKUP(A615,TaskPlan!A:L,5,FALSE),""),""))</f>
        <v/>
      </c>
      <c r="N615" s="1" t="str">
        <f ca="1">IF(ISNA(VLOOKUP(A615,Projects!B:B,1,FALSE)),"","Yes")</f>
        <v/>
      </c>
    </row>
    <row r="616" spans="1:14" ht="25.5" hidden="1" outlineLevel="1">
      <c r="A616" s="43" t="s">
        <v>1050</v>
      </c>
      <c r="C616" s="44" t="s">
        <v>1051</v>
      </c>
      <c r="D616" s="7" t="s">
        <v>11</v>
      </c>
      <c r="E616" s="26">
        <v>40281</v>
      </c>
      <c r="F616" s="25">
        <v>0.5</v>
      </c>
      <c r="G616" s="28" t="s">
        <v>1099</v>
      </c>
      <c r="H616" s="37">
        <f ca="1">IF(AND(B616="",NOT(A616="")),VLOOKUP(A616,TaskPlan!A:M,13,FALSE),"")</f>
        <v>40407</v>
      </c>
      <c r="I616" s="38" t="str">
        <f ca="1">IF(AND(B616="",NOT(A616="")),VLOOKUP(A616,TaskPlan!A:M,12,FALSE),"")</f>
        <v>Closed</v>
      </c>
      <c r="J616" s="39" t="str">
        <f ca="1">IF(AND(B616="",NOT(A616="")),VLOOKUP(A616,TaskPlan!A:L,2,FALSE),"")</f>
        <v>Pramendra</v>
      </c>
      <c r="K616" s="39" t="str">
        <f ca="1">IF(AND(B616="",NOT(A616="")),IF(NOT(LEFT(VLOOKUP(A616,TaskPlan!A:L,3,FALSE),1) = "0"),VLOOKUP(A616,TaskPlan!A:L,3,FALSE),""),"")</f>
        <v/>
      </c>
      <c r="L616" s="55" t="str">
        <f ca="1">IF(AND(B616="",NOT(A616="")),IF(NOT(LEFT(VLOOKUP(A616,TaskPlan!A:L,3,FALSE),1) = "0"),VLOOKUP(A616,TaskPlan!A:M,4,FALSE),""),"")</f>
        <v/>
      </c>
      <c r="M616" s="58" t="str">
        <f ca="1">IF(B616=".",1,IF(AND(B616="",NOT(A616="")),IF(VLOOKUP(A616,TaskPlan!A:L,5,FALSE)&gt;0,VLOOKUP(A616,TaskPlan!A:L,5,FALSE),""),""))</f>
        <v/>
      </c>
      <c r="N616" s="1" t="str">
        <f ca="1">IF(ISNA(VLOOKUP(A616,Projects!B:B,1,FALSE)),"","Yes")</f>
        <v/>
      </c>
    </row>
    <row r="617" spans="1:14" hidden="1" outlineLevel="1">
      <c r="A617" s="43" t="s">
        <v>1160</v>
      </c>
      <c r="C617" s="44" t="s">
        <v>1161</v>
      </c>
      <c r="D617" s="7" t="s">
        <v>11</v>
      </c>
      <c r="E617" s="26">
        <v>40318</v>
      </c>
      <c r="F617" s="25">
        <v>0.5</v>
      </c>
      <c r="G617" s="28" t="s">
        <v>1099</v>
      </c>
      <c r="H617" s="37">
        <f ca="1">IF(AND(B617="",NOT(A617="")),VLOOKUP(A617,TaskPlan!A:M,13,FALSE),"")</f>
        <v>40374</v>
      </c>
      <c r="I617" s="38" t="str">
        <f ca="1">IF(AND(B617="",NOT(A617="")),VLOOKUP(A617,TaskPlan!A:M,12,FALSE),"")</f>
        <v>Closed</v>
      </c>
      <c r="J617" s="39" t="str">
        <f ca="1">IF(AND(B617="",NOT(A617="")),VLOOKUP(A617,TaskPlan!A:L,2,FALSE),"")</f>
        <v>Neil</v>
      </c>
      <c r="K617" s="39" t="str">
        <f ca="1">IF(AND(B617="",NOT(A617="")),IF(NOT(LEFT(VLOOKUP(A617,TaskPlan!A:L,3,FALSE),1) = "0"),VLOOKUP(A617,TaskPlan!A:L,3,FALSE),""),"")</f>
        <v/>
      </c>
      <c r="L617" s="55" t="str">
        <f ca="1">IF(AND(B617="",NOT(A617="")),IF(NOT(LEFT(VLOOKUP(A617,TaskPlan!A:L,3,FALSE),1) = "0"),VLOOKUP(A617,TaskPlan!A:M,4,FALSE),""),"")</f>
        <v/>
      </c>
      <c r="M617" s="58" t="str">
        <f ca="1">IF(B617=".",1,IF(AND(B617="",NOT(A617="")),IF(VLOOKUP(A617,TaskPlan!A:L,5,FALSE)&gt;0,VLOOKUP(A617,TaskPlan!A:L,5,FALSE),""),""))</f>
        <v/>
      </c>
      <c r="N617" s="1" t="str">
        <f ca="1">IF(ISNA(VLOOKUP(A617,Projects!B:B,1,FALSE)),"","Yes")</f>
        <v/>
      </c>
    </row>
    <row r="618" spans="1:14" hidden="1" outlineLevel="1">
      <c r="A618" s="43" t="s">
        <v>1171</v>
      </c>
      <c r="C618" s="44" t="s">
        <v>1172</v>
      </c>
      <c r="D618" s="7" t="s">
        <v>11</v>
      </c>
      <c r="E618" s="26">
        <v>40319</v>
      </c>
      <c r="F618" s="25">
        <v>0.5</v>
      </c>
      <c r="G618" s="28" t="s">
        <v>1100</v>
      </c>
      <c r="H618" s="37">
        <f ca="1">IF(AND(B618="",NOT(A618="")),VLOOKUP(A618,TaskPlan!A:M,13,FALSE),"")</f>
        <v>40357</v>
      </c>
      <c r="I618" s="38" t="str">
        <f ca="1">IF(AND(B618="",NOT(A618="")),VLOOKUP(A618,TaskPlan!A:M,12,FALSE),"")</f>
        <v>Closed</v>
      </c>
      <c r="J618" s="39" t="str">
        <f ca="1">IF(AND(B618="",NOT(A618="")),VLOOKUP(A618,TaskPlan!A:L,2,FALSE),"")</f>
        <v>Neil</v>
      </c>
      <c r="K618" s="39" t="str">
        <f ca="1">IF(AND(B618="",NOT(A618="")),IF(NOT(LEFT(VLOOKUP(A618,TaskPlan!A:L,3,FALSE),1) = "0"),VLOOKUP(A618,TaskPlan!A:L,3,FALSE),""),"")</f>
        <v/>
      </c>
      <c r="L618" s="55" t="str">
        <f ca="1">IF(AND(B618="",NOT(A618="")),IF(NOT(LEFT(VLOOKUP(A618,TaskPlan!A:L,3,FALSE),1) = "0"),VLOOKUP(A618,TaskPlan!A:M,4,FALSE),""),"")</f>
        <v/>
      </c>
      <c r="N618" s="1" t="str">
        <f ca="1">IF(ISNA(VLOOKUP(A618,Projects!B:B,1,FALSE)),"","Yes")</f>
        <v/>
      </c>
    </row>
    <row r="619" spans="1:14" hidden="1" outlineLevel="1">
      <c r="A619" s="43" t="s">
        <v>1188</v>
      </c>
      <c r="C619" s="44" t="s">
        <v>1189</v>
      </c>
      <c r="D619" s="7" t="s">
        <v>11</v>
      </c>
      <c r="E619" s="26">
        <v>40336</v>
      </c>
      <c r="F619" s="25">
        <v>0.5</v>
      </c>
      <c r="G619" s="28" t="s">
        <v>1100</v>
      </c>
      <c r="H619" s="37">
        <f ca="1">IF(AND(B619="",NOT(A619="")),VLOOKUP(A619,TaskPlan!A:M,13,FALSE),"")</f>
        <v>40361</v>
      </c>
      <c r="I619" s="38" t="str">
        <f ca="1">IF(AND(B619="",NOT(A619="")),VLOOKUP(A619,TaskPlan!A:M,12,FALSE),"")</f>
        <v>Closed</v>
      </c>
      <c r="J619" s="39" t="str">
        <f ca="1">IF(AND(B619="",NOT(A619="")),VLOOKUP(A619,TaskPlan!A:L,2,FALSE),"")</f>
        <v>Paresh</v>
      </c>
      <c r="K619" s="39" t="str">
        <f ca="1">IF(AND(B619="",NOT(A619="")),IF(NOT(LEFT(VLOOKUP(A619,TaskPlan!A:L,3,FALSE),1) = "0"),VLOOKUP(A619,TaskPlan!A:L,3,FALSE),""),"")</f>
        <v/>
      </c>
      <c r="L619" s="55" t="str">
        <f ca="1">IF(AND(B619="",NOT(A619="")),IF(NOT(LEFT(VLOOKUP(A619,TaskPlan!A:L,3,FALSE),1) = "0"),VLOOKUP(A619,TaskPlan!A:M,4,FALSE),""),"")</f>
        <v/>
      </c>
      <c r="N619" s="1" t="str">
        <f ca="1">IF(ISNA(VLOOKUP(A619,Projects!B:B,1,FALSE)),"","Yes")</f>
        <v>Yes</v>
      </c>
    </row>
    <row r="620" spans="1:14" hidden="1" outlineLevel="1">
      <c r="A620" s="43" t="s">
        <v>1190</v>
      </c>
      <c r="C620" s="44" t="s">
        <v>1189</v>
      </c>
      <c r="D620" s="7" t="s">
        <v>11</v>
      </c>
      <c r="E620" s="26">
        <v>40336</v>
      </c>
      <c r="F620" s="25">
        <v>0.5</v>
      </c>
      <c r="G620" s="28" t="s">
        <v>1100</v>
      </c>
      <c r="H620" s="37">
        <f ca="1">IF(AND(B620="",NOT(A620="")),VLOOKUP(A620,TaskPlan!A:M,13,FALSE),"")</f>
        <v>40353</v>
      </c>
      <c r="I620" s="38" t="str">
        <f ca="1">IF(AND(B620="",NOT(A620="")),VLOOKUP(A620,TaskPlan!A:M,12,FALSE),"")</f>
        <v>Closed</v>
      </c>
      <c r="J620" s="39" t="str">
        <f ca="1">IF(AND(B620="",NOT(A620="")),VLOOKUP(A620,TaskPlan!A:L,2,FALSE),"")</f>
        <v>Pramendra</v>
      </c>
      <c r="K620" s="39" t="str">
        <f ca="1">IF(AND(B620="",NOT(A620="")),IF(NOT(LEFT(VLOOKUP(A620,TaskPlan!A:L,3,FALSE),1) = "0"),VLOOKUP(A620,TaskPlan!A:L,3,FALSE),""),"")</f>
        <v/>
      </c>
      <c r="L620" s="55" t="str">
        <f ca="1">IF(AND(B620="",NOT(A620="")),IF(NOT(LEFT(VLOOKUP(A620,TaskPlan!A:L,3,FALSE),1) = "0"),VLOOKUP(A620,TaskPlan!A:M,4,FALSE),""),"")</f>
        <v/>
      </c>
      <c r="N620" s="1" t="str">
        <f ca="1">IF(ISNA(VLOOKUP(A620,Projects!B:B,1,FALSE)),"","Yes")</f>
        <v>Yes</v>
      </c>
    </row>
    <row r="621" spans="1:14" hidden="1" outlineLevel="1">
      <c r="A621" s="43" t="s">
        <v>1191</v>
      </c>
      <c r="C621" s="44" t="s">
        <v>1189</v>
      </c>
      <c r="D621" s="7" t="s">
        <v>11</v>
      </c>
      <c r="E621" s="26">
        <v>40336</v>
      </c>
      <c r="F621" s="25">
        <v>0.5</v>
      </c>
      <c r="G621" s="28" t="s">
        <v>1100</v>
      </c>
      <c r="H621" s="37">
        <f ca="1">IF(AND(B621="",NOT(A621="")),VLOOKUP(A621,TaskPlan!A:M,13,FALSE),"")</f>
        <v>40361</v>
      </c>
      <c r="I621" s="38" t="str">
        <f ca="1">IF(AND(B621="",NOT(A621="")),VLOOKUP(A621,TaskPlan!A:M,12,FALSE),"")</f>
        <v>Closed</v>
      </c>
      <c r="J621" s="39" t="str">
        <f ca="1">IF(AND(B621="",NOT(A621="")),VLOOKUP(A621,TaskPlan!A:L,2,FALSE),"")</f>
        <v>Ruth</v>
      </c>
      <c r="K621" s="39" t="str">
        <f ca="1">IF(AND(B621="",NOT(A621="")),IF(NOT(LEFT(VLOOKUP(A621,TaskPlan!A:L,3,FALSE),1) = "0"),VLOOKUP(A621,TaskPlan!A:L,3,FALSE),""),"")</f>
        <v/>
      </c>
      <c r="L621" s="55" t="str">
        <f ca="1">IF(AND(B621="",NOT(A621="")),IF(NOT(LEFT(VLOOKUP(A621,TaskPlan!A:L,3,FALSE),1) = "0"),VLOOKUP(A621,TaskPlan!A:M,4,FALSE),""),"")</f>
        <v/>
      </c>
      <c r="N621" s="1" t="str">
        <f ca="1">IF(ISNA(VLOOKUP(A621,Projects!B:B,1,FALSE)),"","Yes")</f>
        <v>Yes</v>
      </c>
    </row>
    <row r="622" spans="1:14" hidden="1" outlineLevel="1">
      <c r="A622" s="43" t="s">
        <v>1192</v>
      </c>
      <c r="C622" s="44" t="s">
        <v>1189</v>
      </c>
      <c r="D622" s="7" t="s">
        <v>11</v>
      </c>
      <c r="E622" s="26">
        <v>40336</v>
      </c>
      <c r="F622" s="25">
        <v>0.5</v>
      </c>
      <c r="G622" s="28" t="s">
        <v>1100</v>
      </c>
      <c r="H622" s="37">
        <f ca="1">IF(AND(B622="",NOT(A622="")),VLOOKUP(A622,TaskPlan!A:M,13,FALSE),"")</f>
        <v>40361</v>
      </c>
      <c r="I622" s="38" t="str">
        <f ca="1">IF(AND(B622="",NOT(A622="")),VLOOKUP(A622,TaskPlan!A:M,12,FALSE),"")</f>
        <v>Closed</v>
      </c>
      <c r="J622" s="39" t="str">
        <f ca="1">IF(AND(B622="",NOT(A622="")),VLOOKUP(A622,TaskPlan!A:L,2,FALSE),"")</f>
        <v>Sachin</v>
      </c>
      <c r="K622" s="39" t="str">
        <f ca="1">IF(AND(B622="",NOT(A622="")),IF(NOT(LEFT(VLOOKUP(A622,TaskPlan!A:L,3,FALSE),1) = "0"),VLOOKUP(A622,TaskPlan!A:L,3,FALSE),""),"")</f>
        <v/>
      </c>
      <c r="L622" s="55" t="str">
        <f ca="1">IF(AND(B622="",NOT(A622="")),IF(NOT(LEFT(VLOOKUP(A622,TaskPlan!A:L,3,FALSE),1) = "0"),VLOOKUP(A622,TaskPlan!A:M,4,FALSE),""),"")</f>
        <v/>
      </c>
      <c r="N622" s="1" t="str">
        <f ca="1">IF(ISNA(VLOOKUP(A622,Projects!B:B,1,FALSE)),"","Yes")</f>
        <v>Yes</v>
      </c>
    </row>
    <row r="623" spans="1:14" ht="25.5" hidden="1" outlineLevel="1">
      <c r="A623" s="43" t="s">
        <v>1249</v>
      </c>
      <c r="C623" s="44" t="s">
        <v>1250</v>
      </c>
      <c r="D623" s="7" t="s">
        <v>11</v>
      </c>
      <c r="E623" s="26">
        <v>40353</v>
      </c>
      <c r="F623" s="25">
        <v>1</v>
      </c>
      <c r="G623" s="28" t="s">
        <v>1100</v>
      </c>
      <c r="H623" s="37">
        <f ca="1">IF(AND(B623="",NOT(A623="")),VLOOKUP(A623,TaskPlan!A:M,13,FALSE),"")</f>
        <v>40361</v>
      </c>
      <c r="I623" s="38" t="str">
        <f ca="1">IF(AND(B623="",NOT(A623="")),VLOOKUP(A623,TaskPlan!A:M,12,FALSE),"")</f>
        <v>Closed</v>
      </c>
      <c r="J623" s="39" t="str">
        <f ca="1">IF(AND(B623="",NOT(A623="")),VLOOKUP(A623,TaskPlan!A:L,2,FALSE),"")</f>
        <v>Neil</v>
      </c>
      <c r="K623" s="39" t="str">
        <f ca="1">IF(AND(B623="",NOT(A623="")),IF(NOT(LEFT(VLOOKUP(A623,TaskPlan!A:L,3,FALSE),1) = "0"),VLOOKUP(A623,TaskPlan!A:L,3,FALSE),""),"")</f>
        <v/>
      </c>
      <c r="L623" s="55" t="str">
        <f ca="1">IF(AND(B623="",NOT(A623="")),IF(NOT(LEFT(VLOOKUP(A623,TaskPlan!A:L,3,FALSE),1) = "0"),VLOOKUP(A623,TaskPlan!A:M,4,FALSE),""),"")</f>
        <v/>
      </c>
      <c r="N623" s="1" t="str">
        <f ca="1">IF(ISNA(VLOOKUP(A623,Projects!B:B,1,FALSE)),"","Yes")</f>
        <v>Yes</v>
      </c>
    </row>
    <row r="624" spans="1:14" hidden="1" outlineLevel="1">
      <c r="A624" s="43" t="s">
        <v>1395</v>
      </c>
      <c r="C624" s="44" t="s">
        <v>1396</v>
      </c>
      <c r="D624" s="7" t="s">
        <v>11</v>
      </c>
      <c r="E624" s="26">
        <v>40389</v>
      </c>
      <c r="F624" s="25">
        <v>1</v>
      </c>
      <c r="G624" s="28" t="s">
        <v>1213</v>
      </c>
      <c r="H624" s="37">
        <f ca="1">IF(AND(B624="",NOT(A624="")),VLOOKUP(A624,TaskPlan!A:M,13,FALSE),"")</f>
        <v>40410</v>
      </c>
      <c r="I624" s="38" t="str">
        <f ca="1">IF(AND(B624="",NOT(A624="")),VLOOKUP(A624,TaskPlan!A:M,12,FALSE),"")</f>
        <v>In Progress</v>
      </c>
      <c r="J624" s="39" t="str">
        <f ca="1">IF(AND(B624="",NOT(A624="")),VLOOKUP(A624,TaskPlan!A:L,2,FALSE),"")</f>
        <v>Neil</v>
      </c>
      <c r="K624" s="39" t="str">
        <f ca="1">IF(AND(B624="",NOT(A624="")),IF(NOT(LEFT(VLOOKUP(A624,TaskPlan!A:L,3,FALSE),1) = "0"),VLOOKUP(A624,TaskPlan!A:L,3,FALSE),""),"")</f>
        <v>3-MED</v>
      </c>
      <c r="L624" s="55">
        <f ca="1">IF(AND(B624="",NOT(A624="")),IF(NOT(LEFT(VLOOKUP(A624,TaskPlan!A:L,3,FALSE),1) = "0"),VLOOKUP(A624,TaskPlan!A:M,4,FALSE),""),"")</f>
        <v>0</v>
      </c>
      <c r="N624" s="1" t="str">
        <f ca="1">IF(ISNA(VLOOKUP(A624,Projects!B:B,1,FALSE)),"","Yes")</f>
        <v/>
      </c>
    </row>
    <row r="625" spans="1:14" hidden="1" outlineLevel="1">
      <c r="A625" s="43" t="s">
        <v>1410</v>
      </c>
      <c r="C625" s="44" t="s">
        <v>1411</v>
      </c>
      <c r="D625" s="7" t="s">
        <v>11</v>
      </c>
      <c r="E625" s="26">
        <v>40403</v>
      </c>
      <c r="F625" s="25">
        <v>1</v>
      </c>
      <c r="G625" s="28" t="s">
        <v>1100</v>
      </c>
      <c r="H625" s="37">
        <f ca="1">IF(AND(B625="",NOT(A625="")),VLOOKUP(A625,TaskPlan!A:M,13,FALSE),"")</f>
        <v>40567</v>
      </c>
      <c r="I625" s="38" t="str">
        <f ca="1">IF(AND(B625="",NOT(A625="")),VLOOKUP(A625,TaskPlan!A:M,12,FALSE),"")</f>
        <v>In Progress</v>
      </c>
      <c r="J625" s="39" t="str">
        <f ca="1">IF(AND(B625="",NOT(A625="")),VLOOKUP(A625,TaskPlan!A:L,2,FALSE),"")</f>
        <v>Neil</v>
      </c>
      <c r="K625" s="39" t="str">
        <f ca="1">IF(AND(B625="",NOT(A625="")),IF(NOT(LEFT(VLOOKUP(A625,TaskPlan!A:L,3,FALSE),1) = "0"),VLOOKUP(A625,TaskPlan!A:L,3,FALSE),""),"")</f>
        <v>1-LOW</v>
      </c>
      <c r="L625" s="55">
        <f ca="1">IF(AND(B625="",NOT(A625="")),IF(NOT(LEFT(VLOOKUP(A625,TaskPlan!A:L,3,FALSE),1) = "0"),VLOOKUP(A625,TaskPlan!A:M,4,FALSE),""),"")</f>
        <v>0</v>
      </c>
      <c r="N625" s="1" t="str">
        <f ca="1">IF(ISNA(VLOOKUP(A625,Projects!B:B,1,FALSE)),"","Yes")</f>
        <v/>
      </c>
    </row>
    <row r="626" spans="1:14" hidden="1" outlineLevel="1">
      <c r="A626" s="43" t="s">
        <v>1461</v>
      </c>
      <c r="C626" s="44" t="s">
        <v>1425</v>
      </c>
      <c r="D626" s="7" t="s">
        <v>11</v>
      </c>
      <c r="E626" s="26">
        <v>40406</v>
      </c>
      <c r="F626" s="25">
        <v>2</v>
      </c>
      <c r="G626" s="28" t="s">
        <v>1098</v>
      </c>
      <c r="H626" s="37">
        <f ca="1">IF(AND(B626="",NOT(A626="")),VLOOKUP(A626,TaskPlan!A:M,13,FALSE),"")</f>
        <v>40410</v>
      </c>
      <c r="I626" s="38" t="str">
        <f ca="1">IF(AND(B626="",NOT(A626="")),VLOOKUP(A626,TaskPlan!A:M,12,FALSE),"")</f>
        <v>Closed</v>
      </c>
      <c r="J626" s="39" t="str">
        <f ca="1">IF(AND(B626="",NOT(A626="")),VLOOKUP(A626,TaskPlan!A:L,2,FALSE),"")</f>
        <v>Neil</v>
      </c>
      <c r="K626" s="39" t="str">
        <f ca="1">IF(AND(B626="",NOT(A626="")),IF(NOT(LEFT(VLOOKUP(A626,TaskPlan!A:L,3,FALSE),1) = "0"),VLOOKUP(A626,TaskPlan!A:L,3,FALSE),""),"")</f>
        <v/>
      </c>
      <c r="L626" s="55" t="str">
        <f ca="1">IF(AND(B626="",NOT(A626="")),IF(NOT(LEFT(VLOOKUP(A626,TaskPlan!A:L,3,FALSE),1) = "0"),VLOOKUP(A626,TaskPlan!A:M,4,FALSE),""),"")</f>
        <v/>
      </c>
      <c r="N626" s="1" t="str">
        <f ca="1">IF(ISNA(VLOOKUP(A626,Projects!B:B,1,FALSE)),"","Yes")</f>
        <v/>
      </c>
    </row>
    <row r="627" spans="1:14" hidden="1" outlineLevel="1">
      <c r="A627" s="43" t="s">
        <v>1513</v>
      </c>
      <c r="C627" s="44" t="s">
        <v>1514</v>
      </c>
      <c r="D627" s="7" t="s">
        <v>11</v>
      </c>
      <c r="E627" s="26">
        <v>40435</v>
      </c>
      <c r="F627" s="25">
        <v>1</v>
      </c>
      <c r="G627" s="28" t="s">
        <v>289</v>
      </c>
      <c r="H627" s="37">
        <f ca="1">IF(AND(B627="",NOT(A627="")),VLOOKUP(A627,TaskPlan!A:M,13,FALSE),"")</f>
        <v>40452</v>
      </c>
      <c r="I627" s="38" t="str">
        <f ca="1">IF(AND(B627="",NOT(A627="")),VLOOKUP(A627,TaskPlan!A:M,12,FALSE),"")</f>
        <v>In Progress</v>
      </c>
      <c r="J627" s="39" t="str">
        <f ca="1">IF(AND(B627="",NOT(A627="")),VLOOKUP(A627,TaskPlan!A:L,2,FALSE),"")</f>
        <v>Neil</v>
      </c>
      <c r="K627" s="39" t="str">
        <f ca="1">IF(AND(B627="",NOT(A627="")),IF(NOT(LEFT(VLOOKUP(A627,TaskPlan!A:L,3,FALSE),1) = "0"),VLOOKUP(A627,TaskPlan!A:L,3,FALSE),""),"")</f>
        <v>5-HIGH</v>
      </c>
      <c r="L627" s="55">
        <f ca="1">IF(AND(B627="",NOT(A627="")),IF(NOT(LEFT(VLOOKUP(A627,TaskPlan!A:L,3,FALSE),1) = "0"),VLOOKUP(A627,TaskPlan!A:M,4,FALSE),""),"")</f>
        <v>40455</v>
      </c>
      <c r="N627" s="1" t="str">
        <f ca="1">IF(ISNA(VLOOKUP(A627,Projects!B:B,1,FALSE)),"","Yes")</f>
        <v/>
      </c>
    </row>
    <row r="628" spans="1:14" hidden="1" outlineLevel="1">
      <c r="A628" s="43" t="s">
        <v>1542</v>
      </c>
      <c r="C628" s="44" t="s">
        <v>1543</v>
      </c>
      <c r="D628" s="7" t="s">
        <v>11</v>
      </c>
      <c r="E628" s="26">
        <v>40452</v>
      </c>
      <c r="F628" s="25">
        <v>0.1</v>
      </c>
      <c r="G628" s="28" t="s">
        <v>1100</v>
      </c>
      <c r="H628" s="37">
        <f ca="1">IF(AND(B628="",NOT(A628="")),VLOOKUP(A628,TaskPlan!A:M,13,FALSE),"")</f>
        <v>40526</v>
      </c>
      <c r="I628" s="38" t="str">
        <f ca="1">IF(AND(B628="",NOT(A628="")),VLOOKUP(A628,TaskPlan!A:M,12,FALSE),"")</f>
        <v>Closed</v>
      </c>
      <c r="J628" s="39" t="str">
        <f ca="1">IF(AND(B628="",NOT(A628="")),VLOOKUP(A628,TaskPlan!A:L,2,FALSE),"")</f>
        <v>Neil</v>
      </c>
      <c r="K628" s="39" t="str">
        <f ca="1">IF(AND(B628="",NOT(A628="")),IF(NOT(LEFT(VLOOKUP(A628,TaskPlan!A:L,3,FALSE),1) = "0"),VLOOKUP(A628,TaskPlan!A:L,3,FALSE),""),"")</f>
        <v/>
      </c>
      <c r="L628" s="55" t="str">
        <f ca="1">IF(AND(B628="",NOT(A628="")),IF(NOT(LEFT(VLOOKUP(A628,TaskPlan!A:L,3,FALSE),1) = "0"),VLOOKUP(A628,TaskPlan!A:M,4,FALSE),""),"")</f>
        <v/>
      </c>
      <c r="N628" s="1" t="str">
        <f ca="1">IF(ISNA(VLOOKUP(A628,Projects!B:B,1,FALSE)),"","Yes")</f>
        <v/>
      </c>
    </row>
    <row r="629" spans="1:14" hidden="1" outlineLevel="1">
      <c r="A629" s="43" t="s">
        <v>1553</v>
      </c>
      <c r="C629" s="44" t="s">
        <v>1554</v>
      </c>
      <c r="D629" s="7" t="s">
        <v>32</v>
      </c>
      <c r="E629" s="26">
        <v>40452</v>
      </c>
      <c r="F629" s="25">
        <v>0.1</v>
      </c>
      <c r="G629" s="28" t="s">
        <v>1100</v>
      </c>
      <c r="H629" s="37">
        <f ca="1">IF(AND(B629="",NOT(A629="")),VLOOKUP(A629,TaskPlan!A:M,13,FALSE),"")</f>
        <v>40477</v>
      </c>
      <c r="I629" s="38" t="str">
        <f ca="1">IF(AND(B629="",NOT(A629="")),VLOOKUP(A629,TaskPlan!A:M,12,FALSE),"")</f>
        <v>Closed</v>
      </c>
      <c r="J629" s="39" t="str">
        <f ca="1">IF(AND(B629="",NOT(A629="")),VLOOKUP(A629,TaskPlan!A:L,2,FALSE),"")</f>
        <v>Pramendra</v>
      </c>
      <c r="K629" s="39" t="str">
        <f ca="1">IF(AND(B629="",NOT(A629="")),IF(NOT(LEFT(VLOOKUP(A629,TaskPlan!A:L,3,FALSE),1) = "0"),VLOOKUP(A629,TaskPlan!A:L,3,FALSE),""),"")</f>
        <v/>
      </c>
      <c r="L629" s="55" t="str">
        <f ca="1">IF(AND(B629="",NOT(A629="")),IF(NOT(LEFT(VLOOKUP(A629,TaskPlan!A:L,3,FALSE),1) = "0"),VLOOKUP(A629,TaskPlan!A:M,4,FALSE),""),"")</f>
        <v/>
      </c>
      <c r="N629" s="1" t="str">
        <f ca="1">IF(ISNA(VLOOKUP(A629,Projects!B:B,1,FALSE)),"","Yes")</f>
        <v/>
      </c>
    </row>
    <row r="630" spans="1:14" hidden="1" outlineLevel="1">
      <c r="A630" s="43" t="s">
        <v>1559</v>
      </c>
      <c r="C630" s="44" t="s">
        <v>1560</v>
      </c>
      <c r="D630" s="7" t="s">
        <v>32</v>
      </c>
      <c r="E630" s="26">
        <v>40452</v>
      </c>
      <c r="F630" s="25">
        <v>0.1</v>
      </c>
      <c r="G630" s="28" t="s">
        <v>1100</v>
      </c>
      <c r="H630" s="37">
        <f ca="1">IF(AND(B630="",NOT(A630="")),VLOOKUP(A630,TaskPlan!A:M,13,FALSE),"")</f>
        <v>40477</v>
      </c>
      <c r="I630" s="38" t="str">
        <f ca="1">IF(AND(B630="",NOT(A630="")),VLOOKUP(A630,TaskPlan!A:M,12,FALSE),"")</f>
        <v>Closed</v>
      </c>
      <c r="J630" s="39" t="str">
        <f ca="1">IF(AND(B630="",NOT(A630="")),VLOOKUP(A630,TaskPlan!A:L,2,FALSE),"")</f>
        <v>Pramendra</v>
      </c>
      <c r="K630" s="39" t="str">
        <f ca="1">IF(AND(B630="",NOT(A630="")),IF(NOT(LEFT(VLOOKUP(A630,TaskPlan!A:L,3,FALSE),1) = "0"),VLOOKUP(A630,TaskPlan!A:L,3,FALSE),""),"")</f>
        <v/>
      </c>
      <c r="L630" s="55" t="str">
        <f ca="1">IF(AND(B630="",NOT(A630="")),IF(NOT(LEFT(VLOOKUP(A630,TaskPlan!A:L,3,FALSE),1) = "0"),VLOOKUP(A630,TaskPlan!A:M,4,FALSE),""),"")</f>
        <v/>
      </c>
      <c r="N630" s="1" t="str">
        <f ca="1">IF(ISNA(VLOOKUP(A630,Projects!B:B,1,FALSE)),"","Yes")</f>
        <v/>
      </c>
    </row>
    <row r="631" spans="1:14" hidden="1" outlineLevel="1">
      <c r="A631" s="43" t="s">
        <v>1574</v>
      </c>
      <c r="C631" s="44" t="s">
        <v>1575</v>
      </c>
      <c r="D631" s="7" t="s">
        <v>32</v>
      </c>
      <c r="E631" s="26">
        <v>40452</v>
      </c>
      <c r="F631" s="25">
        <v>0.1</v>
      </c>
      <c r="G631" s="28" t="s">
        <v>1100</v>
      </c>
      <c r="H631" s="37">
        <f ca="1">IF(AND(B631="",NOT(A631="")),VLOOKUP(A631,TaskPlan!A:M,13,FALSE),"")</f>
        <v>40477</v>
      </c>
      <c r="I631" s="38" t="str">
        <f ca="1">IF(AND(B631="",NOT(A631="")),VLOOKUP(A631,TaskPlan!A:M,12,FALSE),"")</f>
        <v>Closed</v>
      </c>
      <c r="J631" s="39" t="str">
        <f ca="1">IF(AND(B631="",NOT(A631="")),VLOOKUP(A631,TaskPlan!A:L,2,FALSE),"")</f>
        <v>Pramendra</v>
      </c>
      <c r="K631" s="39" t="str">
        <f ca="1">IF(AND(B631="",NOT(A631="")),IF(NOT(LEFT(VLOOKUP(A631,TaskPlan!A:L,3,FALSE),1) = "0"),VLOOKUP(A631,TaskPlan!A:L,3,FALSE),""),"")</f>
        <v/>
      </c>
      <c r="L631" s="55" t="str">
        <f ca="1">IF(AND(B631="",NOT(A631="")),IF(NOT(LEFT(VLOOKUP(A631,TaskPlan!A:L,3,FALSE),1) = "0"),VLOOKUP(A631,TaskPlan!A:M,4,FALSE),""),"")</f>
        <v/>
      </c>
      <c r="N631" s="1" t="str">
        <f ca="1">IF(ISNA(VLOOKUP(A631,Projects!B:B,1,FALSE)),"","Yes")</f>
        <v/>
      </c>
    </row>
    <row r="632" spans="1:14" hidden="1" outlineLevel="1">
      <c r="A632" s="43" t="s">
        <v>1576</v>
      </c>
      <c r="C632" s="44" t="s">
        <v>1577</v>
      </c>
      <c r="D632" s="7" t="s">
        <v>11</v>
      </c>
      <c r="E632" s="26">
        <v>40455</v>
      </c>
      <c r="F632" s="25">
        <v>1</v>
      </c>
      <c r="G632" s="28" t="s">
        <v>1100</v>
      </c>
      <c r="H632" s="37">
        <f ca="1">IF(AND(B632="",NOT(A632="")),VLOOKUP(A632,TaskPlan!A:M,13,FALSE),"")</f>
        <v>40477</v>
      </c>
      <c r="I632" s="38" t="str">
        <f ca="1">IF(AND(B632="",NOT(A632="")),VLOOKUP(A632,TaskPlan!A:M,12,FALSE),"")</f>
        <v>Closed</v>
      </c>
      <c r="J632" s="39" t="str">
        <f ca="1">IF(AND(B632="",NOT(A632="")),VLOOKUP(A632,TaskPlan!A:L,2,FALSE),"")</f>
        <v>Paresh</v>
      </c>
      <c r="K632" s="39" t="str">
        <f ca="1">IF(AND(B632="",NOT(A632="")),IF(NOT(LEFT(VLOOKUP(A632,TaskPlan!A:L,3,FALSE),1) = "0"),VLOOKUP(A632,TaskPlan!A:L,3,FALSE),""),"")</f>
        <v/>
      </c>
      <c r="L632" s="55" t="str">
        <f ca="1">IF(AND(B632="",NOT(A632="")),IF(NOT(LEFT(VLOOKUP(A632,TaskPlan!A:L,3,FALSE),1) = "0"),VLOOKUP(A632,TaskPlan!A:M,4,FALSE),""),"")</f>
        <v/>
      </c>
      <c r="N632" s="1" t="str">
        <f ca="1">IF(ISNA(VLOOKUP(A632,Projects!B:B,1,FALSE)),"","Yes")</f>
        <v/>
      </c>
    </row>
    <row r="633" spans="1:14" ht="25.5" hidden="1" outlineLevel="1">
      <c r="A633" s="43" t="s">
        <v>1578</v>
      </c>
      <c r="C633" s="44" t="s">
        <v>1579</v>
      </c>
      <c r="D633" s="7" t="s">
        <v>756</v>
      </c>
      <c r="E633" s="26">
        <v>40455</v>
      </c>
      <c r="F633" s="25">
        <v>1</v>
      </c>
      <c r="G633" s="28" t="s">
        <v>1100</v>
      </c>
      <c r="H633" s="37">
        <f ca="1">IF(AND(B633="",NOT(A633="")),VLOOKUP(A633,TaskPlan!A:M,13,FALSE),"")</f>
        <v>40568</v>
      </c>
      <c r="I633" s="38" t="str">
        <f ca="1">IF(AND(B633="",NOT(A633="")),VLOOKUP(A633,TaskPlan!A:M,12,FALSE),"")</f>
        <v>Not Started</v>
      </c>
      <c r="J633" s="39" t="str">
        <f ca="1">IF(AND(B633="",NOT(A633="")),VLOOKUP(A633,TaskPlan!A:L,2,FALSE),"")</f>
        <v>Pramendra</v>
      </c>
      <c r="K633" s="39" t="str">
        <f ca="1">IF(AND(B633="",NOT(A633="")),IF(NOT(LEFT(VLOOKUP(A633,TaskPlan!A:L,3,FALSE),1) = "0"),VLOOKUP(A633,TaskPlan!A:L,3,FALSE),""),"")</f>
        <v>2-LOW</v>
      </c>
      <c r="L633" s="55">
        <f ca="1">IF(AND(B633="",NOT(A633="")),IF(NOT(LEFT(VLOOKUP(A633,TaskPlan!A:L,3,FALSE),1) = "0"),VLOOKUP(A633,TaskPlan!A:M,4,FALSE),""),"")</f>
        <v>0</v>
      </c>
      <c r="N633" s="1" t="str">
        <f ca="1">IF(ISNA(VLOOKUP(A633,Projects!B:B,1,FALSE)),"","Yes")</f>
        <v/>
      </c>
    </row>
    <row r="634" spans="1:14" hidden="1" outlineLevel="1">
      <c r="A634" s="43" t="s">
        <v>1686</v>
      </c>
      <c r="C634" s="44" t="s">
        <v>1685</v>
      </c>
      <c r="D634" s="7" t="s">
        <v>11</v>
      </c>
      <c r="E634" s="26">
        <v>40490</v>
      </c>
      <c r="F634" s="25">
        <v>1</v>
      </c>
      <c r="G634" s="28" t="s">
        <v>1100</v>
      </c>
      <c r="H634" s="37">
        <f ca="1">IF(AND(B634="",NOT(A634="")),VLOOKUP(A634,TaskPlan!A:M,13,FALSE),"")</f>
        <v>40567</v>
      </c>
      <c r="I634" s="38" t="str">
        <f ca="1">IF(AND(B634="",NOT(A634="")),VLOOKUP(A634,TaskPlan!A:M,12,FALSE),"")</f>
        <v>In Progress</v>
      </c>
      <c r="J634" s="39" t="str">
        <f ca="1">IF(AND(B634="",NOT(A634="")),VLOOKUP(A634,TaskPlan!A:L,2,FALSE),"")</f>
        <v>Neil</v>
      </c>
      <c r="K634" s="39" t="str">
        <f ca="1">IF(AND(B634="",NOT(A634="")),IF(NOT(LEFT(VLOOKUP(A634,TaskPlan!A:L,3,FALSE),1) = "0"),VLOOKUP(A634,TaskPlan!A:L,3,FALSE),""),"")</f>
        <v>1-LOW</v>
      </c>
      <c r="L634" s="55">
        <f ca="1">IF(AND(B634="",NOT(A634="")),IF(NOT(LEFT(VLOOKUP(A634,TaskPlan!A:L,3,FALSE),1) = "0"),VLOOKUP(A634,TaskPlan!A:M,4,FALSE),""),"")</f>
        <v>0</v>
      </c>
      <c r="N634" s="1" t="str">
        <f ca="1">IF(ISNA(VLOOKUP(A634,Projects!B:B,1,FALSE)),"","Yes")</f>
        <v/>
      </c>
    </row>
    <row r="635" spans="1:14" hidden="1" outlineLevel="1">
      <c r="A635" s="43" t="s">
        <v>1756</v>
      </c>
      <c r="C635" s="44" t="s">
        <v>1757</v>
      </c>
      <c r="D635" s="7" t="s">
        <v>759</v>
      </c>
      <c r="E635" s="26">
        <v>40520</v>
      </c>
      <c r="F635" s="25">
        <v>1</v>
      </c>
      <c r="G635" s="28" t="s">
        <v>289</v>
      </c>
      <c r="H635" s="37">
        <f ca="1">IF(AND(B635="",NOT(A635="")),VLOOKUP(A635,TaskPlan!A:M,13,FALSE),"")</f>
        <v>40520</v>
      </c>
      <c r="I635" s="38" t="str">
        <f ca="1">IF(AND(B635="",NOT(A635="")),VLOOKUP(A635,TaskPlan!A:M,12,FALSE),"")</f>
        <v>In Progress</v>
      </c>
      <c r="J635" s="39" t="str">
        <f ca="1">IF(AND(B635="",NOT(A635="")),VLOOKUP(A635,TaskPlan!A:L,2,FALSE),"")</f>
        <v>Neil</v>
      </c>
      <c r="K635" s="39" t="str">
        <f ca="1">IF(AND(B635="",NOT(A635="")),IF(NOT(LEFT(VLOOKUP(A635,TaskPlan!A:L,3,FALSE),1) = "0"),VLOOKUP(A635,TaskPlan!A:L,3,FALSE),""),"")</f>
        <v>4-HIGH</v>
      </c>
      <c r="L635" s="55">
        <f ca="1">IF(AND(B635="",NOT(A635="")),IF(NOT(LEFT(VLOOKUP(A635,TaskPlan!A:L,3,FALSE),1) = "0"),VLOOKUP(A635,TaskPlan!A:M,4,FALSE),""),"")</f>
        <v>0</v>
      </c>
      <c r="N635" s="1" t="str">
        <f ca="1">IF(ISNA(VLOOKUP(A635,Projects!B:B,1,FALSE)),"","Yes")</f>
        <v/>
      </c>
    </row>
    <row r="636" spans="1:14" hidden="1" outlineLevel="1">
      <c r="A636" s="43" t="s">
        <v>1758</v>
      </c>
      <c r="C636" s="44" t="s">
        <v>1759</v>
      </c>
      <c r="D636" s="7" t="s">
        <v>11</v>
      </c>
      <c r="E636" s="26">
        <v>40521</v>
      </c>
      <c r="F636" s="25">
        <v>1</v>
      </c>
      <c r="G636" s="28" t="s">
        <v>1100</v>
      </c>
      <c r="H636" s="37">
        <f ca="1">IF(AND(B636="",NOT(A636="")),VLOOKUP(A636,TaskPlan!A:M,13,FALSE),"")</f>
        <v>40567</v>
      </c>
      <c r="I636" s="38" t="str">
        <f ca="1">IF(AND(B636="",NOT(A636="")),VLOOKUP(A636,TaskPlan!A:M,12,FALSE),"")</f>
        <v>Closed</v>
      </c>
      <c r="J636" s="39" t="str">
        <f ca="1">IF(AND(B636="",NOT(A636="")),VLOOKUP(A636,TaskPlan!A:L,2,FALSE),"")</f>
        <v>Neil</v>
      </c>
      <c r="K636" s="39" t="str">
        <f ca="1">IF(AND(B636="",NOT(A636="")),IF(NOT(LEFT(VLOOKUP(A636,TaskPlan!A:L,3,FALSE),1) = "0"),VLOOKUP(A636,TaskPlan!A:L,3,FALSE),""),"")</f>
        <v/>
      </c>
      <c r="L636" s="55" t="str">
        <f ca="1">IF(AND(B636="",NOT(A636="")),IF(NOT(LEFT(VLOOKUP(A636,TaskPlan!A:L,3,FALSE),1) = "0"),VLOOKUP(A636,TaskPlan!A:M,4,FALSE),""),"")</f>
        <v/>
      </c>
      <c r="N636" s="1" t="str">
        <f ca="1">IF(ISNA(VLOOKUP(A636,Projects!B:B,1,FALSE)),"","Yes")</f>
        <v/>
      </c>
    </row>
    <row r="637" spans="1:14" hidden="1" outlineLevel="1">
      <c r="A637" s="43" t="s">
        <v>1925</v>
      </c>
      <c r="C637" s="44" t="s">
        <v>1926</v>
      </c>
      <c r="D637" s="7" t="s">
        <v>11</v>
      </c>
      <c r="E637" s="26">
        <v>40590</v>
      </c>
      <c r="F637" s="25">
        <v>1</v>
      </c>
      <c r="G637" s="28" t="s">
        <v>1213</v>
      </c>
      <c r="H637" s="37">
        <f ca="1">IF(AND(B637="",NOT(A637="")),VLOOKUP(A637,TaskPlan!A:M,13,FALSE),"")</f>
        <v>40590</v>
      </c>
      <c r="I637" s="38" t="str">
        <f ca="1">IF(AND(B637="",NOT(A637="")),VLOOKUP(A637,TaskPlan!A:M,12,FALSE),"")</f>
        <v>In Progress</v>
      </c>
      <c r="J637" s="39" t="str">
        <f ca="1">IF(AND(B637="",NOT(A637="")),VLOOKUP(A637,TaskPlan!A:L,2,FALSE),"")</f>
        <v>Neil</v>
      </c>
      <c r="K637" s="39" t="str">
        <f ca="1">IF(AND(B637="",NOT(A637="")),IF(NOT(LEFT(VLOOKUP(A637,TaskPlan!A:L,3,FALSE),1) = "0"),VLOOKUP(A637,TaskPlan!A:L,3,FALSE),""),"")</f>
        <v>4-HIGH</v>
      </c>
      <c r="L637" s="55">
        <f ca="1">IF(AND(B637="",NOT(A637="")),IF(NOT(LEFT(VLOOKUP(A637,TaskPlan!A:L,3,FALSE),1) = "0"),VLOOKUP(A637,TaskPlan!A:M,4,FALSE),""),"")</f>
        <v>0</v>
      </c>
      <c r="N637" s="1" t="str">
        <f ca="1">IF(ISNA(VLOOKUP(A637,Projects!B:B,1,FALSE)),"","Yes")</f>
        <v/>
      </c>
    </row>
    <row r="638" spans="1:14" hidden="1" outlineLevel="1">
      <c r="A638" s="43" t="s">
        <v>1927</v>
      </c>
      <c r="C638" s="44" t="s">
        <v>1928</v>
      </c>
      <c r="D638" s="7" t="s">
        <v>11</v>
      </c>
      <c r="E638" s="26">
        <v>40590</v>
      </c>
      <c r="F638" s="25">
        <v>1</v>
      </c>
      <c r="G638" s="28" t="s">
        <v>1100</v>
      </c>
      <c r="H638" s="37">
        <f ca="1">IF(AND(B638="",NOT(A638="")),VLOOKUP(A638,TaskPlan!A:M,13,FALSE),"")</f>
        <v>40590</v>
      </c>
      <c r="I638" s="38" t="str">
        <f ca="1">IF(AND(B638="",NOT(A638="")),VLOOKUP(A638,TaskPlan!A:M,12,FALSE),"")</f>
        <v>In Progress</v>
      </c>
      <c r="J638" s="39" t="str">
        <f ca="1">IF(AND(B638="",NOT(A638="")),VLOOKUP(A638,TaskPlan!A:L,2,FALSE),"")</f>
        <v>Neil</v>
      </c>
      <c r="K638" s="39" t="str">
        <f ca="1">IF(AND(B638="",NOT(A638="")),IF(NOT(LEFT(VLOOKUP(A638,TaskPlan!A:L,3,FALSE),1) = "0"),VLOOKUP(A638,TaskPlan!A:L,3,FALSE),""),"")</f>
        <v>5-HIGH</v>
      </c>
      <c r="L638" s="55">
        <f ca="1">IF(AND(B638="",NOT(A638="")),IF(NOT(LEFT(VLOOKUP(A638,TaskPlan!A:L,3,FALSE),1) = "0"),VLOOKUP(A638,TaskPlan!A:M,4,FALSE),""),"")</f>
        <v>0</v>
      </c>
      <c r="N638" s="1" t="str">
        <f ca="1">IF(ISNA(VLOOKUP(A638,Projects!B:B,1,FALSE)),"","Yes")</f>
        <v/>
      </c>
    </row>
    <row r="639" spans="1:14" hidden="1" outlineLevel="1">
      <c r="A639" s="43" t="s">
        <v>1958</v>
      </c>
      <c r="C639" s="44" t="s">
        <v>1959</v>
      </c>
      <c r="D639" s="7" t="s">
        <v>11</v>
      </c>
      <c r="E639" s="26">
        <v>40598</v>
      </c>
      <c r="F639" s="25">
        <v>1</v>
      </c>
      <c r="G639" s="28" t="s">
        <v>289</v>
      </c>
      <c r="H639" s="37">
        <f ca="1">IF(AND(B639="",NOT(A639="")),VLOOKUP(A639,TaskPlan!A:M,13,FALSE),"")</f>
        <v>40598</v>
      </c>
      <c r="I639" s="38" t="str">
        <f ca="1">IF(AND(B639="",NOT(A639="")),VLOOKUP(A639,TaskPlan!A:M,12,FALSE),"")</f>
        <v>In Progress</v>
      </c>
      <c r="J639" s="39" t="str">
        <f ca="1">IF(AND(B639="",NOT(A639="")),VLOOKUP(A639,TaskPlan!A:L,2,FALSE),"")</f>
        <v>Neil</v>
      </c>
      <c r="K639" s="39" t="str">
        <f ca="1">IF(AND(B639="",NOT(A639="")),IF(NOT(LEFT(VLOOKUP(A639,TaskPlan!A:L,3,FALSE),1) = "0"),VLOOKUP(A639,TaskPlan!A:L,3,FALSE),""),"")</f>
        <v>5-HIGH</v>
      </c>
      <c r="L639" s="55">
        <f ca="1">IF(AND(B639="",NOT(A639="")),IF(NOT(LEFT(VLOOKUP(A639,TaskPlan!A:L,3,FALSE),1) = "0"),VLOOKUP(A639,TaskPlan!A:M,4,FALSE),""),"")</f>
        <v>0</v>
      </c>
      <c r="N639" s="1" t="str">
        <f ca="1">IF(ISNA(VLOOKUP(A639,Projects!B:B,1,FALSE)),"","Yes")</f>
        <v/>
      </c>
    </row>
    <row r="640" spans="1:14" hidden="1" outlineLevel="1">
      <c r="A640" s="43" t="s">
        <v>845</v>
      </c>
      <c r="B640" s="7" t="s">
        <v>15</v>
      </c>
      <c r="C640" s="45" t="s">
        <v>846</v>
      </c>
      <c r="D640" s="7"/>
      <c r="E640" s="26"/>
      <c r="H640" s="37" t="str">
        <f ca="1">IF(AND(B640="",NOT(A640="")),VLOOKUP(A640,TaskPlan!A:M,13,FALSE),"")</f>
        <v/>
      </c>
      <c r="I640" s="38" t="str">
        <f ca="1">IF(AND(B640="",NOT(A640="")),VLOOKUP(A640,TaskPlan!A:M,12,FALSE),"")</f>
        <v/>
      </c>
      <c r="L640" s="55" t="str">
        <f ca="1">IF(AND(B640="",NOT(A640="")),IF(NOT(LEFT(VLOOKUP(A640,TaskPlan!A:L,3,FALSE),1) = "0"),VLOOKUP(A640,TaskPlan!A:M,4,FALSE),""),"")</f>
        <v/>
      </c>
      <c r="M640" s="58">
        <f ca="1">IF(B640=".",1,IF(AND(B640="",NOT(A640="")),IF(VLOOKUP(A640,TaskPlan!A:L,5,FALSE)&gt;0,VLOOKUP(A640,TaskPlan!A:L,5,FALSE),""),""))</f>
        <v>1</v>
      </c>
      <c r="N640" s="1" t="str">
        <f ca="1">IF(ISNA(VLOOKUP(A640,Projects!B:B,1,FALSE)),"","Yes")</f>
        <v/>
      </c>
    </row>
    <row r="641" spans="1:14" hidden="1" outlineLevel="1">
      <c r="A641" s="43" t="s">
        <v>847</v>
      </c>
      <c r="C641" s="44" t="s">
        <v>848</v>
      </c>
      <c r="D641" s="7" t="s">
        <v>11</v>
      </c>
      <c r="E641" s="26">
        <v>40192</v>
      </c>
      <c r="F641" s="25">
        <v>2</v>
      </c>
      <c r="G641" s="28" t="s">
        <v>1099</v>
      </c>
      <c r="H641" s="37">
        <f ca="1">IF(AND(B641="",NOT(A641="")),VLOOKUP(A641,TaskPlan!A:M,13,FALSE),"")</f>
        <v>40364</v>
      </c>
      <c r="I641" s="38" t="str">
        <f ca="1">IF(AND(B641="",NOT(A641="")),VLOOKUP(A641,TaskPlan!A:M,12,FALSE),"")</f>
        <v>Closed</v>
      </c>
      <c r="J641" s="39" t="str">
        <f ca="1">IF(AND(B641="",NOT(A641="")),VLOOKUP(A641,TaskPlan!A:L,2,FALSE),"")</f>
        <v>Neil</v>
      </c>
      <c r="K641" s="39" t="str">
        <f ca="1">IF(AND(B641="",NOT(A641="")),IF(NOT(LEFT(VLOOKUP(A641,TaskPlan!A:L,3,FALSE),1) = "0"),VLOOKUP(A641,TaskPlan!A:L,3,FALSE),""),"")</f>
        <v/>
      </c>
      <c r="L641" s="55" t="str">
        <f ca="1">IF(AND(B641="",NOT(A641="")),IF(NOT(LEFT(VLOOKUP(A641,TaskPlan!A:L,3,FALSE),1) = "0"),VLOOKUP(A641,TaskPlan!A:M,4,FALSE),""),"")</f>
        <v/>
      </c>
      <c r="M641" s="58" t="str">
        <f ca="1">IF(B641=".",1,IF(AND(B641="",NOT(A641="")),IF(VLOOKUP(A641,TaskPlan!A:L,5,FALSE)&gt;0,VLOOKUP(A641,TaskPlan!A:L,5,FALSE),""),""))</f>
        <v/>
      </c>
      <c r="N641" s="1" t="str">
        <f ca="1">IF(ISNA(VLOOKUP(A641,Projects!B:B,1,FALSE)),"","Yes")</f>
        <v/>
      </c>
    </row>
    <row r="642" spans="1:14" hidden="1" outlineLevel="1">
      <c r="A642" s="43" t="s">
        <v>1347</v>
      </c>
      <c r="B642" s="7" t="s">
        <v>15</v>
      </c>
      <c r="C642" s="45" t="s">
        <v>1611</v>
      </c>
      <c r="D642" s="7"/>
      <c r="E642" s="26"/>
      <c r="G642" s="28"/>
      <c r="L642" s="55"/>
      <c r="N642" s="1" t="str">
        <f ca="1">IF(ISNA(VLOOKUP(A642,Projects!B:B,1,FALSE)),"","Yes")</f>
        <v/>
      </c>
    </row>
    <row r="643" spans="1:14" hidden="1" outlineLevel="1">
      <c r="A643" s="43" t="s">
        <v>1636</v>
      </c>
      <c r="C643" s="44" t="s">
        <v>1394</v>
      </c>
      <c r="D643" s="7" t="s">
        <v>11</v>
      </c>
      <c r="E643" s="26">
        <v>40438</v>
      </c>
      <c r="F643" s="25">
        <v>2</v>
      </c>
      <c r="G643" s="28" t="s">
        <v>289</v>
      </c>
      <c r="H643" s="37">
        <f ca="1">IF(AND(B643="",NOT(A643="")),VLOOKUP(A643,TaskPlan!A:M,13,FALSE),"")</f>
        <v>40520</v>
      </c>
      <c r="I643" s="38" t="str">
        <f ca="1">IF(AND(B643="",NOT(A643="")),VLOOKUP(A643,TaskPlan!A:M,12,FALSE),"")</f>
        <v>Closed</v>
      </c>
      <c r="J643" s="39" t="str">
        <f ca="1">IF(AND(B643="",NOT(A643="")),VLOOKUP(A643,TaskPlan!A:L,2,FALSE),"")</f>
        <v>Neil</v>
      </c>
      <c r="K643" s="39" t="str">
        <f ca="1">IF(AND(B643="",NOT(A643="")),IF(NOT(LEFT(VLOOKUP(A643,TaskPlan!A:L,3,FALSE),1) = "0"),VLOOKUP(A643,TaskPlan!A:L,3,FALSE),""),"")</f>
        <v/>
      </c>
      <c r="L643" s="55" t="str">
        <f ca="1">IF(AND(B643="",NOT(A643="")),IF(NOT(LEFT(VLOOKUP(A643,TaskPlan!A:L,3,FALSE),1) = "0"),VLOOKUP(A643,TaskPlan!A:M,4,FALSE),""),"")</f>
        <v/>
      </c>
      <c r="N643" s="1" t="str">
        <f ca="1">IF(ISNA(VLOOKUP(A643,Projects!B:B,1,FALSE)),"","Yes")</f>
        <v>Yes</v>
      </c>
    </row>
    <row r="644" spans="1:14" hidden="1" outlineLevel="1">
      <c r="A644" s="43" t="s">
        <v>1635</v>
      </c>
      <c r="C644" s="44" t="s">
        <v>1394</v>
      </c>
      <c r="D644" s="7" t="s">
        <v>11</v>
      </c>
      <c r="E644" s="26">
        <v>40477</v>
      </c>
      <c r="F644" s="25">
        <v>2</v>
      </c>
      <c r="G644" s="28" t="s">
        <v>289</v>
      </c>
      <c r="H644" s="37">
        <f ca="1">IF(AND(B644="",NOT(A644="")),VLOOKUP(A644,TaskPlan!A:M,13,FALSE),"")</f>
        <v>40505</v>
      </c>
      <c r="I644" s="38" t="str">
        <f ca="1">IF(AND(B644="",NOT(A644="")),VLOOKUP(A644,TaskPlan!A:M,12,FALSE),"")</f>
        <v>Closed</v>
      </c>
      <c r="J644" s="39" t="str">
        <f ca="1">IF(AND(B644="",NOT(A644="")),VLOOKUP(A644,TaskPlan!A:L,2,FALSE),"")</f>
        <v>Pramendra</v>
      </c>
      <c r="K644" s="39" t="str">
        <f ca="1">IF(AND(B644="",NOT(A644="")),IF(NOT(LEFT(VLOOKUP(A644,TaskPlan!A:L,3,FALSE),1) = "0"),VLOOKUP(A644,TaskPlan!A:L,3,FALSE),""),"")</f>
        <v/>
      </c>
      <c r="L644" s="55" t="str">
        <f ca="1">IF(AND(B644="",NOT(A644="")),IF(NOT(LEFT(VLOOKUP(A644,TaskPlan!A:L,3,FALSE),1) = "0"),VLOOKUP(A644,TaskPlan!A:M,4,FALSE),""),"")</f>
        <v/>
      </c>
      <c r="N644" s="1" t="str">
        <f ca="1">IF(ISNA(VLOOKUP(A644,Projects!B:B,1,FALSE)),"","Yes")</f>
        <v>Yes</v>
      </c>
    </row>
    <row r="645" spans="1:14" hidden="1" outlineLevel="1">
      <c r="A645" s="43" t="s">
        <v>1518</v>
      </c>
      <c r="C645" s="44" t="s">
        <v>1519</v>
      </c>
      <c r="D645" s="7" t="s">
        <v>11</v>
      </c>
      <c r="E645" s="26">
        <v>40438</v>
      </c>
      <c r="F645" s="25">
        <v>2</v>
      </c>
      <c r="G645" s="28" t="s">
        <v>1213</v>
      </c>
      <c r="H645" s="37">
        <f ca="1">IF(AND(B645="",NOT(A645="")),VLOOKUP(A645,TaskPlan!A:M,13,FALSE),"")</f>
        <v>40505</v>
      </c>
      <c r="I645" s="38" t="str">
        <f ca="1">IF(AND(B645="",NOT(A645="")),VLOOKUP(A645,TaskPlan!A:M,12,FALSE),"")</f>
        <v>Closed</v>
      </c>
      <c r="J645" s="39" t="str">
        <f ca="1">IF(AND(B645="",NOT(A645="")),VLOOKUP(A645,TaskPlan!A:L,2,FALSE),"")</f>
        <v>Sachin</v>
      </c>
      <c r="K645" s="39" t="str">
        <f ca="1">IF(AND(B645="",NOT(A645="")),IF(NOT(LEFT(VLOOKUP(A645,TaskPlan!A:L,3,FALSE),1) = "0"),VLOOKUP(A645,TaskPlan!A:L,3,FALSE),""),"")</f>
        <v/>
      </c>
      <c r="L645" s="55" t="str">
        <f ca="1">IF(AND(B645="",NOT(A645="")),IF(NOT(LEFT(VLOOKUP(A645,TaskPlan!A:L,3,FALSE),1) = "0"),VLOOKUP(A645,TaskPlan!A:M,4,FALSE),""),"")</f>
        <v/>
      </c>
      <c r="N645" s="1" t="str">
        <f ca="1">IF(ISNA(VLOOKUP(A645,Projects!B:B,1,FALSE)),"","Yes")</f>
        <v>Yes</v>
      </c>
    </row>
    <row r="646" spans="1:14" hidden="1" outlineLevel="1">
      <c r="A646" s="43" t="s">
        <v>1557</v>
      </c>
      <c r="C646" s="44" t="s">
        <v>1558</v>
      </c>
      <c r="D646" s="7" t="s">
        <v>11</v>
      </c>
      <c r="E646" s="26">
        <v>40465</v>
      </c>
      <c r="F646" s="25">
        <v>5</v>
      </c>
      <c r="G646" s="28" t="s">
        <v>1213</v>
      </c>
      <c r="H646" s="37">
        <f ca="1">IF(AND(B646="",NOT(A646="")),VLOOKUP(A646,TaskPlan!A:M,13,FALSE),"")</f>
        <v>40520</v>
      </c>
      <c r="I646" s="38" t="str">
        <f ca="1">IF(AND(B646="",NOT(A646="")),VLOOKUP(A646,TaskPlan!A:M,12,FALSE),"")</f>
        <v>Closed</v>
      </c>
      <c r="J646" s="39" t="str">
        <f ca="1">IF(AND(B646="",NOT(A646="")),VLOOKUP(A646,TaskPlan!A:L,2,FALSE),"")</f>
        <v>Neil</v>
      </c>
      <c r="K646" s="39" t="str">
        <f ca="1">IF(AND(B646="",NOT(A646="")),IF(NOT(LEFT(VLOOKUP(A646,TaskPlan!A:L,3,FALSE),1) = "0"),VLOOKUP(A646,TaskPlan!A:L,3,FALSE),""),"")</f>
        <v/>
      </c>
      <c r="L646" s="55" t="str">
        <f ca="1">IF(AND(B646="",NOT(A646="")),IF(NOT(LEFT(VLOOKUP(A646,TaskPlan!A:L,3,FALSE),1) = "0"),VLOOKUP(A646,TaskPlan!A:M,4,FALSE),""),"")</f>
        <v/>
      </c>
      <c r="N646" s="1" t="str">
        <f ca="1">IF(ISNA(VLOOKUP(A646,Projects!B:B,1,FALSE)),"","Yes")</f>
        <v/>
      </c>
    </row>
    <row r="647" spans="1:14" hidden="1" outlineLevel="1">
      <c r="A647" s="43" t="s">
        <v>1586</v>
      </c>
      <c r="C647" s="44" t="s">
        <v>1608</v>
      </c>
      <c r="D647" s="7" t="s">
        <v>11</v>
      </c>
      <c r="E647" s="26">
        <v>40465</v>
      </c>
      <c r="F647" s="25">
        <v>5</v>
      </c>
      <c r="G647" s="28" t="s">
        <v>289</v>
      </c>
      <c r="H647" s="37">
        <f ca="1">IF(AND(B647="",NOT(A647="")),VLOOKUP(A647,TaskPlan!A:M,13,FALSE),"")</f>
        <v>40520</v>
      </c>
      <c r="I647" s="38" t="str">
        <f ca="1">IF(AND(B647="",NOT(A647="")),VLOOKUP(A647,TaskPlan!A:M,12,FALSE),"")</f>
        <v>Closed</v>
      </c>
      <c r="J647" s="39" t="str">
        <f ca="1">IF(AND(B647="",NOT(A647="")),VLOOKUP(A647,TaskPlan!A:L,2,FALSE),"")</f>
        <v>Neil</v>
      </c>
      <c r="K647" s="39" t="str">
        <f ca="1">IF(AND(B647="",NOT(A647="")),IF(NOT(LEFT(VLOOKUP(A647,TaskPlan!A:L,3,FALSE),1) = "0"),VLOOKUP(A647,TaskPlan!A:L,3,FALSE),""),"")</f>
        <v/>
      </c>
      <c r="L647" s="55" t="str">
        <f ca="1">IF(AND(B647="",NOT(A647="")),IF(NOT(LEFT(VLOOKUP(A647,TaskPlan!A:L,3,FALSE),1) = "0"),VLOOKUP(A647,TaskPlan!A:M,4,FALSE),""),"")</f>
        <v/>
      </c>
      <c r="N647" s="1" t="str">
        <f ca="1">IF(ISNA(VLOOKUP(A647,Projects!B:B,1,FALSE)),"","Yes")</f>
        <v/>
      </c>
    </row>
    <row r="648" spans="1:14" hidden="1" outlineLevel="1">
      <c r="A648" s="43" t="s">
        <v>1609</v>
      </c>
      <c r="C648" s="44" t="s">
        <v>1610</v>
      </c>
      <c r="D648" s="7"/>
      <c r="E648" s="26">
        <v>40465</v>
      </c>
      <c r="G648" s="28"/>
      <c r="L648" s="55"/>
    </row>
    <row r="649" spans="1:14" hidden="1" outlineLevel="1">
      <c r="A649" s="43" t="s">
        <v>1428</v>
      </c>
      <c r="B649" s="1" t="s">
        <v>15</v>
      </c>
      <c r="C649" s="45" t="s">
        <v>1429</v>
      </c>
      <c r="D649" s="7"/>
      <c r="E649" s="26"/>
      <c r="G649" s="28"/>
      <c r="L649" s="55"/>
      <c r="N649" s="1" t="str">
        <f ca="1">IF(ISNA(VLOOKUP(A649,Projects!B:B,1,FALSE)),"","Yes")</f>
        <v/>
      </c>
    </row>
    <row r="650" spans="1:14" hidden="1" outlineLevel="1">
      <c r="A650" s="43" t="s">
        <v>1434</v>
      </c>
      <c r="C650" s="44" t="s">
        <v>1430</v>
      </c>
      <c r="D650" s="7" t="s">
        <v>11</v>
      </c>
      <c r="E650" s="26">
        <v>40410</v>
      </c>
      <c r="F650" s="25">
        <v>1</v>
      </c>
      <c r="G650" s="28" t="s">
        <v>289</v>
      </c>
      <c r="H650" s="37">
        <f ca="1">IF(AND(B650="",NOT(A650="")),VLOOKUP(A650,TaskPlan!A:M,13,FALSE),"")</f>
        <v>40567</v>
      </c>
      <c r="I650" s="38" t="str">
        <f ca="1">IF(AND(B650="",NOT(A650="")),VLOOKUP(A650,TaskPlan!A:M,12,FALSE),"")</f>
        <v>Closed</v>
      </c>
      <c r="J650" s="39" t="str">
        <f ca="1">IF(AND(B650="",NOT(A650="")),VLOOKUP(A650,TaskPlan!A:L,2,FALSE),"")</f>
        <v>Sachin</v>
      </c>
      <c r="K650" s="39" t="str">
        <f ca="1">IF(AND(B650="",NOT(A650="")),IF(NOT(LEFT(VLOOKUP(A650,TaskPlan!A:L,3,FALSE),1) = "0"),VLOOKUP(A650,TaskPlan!A:L,3,FALSE),""),"")</f>
        <v/>
      </c>
      <c r="L650" s="55" t="str">
        <f ca="1">IF(AND(B650="",NOT(A650="")),IF(NOT(LEFT(VLOOKUP(A650,TaskPlan!A:L,3,FALSE),1) = "0"),VLOOKUP(A650,TaskPlan!A:M,4,FALSE),""),"")</f>
        <v/>
      </c>
      <c r="N650" s="1" t="str">
        <f ca="1">IF(ISNA(VLOOKUP(A650,Projects!B:B,1,FALSE)),"","Yes")</f>
        <v>Yes</v>
      </c>
    </row>
    <row r="651" spans="1:14" hidden="1" outlineLevel="1">
      <c r="A651" s="43" t="s">
        <v>1435</v>
      </c>
      <c r="C651" s="44" t="s">
        <v>1430</v>
      </c>
      <c r="D651" s="7" t="s">
        <v>11</v>
      </c>
      <c r="E651" s="26">
        <v>40410</v>
      </c>
      <c r="F651" s="25">
        <v>1</v>
      </c>
      <c r="G651" s="28" t="s">
        <v>289</v>
      </c>
      <c r="H651" s="37">
        <f ca="1">IF(AND(B651="",NOT(A651="")),VLOOKUP(A651,TaskPlan!A:M,13,FALSE),"")</f>
        <v>40567</v>
      </c>
      <c r="I651" s="38" t="str">
        <f ca="1">IF(AND(B651="",NOT(A651="")),VLOOKUP(A651,TaskPlan!A:M,12,FALSE),"")</f>
        <v>Closed</v>
      </c>
      <c r="J651" s="39" t="str">
        <f ca="1">IF(AND(B651="",NOT(A651="")),VLOOKUP(A651,TaskPlan!A:L,2,FALSE),"")</f>
        <v>Sreevani</v>
      </c>
      <c r="K651" s="39" t="str">
        <f ca="1">IF(AND(B651="",NOT(A651="")),IF(NOT(LEFT(VLOOKUP(A651,TaskPlan!A:L,3,FALSE),1) = "0"),VLOOKUP(A651,TaskPlan!A:L,3,FALSE),""),"")</f>
        <v/>
      </c>
      <c r="L651" s="55" t="str">
        <f ca="1">IF(AND(B651="",NOT(A651="")),IF(NOT(LEFT(VLOOKUP(A651,TaskPlan!A:L,3,FALSE),1) = "0"),VLOOKUP(A651,TaskPlan!A:M,4,FALSE),""),"")</f>
        <v/>
      </c>
      <c r="N651" s="1" t="str">
        <f ca="1">IF(ISNA(VLOOKUP(A651,Projects!B:B,1,FALSE)),"","Yes")</f>
        <v>Yes</v>
      </c>
    </row>
    <row r="652" spans="1:14" hidden="1" outlineLevel="1">
      <c r="A652" s="43" t="s">
        <v>1436</v>
      </c>
      <c r="C652" s="44" t="s">
        <v>1431</v>
      </c>
      <c r="D652" s="7" t="s">
        <v>11</v>
      </c>
      <c r="E652" s="26">
        <v>40410</v>
      </c>
      <c r="F652" s="25">
        <v>1</v>
      </c>
      <c r="G652" s="28" t="s">
        <v>289</v>
      </c>
      <c r="H652" s="37">
        <f ca="1">IF(AND(B652="",NOT(A652="")),VLOOKUP(A652,TaskPlan!A:M,13,FALSE),"")</f>
        <v>40563</v>
      </c>
      <c r="I652" s="38" t="str">
        <f ca="1">IF(AND(B652="",NOT(A652="")),VLOOKUP(A652,TaskPlan!A:M,12,FALSE),"")</f>
        <v>Closed</v>
      </c>
      <c r="J652" s="39" t="str">
        <f ca="1">IF(AND(B652="",NOT(A652="")),VLOOKUP(A652,TaskPlan!A:L,2,FALSE),"")</f>
        <v>Sachin</v>
      </c>
      <c r="K652" s="39" t="str">
        <f ca="1">IF(AND(B652="",NOT(A652="")),IF(NOT(LEFT(VLOOKUP(A652,TaskPlan!A:L,3,FALSE),1) = "0"),VLOOKUP(A652,TaskPlan!A:L,3,FALSE),""),"")</f>
        <v/>
      </c>
      <c r="L652" s="55" t="str">
        <f ca="1">IF(AND(B652="",NOT(A652="")),IF(NOT(LEFT(VLOOKUP(A652,TaskPlan!A:L,3,FALSE),1) = "0"),VLOOKUP(A652,TaskPlan!A:M,4,FALSE),""),"")</f>
        <v/>
      </c>
      <c r="N652" s="1" t="str">
        <f ca="1">IF(ISNA(VLOOKUP(A652,Projects!B:B,1,FALSE)),"","Yes")</f>
        <v>Yes</v>
      </c>
    </row>
    <row r="653" spans="1:14" hidden="1" outlineLevel="1">
      <c r="A653" s="43" t="s">
        <v>1437</v>
      </c>
      <c r="C653" s="44" t="s">
        <v>1431</v>
      </c>
      <c r="D653" s="7" t="s">
        <v>11</v>
      </c>
      <c r="E653" s="26">
        <v>40410</v>
      </c>
      <c r="F653" s="25">
        <v>1</v>
      </c>
      <c r="G653" s="28" t="s">
        <v>289</v>
      </c>
      <c r="H653" s="37">
        <f ca="1">IF(AND(B653="",NOT(A653="")),VLOOKUP(A653,TaskPlan!A:M,13,FALSE),"")</f>
        <v>40563</v>
      </c>
      <c r="I653" s="38" t="str">
        <f ca="1">IF(AND(B653="",NOT(A653="")),VLOOKUP(A653,TaskPlan!A:M,12,FALSE),"")</f>
        <v>Closed</v>
      </c>
      <c r="J653" s="39" t="str">
        <f ca="1">IF(AND(B653="",NOT(A653="")),VLOOKUP(A653,TaskPlan!A:L,2,FALSE),"")</f>
        <v>Sreevani</v>
      </c>
      <c r="K653" s="39" t="str">
        <f ca="1">IF(AND(B653="",NOT(A653="")),IF(NOT(LEFT(VLOOKUP(A653,TaskPlan!A:L,3,FALSE),1) = "0"),VLOOKUP(A653,TaskPlan!A:L,3,FALSE),""),"")</f>
        <v/>
      </c>
      <c r="L653" s="55" t="str">
        <f ca="1">IF(AND(B653="",NOT(A653="")),IF(NOT(LEFT(VLOOKUP(A653,TaskPlan!A:L,3,FALSE),1) = "0"),VLOOKUP(A653,TaskPlan!A:M,4,FALSE),""),"")</f>
        <v/>
      </c>
      <c r="N653" s="1" t="str">
        <f ca="1">IF(ISNA(VLOOKUP(A653,Projects!B:B,1,FALSE)),"","Yes")</f>
        <v>Yes</v>
      </c>
    </row>
    <row r="654" spans="1:14" hidden="1" outlineLevel="1">
      <c r="A654" s="43" t="s">
        <v>1438</v>
      </c>
      <c r="C654" s="44" t="s">
        <v>1432</v>
      </c>
      <c r="D654" s="7" t="s">
        <v>11</v>
      </c>
      <c r="E654" s="26">
        <v>40410</v>
      </c>
      <c r="F654" s="25">
        <v>1</v>
      </c>
      <c r="G654" s="28" t="s">
        <v>289</v>
      </c>
      <c r="H654" s="37">
        <f ca="1">IF(AND(B654="",NOT(A654="")),VLOOKUP(A654,TaskPlan!A:M,13,FALSE),"")</f>
        <v>40590</v>
      </c>
      <c r="I654" s="38" t="str">
        <f ca="1">IF(AND(B654="",NOT(A654="")),VLOOKUP(A654,TaskPlan!A:M,12,FALSE),"")</f>
        <v>Closed</v>
      </c>
      <c r="J654" s="39" t="str">
        <f ca="1">IF(AND(B654="",NOT(A654="")),VLOOKUP(A654,TaskPlan!A:L,2,FALSE),"")</f>
        <v>Sachin</v>
      </c>
      <c r="K654" s="39" t="str">
        <f ca="1">IF(AND(B654="",NOT(A654="")),IF(NOT(LEFT(VLOOKUP(A654,TaskPlan!A:L,3,FALSE),1) = "0"),VLOOKUP(A654,TaskPlan!A:L,3,FALSE),""),"")</f>
        <v/>
      </c>
      <c r="L654" s="55" t="str">
        <f ca="1">IF(AND(B654="",NOT(A654="")),IF(NOT(LEFT(VLOOKUP(A654,TaskPlan!A:L,3,FALSE),1) = "0"),VLOOKUP(A654,TaskPlan!A:M,4,FALSE),""),"")</f>
        <v/>
      </c>
      <c r="N654" s="1" t="str">
        <f ca="1">IF(ISNA(VLOOKUP(A654,Projects!B:B,1,FALSE)),"","Yes")</f>
        <v>Yes</v>
      </c>
    </row>
    <row r="655" spans="1:14" hidden="1" outlineLevel="1">
      <c r="A655" s="43" t="s">
        <v>1439</v>
      </c>
      <c r="C655" s="44" t="s">
        <v>1432</v>
      </c>
      <c r="D655" s="7" t="s">
        <v>11</v>
      </c>
      <c r="E655" s="26">
        <v>40410</v>
      </c>
      <c r="F655" s="25">
        <v>1</v>
      </c>
      <c r="G655" s="28" t="s">
        <v>289</v>
      </c>
      <c r="H655" s="37">
        <f ca="1">IF(AND(B655="",NOT(A655="")),VLOOKUP(A655,TaskPlan!A:M,13,FALSE),"")</f>
        <v>40590</v>
      </c>
      <c r="I655" s="38" t="str">
        <f ca="1">IF(AND(B655="",NOT(A655="")),VLOOKUP(A655,TaskPlan!A:M,12,FALSE),"")</f>
        <v>Closed</v>
      </c>
      <c r="J655" s="39" t="str">
        <f ca="1">IF(AND(B655="",NOT(A655="")),VLOOKUP(A655,TaskPlan!A:L,2,FALSE),"")</f>
        <v>Sreevani</v>
      </c>
      <c r="K655" s="39" t="str">
        <f ca="1">IF(AND(B655="",NOT(A655="")),IF(NOT(LEFT(VLOOKUP(A655,TaskPlan!A:L,3,FALSE),1) = "0"),VLOOKUP(A655,TaskPlan!A:L,3,FALSE),""),"")</f>
        <v/>
      </c>
      <c r="L655" s="55" t="str">
        <f ca="1">IF(AND(B655="",NOT(A655="")),IF(NOT(LEFT(VLOOKUP(A655,TaskPlan!A:L,3,FALSE),1) = "0"),VLOOKUP(A655,TaskPlan!A:M,4,FALSE),""),"")</f>
        <v/>
      </c>
      <c r="N655" s="1" t="str">
        <f ca="1">IF(ISNA(VLOOKUP(A655,Projects!B:B,1,FALSE)),"","Yes")</f>
        <v>Yes</v>
      </c>
    </row>
    <row r="656" spans="1:14" hidden="1" outlineLevel="1">
      <c r="A656" s="43" t="s">
        <v>1440</v>
      </c>
      <c r="C656" s="44" t="s">
        <v>1433</v>
      </c>
      <c r="D656" s="7" t="s">
        <v>11</v>
      </c>
      <c r="E656" s="26">
        <v>40410</v>
      </c>
      <c r="F656" s="25">
        <v>1</v>
      </c>
      <c r="G656" s="28" t="s">
        <v>289</v>
      </c>
      <c r="H656" s="37">
        <f ca="1">IF(AND(B656="",NOT(A656="")),VLOOKUP(A656,TaskPlan!A:M,13,FALSE),"")</f>
        <v>40505</v>
      </c>
      <c r="I656" s="38" t="str">
        <f ca="1">IF(AND(B656="",NOT(A656="")),VLOOKUP(A656,TaskPlan!A:M,12,FALSE),"")</f>
        <v>Not Started</v>
      </c>
      <c r="J656" s="39" t="str">
        <f ca="1">IF(AND(B656="",NOT(A656="")),VLOOKUP(A656,TaskPlan!A:L,2,FALSE),"")</f>
        <v>Sachin</v>
      </c>
      <c r="K656" s="39" t="str">
        <f ca="1">IF(AND(B656="",NOT(A656="")),IF(NOT(LEFT(VLOOKUP(A656,TaskPlan!A:L,3,FALSE),1) = "0"),VLOOKUP(A656,TaskPlan!A:L,3,FALSE),""),"")</f>
        <v>2-LOW</v>
      </c>
      <c r="L656" s="55">
        <f ca="1">IF(AND(B656="",NOT(A656="")),IF(NOT(LEFT(VLOOKUP(A656,TaskPlan!A:L,3,FALSE),1) = "0"),VLOOKUP(A656,TaskPlan!A:M,4,FALSE),""),"")</f>
        <v>0</v>
      </c>
      <c r="N656" s="1" t="str">
        <f ca="1">IF(ISNA(VLOOKUP(A656,Projects!B:B,1,FALSE)),"","Yes")</f>
        <v>Yes</v>
      </c>
    </row>
    <row r="657" spans="1:14" hidden="1" outlineLevel="1">
      <c r="A657" s="43" t="s">
        <v>1441</v>
      </c>
      <c r="C657" s="44" t="s">
        <v>1433</v>
      </c>
      <c r="D657" s="7" t="s">
        <v>11</v>
      </c>
      <c r="E657" s="26">
        <v>40410</v>
      </c>
      <c r="F657" s="25">
        <v>1</v>
      </c>
      <c r="G657" s="28" t="s">
        <v>289</v>
      </c>
      <c r="H657" s="37">
        <f ca="1">IF(AND(B657="",NOT(A657="")),VLOOKUP(A657,TaskPlan!A:M,13,FALSE),"")</f>
        <v>40553</v>
      </c>
      <c r="I657" s="38" t="str">
        <f ca="1">IF(AND(B657="",NOT(A657="")),VLOOKUP(A657,TaskPlan!A:M,12,FALSE),"")</f>
        <v>Not Started</v>
      </c>
      <c r="J657" s="39" t="str">
        <f ca="1">IF(AND(B657="",NOT(A657="")),VLOOKUP(A657,TaskPlan!A:L,2,FALSE),"")</f>
        <v>Sreevani</v>
      </c>
      <c r="K657" s="39" t="str">
        <f ca="1">IF(AND(B657="",NOT(A657="")),IF(NOT(LEFT(VLOOKUP(A657,TaskPlan!A:L,3,FALSE),1) = "0"),VLOOKUP(A657,TaskPlan!A:L,3,FALSE),""),"")</f>
        <v>2-LOW</v>
      </c>
      <c r="L657" s="55">
        <f ca="1">IF(AND(B657="",NOT(A657="")),IF(NOT(LEFT(VLOOKUP(A657,TaskPlan!A:L,3,FALSE),1) = "0"),VLOOKUP(A657,TaskPlan!A:M,4,FALSE),""),"")</f>
        <v>0</v>
      </c>
      <c r="N657" s="1" t="str">
        <f ca="1">IF(ISNA(VLOOKUP(A657,Projects!B:B,1,FALSE)),"","Yes")</f>
        <v>Yes</v>
      </c>
    </row>
    <row r="658" spans="1:14" hidden="1" outlineLevel="1">
      <c r="A658" s="43" t="s">
        <v>1903</v>
      </c>
      <c r="C658" s="44" t="s">
        <v>1904</v>
      </c>
      <c r="D658" s="7" t="s">
        <v>11</v>
      </c>
      <c r="E658" s="26">
        <v>40588</v>
      </c>
      <c r="F658" s="25">
        <v>2</v>
      </c>
      <c r="G658" s="28" t="s">
        <v>1213</v>
      </c>
      <c r="H658" s="37">
        <f ca="1">IF(AND(B658="",NOT(A658="")),VLOOKUP(A658,TaskPlan!A:M,13,FALSE),"")</f>
        <v>40588</v>
      </c>
      <c r="I658" s="38" t="str">
        <f ca="1">IF(AND(B658="",NOT(A658="")),VLOOKUP(A658,TaskPlan!A:M,12,FALSE),"")</f>
        <v>In Progress</v>
      </c>
      <c r="J658" s="39" t="str">
        <f ca="1">IF(AND(B658="",NOT(A658="")),VLOOKUP(A658,TaskPlan!A:L,2,FALSE),"")</f>
        <v>Unassigned</v>
      </c>
      <c r="K658" s="39" t="str">
        <f ca="1">IF(AND(B658="",NOT(A658="")),IF(NOT(LEFT(VLOOKUP(A658,TaskPlan!A:L,3,FALSE),1) = "0"),VLOOKUP(A658,TaskPlan!A:L,3,FALSE),""),"")</f>
        <v>2-LOW</v>
      </c>
      <c r="L658" s="55">
        <f ca="1">IF(AND(B658="",NOT(A658="")),IF(NOT(LEFT(VLOOKUP(A658,TaskPlan!A:L,3,FALSE),1) = "0"),VLOOKUP(A658,TaskPlan!A:M,4,FALSE),""),"")</f>
        <v>0</v>
      </c>
      <c r="N658" s="1" t="str">
        <f ca="1">IF(ISNA(VLOOKUP(A658,Projects!B:B,1,FALSE)),"","Yes")</f>
        <v/>
      </c>
    </row>
    <row r="659" spans="1:14" hidden="1" outlineLevel="1">
      <c r="A659" s="43"/>
      <c r="C659" s="45"/>
      <c r="D659" s="7"/>
      <c r="E659" s="26"/>
      <c r="G659" s="28"/>
      <c r="L659" s="55"/>
      <c r="N659" s="1" t="str">
        <f ca="1">IF(ISNA(VLOOKUP(A659,Projects!B:B,1,FALSE)),"","Yes")</f>
        <v/>
      </c>
    </row>
    <row r="660" spans="1:14" ht="15.75" collapsed="1">
      <c r="C660" s="36"/>
      <c r="H660" s="37" t="str">
        <f ca="1">IF(AND(B660="",NOT(A660="")),VLOOKUP(A660,TaskPlan!A:M,13,FALSE),"")</f>
        <v/>
      </c>
      <c r="I660" s="38" t="str">
        <f ca="1">IF(AND(B660="",NOT(A660="")),VLOOKUP(A660,TaskPlan!A:M,12,FALSE),"")</f>
        <v/>
      </c>
      <c r="J660" s="39" t="str">
        <f ca="1">IF(AND(B660="",NOT(A660="")),VLOOKUP(A660,TaskPlan!A:L,2,FALSE),"")</f>
        <v/>
      </c>
      <c r="K660" s="39" t="str">
        <f ca="1">IF(AND(B660="",NOT(A660="")),IF(NOT(LEFT(VLOOKUP(A660,TaskPlan!A:L,3,FALSE),1) = "0"),VLOOKUP(A660,TaskPlan!A:L,3,FALSE),""),"")</f>
        <v/>
      </c>
      <c r="L660" s="55" t="str">
        <f ca="1">IF(AND(B660="",NOT(A660="")),IF(NOT(LEFT(VLOOKUP(A660,TaskPlan!A:L,3,FALSE),1) = "0"),VLOOKUP(A660,TaskPlan!A:M,4,FALSE),""),"")</f>
        <v/>
      </c>
      <c r="M660" s="58" t="str">
        <f ca="1">IF(B660=".",1,IF(AND(B660="",NOT(A660="")),IF(VLOOKUP(A660,TaskPlan!A:L,5,FALSE)&gt;0,VLOOKUP(A660,TaskPlan!A:L,5,FALSE),""),""))</f>
        <v/>
      </c>
      <c r="N660" s="1" t="str">
        <f ca="1">IF(ISNA(VLOOKUP(A660,Projects!B:B,1,FALSE)),"","Yes")</f>
        <v/>
      </c>
    </row>
    <row r="661" spans="1:14" ht="15.75">
      <c r="A661" s="43" t="s">
        <v>293</v>
      </c>
      <c r="B661" s="7" t="s">
        <v>15</v>
      </c>
      <c r="C661" s="36" t="s">
        <v>292</v>
      </c>
      <c r="H661" s="37" t="str">
        <f ca="1">IF(AND(B661="",NOT(A661="")),VLOOKUP(A661,TaskPlan!A:M,13,FALSE),"")</f>
        <v/>
      </c>
      <c r="I661" s="38" t="str">
        <f ca="1">IF(AND(B661="",NOT(A661="")),VLOOKUP(A661,TaskPlan!A:M,12,FALSE),"")</f>
        <v/>
      </c>
      <c r="J661" s="39" t="str">
        <f ca="1">IF(AND(B661="",NOT(A661="")),VLOOKUP(A661,TaskPlan!A:L,2,FALSE),"")</f>
        <v/>
      </c>
      <c r="K661" s="39" t="str">
        <f ca="1">IF(AND(B661="",NOT(A661="")),IF(NOT(LEFT(VLOOKUP(A661,TaskPlan!A:L,3,FALSE),1) = "0"),VLOOKUP(A661,TaskPlan!A:L,3,FALSE),""),"")</f>
        <v/>
      </c>
      <c r="L661" s="55" t="str">
        <f ca="1">IF(AND(B661="",NOT(A661="")),IF(NOT(LEFT(VLOOKUP(A661,TaskPlan!A:L,3,FALSE),1) = "0"),VLOOKUP(A661,TaskPlan!A:M,4,FALSE),""),"")</f>
        <v/>
      </c>
      <c r="N661" s="1" t="str">
        <f ca="1">IF(ISNA(VLOOKUP(A661,Projects!B:B,1,FALSE)),"","Yes")</f>
        <v/>
      </c>
    </row>
    <row r="662" spans="1:14" hidden="1" outlineLevel="1">
      <c r="A662" s="43" t="s">
        <v>294</v>
      </c>
      <c r="B662" s="7" t="s">
        <v>15</v>
      </c>
      <c r="C662" s="45" t="s">
        <v>745</v>
      </c>
      <c r="E662" s="26"/>
      <c r="H662" s="37" t="str">
        <f ca="1">IF(AND(B662="",NOT(A662="")),VLOOKUP(A662,TaskPlan!A:M,13,FALSE),"")</f>
        <v/>
      </c>
      <c r="I662" s="38" t="str">
        <f ca="1">IF(AND(B662="",NOT(A662="")),VLOOKUP(A662,TaskPlan!A:M,12,FALSE),"")</f>
        <v/>
      </c>
      <c r="J662" s="39" t="str">
        <f ca="1">IF(AND(B662="",NOT(A662="")),VLOOKUP(A662,TaskPlan!A:L,2,FALSE),"")</f>
        <v/>
      </c>
      <c r="K662" s="39" t="str">
        <f ca="1">IF(AND(B662="",NOT(A662="")),IF(NOT(LEFT(VLOOKUP(A662,TaskPlan!A:L,3,FALSE),1) = "0"),VLOOKUP(A662,TaskPlan!A:L,3,FALSE),""),"")</f>
        <v/>
      </c>
      <c r="L662" s="55" t="str">
        <f ca="1">IF(AND(B662="",NOT(A662="")),IF(NOT(LEFT(VLOOKUP(A662,TaskPlan!A:L,3,FALSE),1) = "0"),VLOOKUP(A662,TaskPlan!A:M,4,FALSE),""),"")</f>
        <v/>
      </c>
      <c r="N662" s="1" t="str">
        <f ca="1">IF(ISNA(VLOOKUP(A662,Projects!B:B,1,FALSE)),"","Yes")</f>
        <v/>
      </c>
    </row>
    <row r="663" spans="1:14" hidden="1" outlineLevel="1">
      <c r="A663" s="43" t="s">
        <v>295</v>
      </c>
      <c r="C663" s="44" t="s">
        <v>296</v>
      </c>
      <c r="D663" s="1" t="s">
        <v>11</v>
      </c>
      <c r="E663" s="26">
        <v>40045</v>
      </c>
      <c r="H663" s="37">
        <f ca="1">IF(AND(B663="",NOT(A663="")),VLOOKUP(A663,TaskPlan!A:M,13,FALSE),"")</f>
        <v>40052</v>
      </c>
      <c r="I663" s="38" t="str">
        <f ca="1">IF(AND(B663="",NOT(A663="")),VLOOKUP(A663,TaskPlan!A:M,12,FALSE),"")</f>
        <v>Closed</v>
      </c>
      <c r="J663" s="39" t="str">
        <f ca="1">IF(AND(B663="",NOT(A663="")),VLOOKUP(A663,TaskPlan!A:L,2,FALSE),"")</f>
        <v>Pramendra</v>
      </c>
      <c r="K663" s="39" t="str">
        <f ca="1">IF(AND(B663="",NOT(A663="")),IF(NOT(LEFT(VLOOKUP(A663,TaskPlan!A:L,3,FALSE),1) = "0"),VLOOKUP(A663,TaskPlan!A:L,3,FALSE),""),"")</f>
        <v/>
      </c>
      <c r="L663" s="55" t="str">
        <f ca="1">IF(AND(B663="",NOT(A663="")),IF(NOT(LEFT(VLOOKUP(A663,TaskPlan!A:L,3,FALSE),1) = "0"),VLOOKUP(A663,TaskPlan!A:M,4,FALSE),""),"")</f>
        <v/>
      </c>
      <c r="M663" s="58" t="str">
        <f ca="1">IF(B663=".",1,IF(AND(B663="",NOT(A663="")),IF(VLOOKUP(A663,TaskPlan!A:L,5,FALSE)&gt;0,VLOOKUP(A663,TaskPlan!A:L,5,FALSE),""),""))</f>
        <v/>
      </c>
      <c r="N663" s="1" t="str">
        <f ca="1">IF(ISNA(VLOOKUP(A663,Projects!B:B,1,FALSE)),"","Yes")</f>
        <v/>
      </c>
    </row>
    <row r="664" spans="1:14" hidden="1" outlineLevel="1">
      <c r="A664" s="43" t="s">
        <v>427</v>
      </c>
      <c r="C664" s="44" t="s">
        <v>428</v>
      </c>
      <c r="D664" s="1" t="s">
        <v>11</v>
      </c>
      <c r="E664" s="26">
        <v>40049</v>
      </c>
      <c r="F664" s="25">
        <v>1.5</v>
      </c>
      <c r="G664" s="28" t="s">
        <v>1099</v>
      </c>
      <c r="H664" s="37">
        <f ca="1">IF(AND(B664="",NOT(A664="")),VLOOKUP(A664,TaskPlan!A:M,13,FALSE),"")</f>
        <v>40505</v>
      </c>
      <c r="I664" s="38" t="str">
        <f ca="1">IF(AND(B664="",NOT(A664="")),VLOOKUP(A664,TaskPlan!A:M,12,FALSE),"")</f>
        <v>Not Started</v>
      </c>
      <c r="J664" s="39" t="str">
        <f ca="1">IF(AND(B664="",NOT(A664="")),VLOOKUP(A664,TaskPlan!A:L,2,FALSE),"")</f>
        <v>Ruth</v>
      </c>
      <c r="K664" s="39" t="str">
        <f ca="1">IF(AND(B664="",NOT(A664="")),IF(NOT(LEFT(VLOOKUP(A664,TaskPlan!A:L,3,FALSE),1) = "0"),VLOOKUP(A664,TaskPlan!A:L,3,FALSE),""),"")</f>
        <v>3-MED</v>
      </c>
      <c r="L664" s="55">
        <f ca="1">IF(AND(B664="",NOT(A664="")),IF(NOT(LEFT(VLOOKUP(A664,TaskPlan!A:L,3,FALSE),1) = "0"),VLOOKUP(A664,TaskPlan!A:M,4,FALSE),""),"")</f>
        <v>0</v>
      </c>
      <c r="M664" s="58" t="str">
        <f ca="1">IF(B664=".",1,IF(AND(B664="",NOT(A664="")),IF(VLOOKUP(A664,TaskPlan!A:L,5,FALSE)&gt;0,VLOOKUP(A664,TaskPlan!A:L,5,FALSE),""),""))</f>
        <v/>
      </c>
      <c r="N664" s="1" t="str">
        <f ca="1">IF(ISNA(VLOOKUP(A664,Projects!B:B,1,FALSE)),"","Yes")</f>
        <v/>
      </c>
    </row>
    <row r="665" spans="1:14" hidden="1" outlineLevel="1">
      <c r="A665" s="43" t="s">
        <v>1038</v>
      </c>
      <c r="C665" s="44" t="s">
        <v>1039</v>
      </c>
      <c r="D665" s="1" t="s">
        <v>11</v>
      </c>
      <c r="E665" s="26">
        <v>40274</v>
      </c>
      <c r="F665" s="25">
        <v>1.5</v>
      </c>
      <c r="G665" s="25" t="s">
        <v>1098</v>
      </c>
      <c r="H665" s="37">
        <f ca="1">IF(AND(B665="",NOT(A665="")),VLOOKUP(A665,TaskPlan!A:M,13,FALSE),"")</f>
        <v>40455</v>
      </c>
      <c r="I665" s="38" t="str">
        <f ca="1">IF(AND(B665="",NOT(A665="")),VLOOKUP(A665,TaskPlan!A:M,12,FALSE),"")</f>
        <v>Closed</v>
      </c>
      <c r="J665" s="39" t="str">
        <f ca="1">IF(AND(B665="",NOT(A665="")),VLOOKUP(A665,TaskPlan!A:L,2,FALSE),"")</f>
        <v>Pramendra</v>
      </c>
      <c r="K665" s="39" t="str">
        <f ca="1">IF(AND(B665="",NOT(A665="")),IF(NOT(LEFT(VLOOKUP(A665,TaskPlan!A:L,3,FALSE),1) = "0"),VLOOKUP(A665,TaskPlan!A:L,3,FALSE),""),"")</f>
        <v/>
      </c>
      <c r="L665" s="55" t="str">
        <f ca="1">IF(AND(B665="",NOT(A665="")),IF(NOT(LEFT(VLOOKUP(A665,TaskPlan!A:L,3,FALSE),1) = "0"),VLOOKUP(A665,TaskPlan!A:M,4,FALSE),""),"")</f>
        <v/>
      </c>
      <c r="M665" s="58" t="str">
        <f ca="1">IF(B665=".",1,IF(AND(B665="",NOT(A665="")),IF(VLOOKUP(A665,TaskPlan!A:L,5,FALSE)&gt;0,VLOOKUP(A665,TaskPlan!A:L,5,FALSE),""),""))</f>
        <v/>
      </c>
      <c r="N665" s="1" t="str">
        <f ca="1">IF(ISNA(VLOOKUP(A665,Projects!B:B,1,FALSE)),"","Yes")</f>
        <v/>
      </c>
    </row>
    <row r="666" spans="1:14" ht="25.5" hidden="1" outlineLevel="1">
      <c r="A666" s="43" t="s">
        <v>634</v>
      </c>
      <c r="C666" s="44" t="s">
        <v>1454</v>
      </c>
      <c r="D666" s="7" t="s">
        <v>32</v>
      </c>
      <c r="E666" s="26">
        <v>40410</v>
      </c>
      <c r="F666" s="25">
        <v>5</v>
      </c>
      <c r="G666" s="28" t="s">
        <v>1099</v>
      </c>
      <c r="H666" s="37">
        <f ca="1">IF(AND(B666="",NOT(A666="")),VLOOKUP(A666,TaskPlan!A:M,13,FALSE),"")</f>
        <v>40410</v>
      </c>
      <c r="I666" s="38" t="str">
        <f ca="1">IF(AND(B666="",NOT(A666="")),VLOOKUP(A666,TaskPlan!A:M,12,FALSE),"")</f>
        <v>Closed</v>
      </c>
      <c r="J666" s="39" t="str">
        <f ca="1">IF(AND(B666="",NOT(A666="")),VLOOKUP(A666,TaskPlan!A:L,2,FALSE),"")</f>
        <v>Ruth</v>
      </c>
      <c r="K666" s="39" t="str">
        <f ca="1">IF(AND(B666="",NOT(A666="")),IF(NOT(LEFT(VLOOKUP(A666,TaskPlan!A:L,3,FALSE),1) = "0"),VLOOKUP(A666,TaskPlan!A:L,3,FALSE),""),"")</f>
        <v/>
      </c>
      <c r="L666" s="55" t="str">
        <f ca="1">IF(AND(B666="",NOT(A666="")),IF(NOT(LEFT(VLOOKUP(A666,TaskPlan!A:L,3,FALSE),1) = "0"),VLOOKUP(A666,TaskPlan!A:M,4,FALSE),""),"")</f>
        <v/>
      </c>
      <c r="M666" s="58" t="str">
        <f ca="1">IF(B666=".",1,IF(AND(B666="",NOT(A666="")),IF(VLOOKUP(A666,TaskPlan!A:L,5,FALSE)&gt;0,VLOOKUP(A666,TaskPlan!A:L,5,FALSE),""),""))</f>
        <v/>
      </c>
      <c r="N666" s="1" t="str">
        <f ca="1">IF(ISNA(VLOOKUP(A666,Projects!B:B,1,FALSE)),"","Yes")</f>
        <v/>
      </c>
    </row>
    <row r="667" spans="1:14" hidden="1" outlineLevel="1">
      <c r="A667" s="43" t="s">
        <v>1199</v>
      </c>
      <c r="B667" s="7" t="s">
        <v>15</v>
      </c>
      <c r="C667" s="45" t="s">
        <v>1200</v>
      </c>
      <c r="D667" s="7"/>
      <c r="E667" s="26"/>
      <c r="G667" s="28"/>
      <c r="L667" s="55"/>
      <c r="N667" s="1" t="str">
        <f ca="1">IF(ISNA(VLOOKUP(A667,Projects!B:B,1,FALSE)),"","Yes")</f>
        <v/>
      </c>
    </row>
    <row r="668" spans="1:14" hidden="1" outlineLevel="1">
      <c r="A668" s="43" t="s">
        <v>1201</v>
      </c>
      <c r="B668" s="7"/>
      <c r="C668" s="44" t="s">
        <v>1202</v>
      </c>
      <c r="D668" s="7" t="s">
        <v>756</v>
      </c>
      <c r="E668" s="26">
        <v>40505</v>
      </c>
      <c r="F668" s="25">
        <v>1</v>
      </c>
      <c r="G668" s="28" t="s">
        <v>1099</v>
      </c>
      <c r="H668" s="37">
        <f ca="1">IF(AND(B668="",NOT(A668="")),VLOOKUP(A668,TaskPlan!A:M,13,FALSE),"")</f>
        <v>40338</v>
      </c>
      <c r="I668" s="38" t="str">
        <f ca="1">IF(AND(B668="",NOT(A668="")),VLOOKUP(A668,TaskPlan!A:M,12,FALSE),"")</f>
        <v>Closed</v>
      </c>
      <c r="J668" s="39" t="str">
        <f ca="1">IF(AND(B668="",NOT(A668="")),VLOOKUP(A668,TaskPlan!A:L,2,FALSE),"")</f>
        <v>Pramendra</v>
      </c>
      <c r="K668" s="39" t="str">
        <f ca="1">IF(AND(B668="",NOT(A668="")),IF(NOT(LEFT(VLOOKUP(A668,TaskPlan!A:L,3,FALSE),1) = "0"),VLOOKUP(A668,TaskPlan!A:L,3,FALSE),""),"")</f>
        <v/>
      </c>
      <c r="L668" s="55" t="str">
        <f ca="1">IF(AND(B668="",NOT(A668="")),IF(NOT(LEFT(VLOOKUP(A668,TaskPlan!A:L,3,FALSE),1) = "0"),VLOOKUP(A668,TaskPlan!A:M,4,FALSE),""),"")</f>
        <v/>
      </c>
      <c r="N668" s="1" t="str">
        <f ca="1">IF(ISNA(VLOOKUP(A668,Projects!B:B,1,FALSE)),"","Yes")</f>
        <v/>
      </c>
    </row>
    <row r="669" spans="1:14" hidden="1" outlineLevel="1">
      <c r="A669" s="43" t="s">
        <v>1209</v>
      </c>
      <c r="B669" s="7" t="s">
        <v>15</v>
      </c>
      <c r="C669" s="45" t="s">
        <v>1210</v>
      </c>
      <c r="D669" s="7"/>
      <c r="E669" s="26"/>
      <c r="G669" s="28"/>
      <c r="L669" s="55"/>
      <c r="N669" s="1" t="str">
        <f ca="1">IF(ISNA(VLOOKUP(A669,Projects!B:B,1,FALSE)),"","Yes")</f>
        <v/>
      </c>
    </row>
    <row r="670" spans="1:14" hidden="1" outlineLevel="1">
      <c r="A670" s="43" t="s">
        <v>1211</v>
      </c>
      <c r="B670" s="7"/>
      <c r="C670" s="44" t="s">
        <v>1212</v>
      </c>
      <c r="D670" s="7" t="s">
        <v>756</v>
      </c>
      <c r="E670" s="26">
        <v>40505</v>
      </c>
      <c r="F670" s="25">
        <v>3</v>
      </c>
      <c r="G670" s="28" t="s">
        <v>1099</v>
      </c>
      <c r="H670" s="37">
        <f ca="1">IF(AND(B670="",NOT(A670="")),VLOOKUP(A670,TaskPlan!A:M,13,FALSE),"")</f>
        <v>40338</v>
      </c>
      <c r="I670" s="38" t="str">
        <f ca="1">IF(AND(B670="",NOT(A670="")),VLOOKUP(A670,TaskPlan!A:M,12,FALSE),"")</f>
        <v>Not Started</v>
      </c>
      <c r="J670" s="39" t="str">
        <f ca="1">IF(AND(B670="",NOT(A670="")),VLOOKUP(A670,TaskPlan!A:L,2,FALSE),"")</f>
        <v>Unassigned</v>
      </c>
      <c r="K670" s="39" t="str">
        <f ca="1">IF(AND(B670="",NOT(A670="")),IF(NOT(LEFT(VLOOKUP(A670,TaskPlan!A:L,3,FALSE),1) = "0"),VLOOKUP(A670,TaskPlan!A:L,3,FALSE),""),"")</f>
        <v>4-HIGH</v>
      </c>
      <c r="L670" s="55">
        <f ca="1">IF(AND(B670="",NOT(A670="")),IF(NOT(LEFT(VLOOKUP(A670,TaskPlan!A:L,3,FALSE),1) = "0"),VLOOKUP(A670,TaskPlan!A:M,4,FALSE),""),"")</f>
        <v>0</v>
      </c>
      <c r="N670" s="1" t="str">
        <f ca="1">IF(ISNA(VLOOKUP(A670,Projects!B:B,1,FALSE)),"","Yes")</f>
        <v/>
      </c>
    </row>
    <row r="671" spans="1:14" hidden="1" outlineLevel="1">
      <c r="A671" s="43" t="s">
        <v>1544</v>
      </c>
      <c r="B671" s="7" t="s">
        <v>15</v>
      </c>
      <c r="C671" s="45" t="s">
        <v>277</v>
      </c>
      <c r="D671" s="7"/>
      <c r="E671" s="26"/>
      <c r="G671" s="28"/>
      <c r="L671" s="55"/>
    </row>
    <row r="672" spans="1:14" hidden="1" outlineLevel="1">
      <c r="A672" s="43" t="s">
        <v>1545</v>
      </c>
      <c r="B672" s="7"/>
      <c r="C672" s="44" t="s">
        <v>1546</v>
      </c>
      <c r="D672" s="7" t="s">
        <v>11</v>
      </c>
      <c r="E672" s="26">
        <v>40452</v>
      </c>
      <c r="F672" s="25">
        <v>2</v>
      </c>
      <c r="G672" s="28" t="s">
        <v>1099</v>
      </c>
      <c r="H672" s="37">
        <f ca="1">IF(AND(B672="",NOT(A672="")),VLOOKUP(A672,TaskPlan!A:M,13,FALSE),"")</f>
        <v>40452</v>
      </c>
      <c r="I672" s="38" t="str">
        <f ca="1">IF(AND(B672="",NOT(A672="")),VLOOKUP(A672,TaskPlan!A:M,12,FALSE),"")</f>
        <v>Not Started</v>
      </c>
      <c r="J672" s="39" t="str">
        <f ca="1">IF(AND(B672="",NOT(A672="")),VLOOKUP(A672,TaskPlan!A:L,2,FALSE),"")</f>
        <v>Unassigned</v>
      </c>
      <c r="K672" s="39" t="str">
        <f ca="1">IF(AND(B672="",NOT(A672="")),IF(NOT(LEFT(VLOOKUP(A672,TaskPlan!A:L,3,FALSE),1) = "0"),VLOOKUP(A672,TaskPlan!A:L,3,FALSE),""),"")</f>
        <v>3-MED</v>
      </c>
      <c r="L672" s="55">
        <f ca="1">IF(AND(B672="",NOT(A672="")),IF(NOT(LEFT(VLOOKUP(A672,TaskPlan!A:L,3,FALSE),1) = "0"),VLOOKUP(A672,TaskPlan!A:M,4,FALSE),""),"")</f>
        <v>0</v>
      </c>
      <c r="N672" s="1" t="str">
        <f ca="1">IF(ISNA(VLOOKUP(A672,Projects!B:B,1,FALSE)),"","Yes")</f>
        <v/>
      </c>
    </row>
    <row r="673" spans="1:14" collapsed="1">
      <c r="A673" s="43"/>
      <c r="E673" s="26"/>
      <c r="H673" s="37" t="str">
        <f ca="1">IF(AND(B673="",NOT(A673="")),VLOOKUP(A673,TaskPlan!A:M,13,FALSE),"")</f>
        <v/>
      </c>
      <c r="I673" s="38" t="str">
        <f ca="1">IF(AND(B673="",NOT(A673="")),VLOOKUP(A673,TaskPlan!A:M,12,FALSE),"")</f>
        <v/>
      </c>
      <c r="J673" s="39" t="str">
        <f ca="1">IF(AND(B673="",NOT(A673="")),VLOOKUP(A673,TaskPlan!A:L,2,FALSE),"")</f>
        <v/>
      </c>
      <c r="K673" s="39" t="str">
        <f ca="1">IF(AND(B673="",NOT(A673="")),IF(NOT(LEFT(VLOOKUP(A673,TaskPlan!A:L,3,FALSE),1) = "0"),VLOOKUP(A673,TaskPlan!A:L,3,FALSE),""),"")</f>
        <v/>
      </c>
      <c r="L673" s="55" t="str">
        <f ca="1">IF(AND(B673="",NOT(A673="")),IF(NOT(LEFT(VLOOKUP(A673,TaskPlan!A:L,3,FALSE),1) = "0"),VLOOKUP(A673,TaskPlan!A:M,4,FALSE),""),"")</f>
        <v/>
      </c>
      <c r="M673" s="58" t="str">
        <f ca="1">IF(B673=".",1,IF(AND(B673="",NOT(A673="")),IF(VLOOKUP(A673,TaskPlan!A:L,5,FALSE)&gt;0,VLOOKUP(A673,TaskPlan!A:L,5,FALSE),""),""))</f>
        <v/>
      </c>
      <c r="N673" s="1" t="str">
        <f ca="1">IF(ISNA(VLOOKUP(A673,Projects!B:B,1,FALSE)),"","Yes")</f>
        <v/>
      </c>
    </row>
    <row r="674" spans="1:14" ht="15.75">
      <c r="A674" s="46" t="s">
        <v>304</v>
      </c>
      <c r="B674" s="1" t="s">
        <v>15</v>
      </c>
      <c r="C674" s="36" t="s">
        <v>305</v>
      </c>
      <c r="E674" s="26"/>
      <c r="H674" s="37" t="str">
        <f ca="1">IF(AND(B674="",NOT(A674="")),VLOOKUP(A674,TaskPlan!A:M,13,FALSE),"")</f>
        <v/>
      </c>
      <c r="I674" s="38" t="str">
        <f ca="1">IF(AND(B674="",NOT(A674="")),VLOOKUP(A674,TaskPlan!A:M,12,FALSE),"")</f>
        <v/>
      </c>
      <c r="J674" s="39" t="str">
        <f ca="1">IF(AND(B674="",NOT(A674="")),VLOOKUP(A674,TaskPlan!A:L,2,FALSE),"")</f>
        <v/>
      </c>
      <c r="K674" s="39" t="str">
        <f ca="1">IF(AND(B674="",NOT(A674="")),IF(NOT(LEFT(VLOOKUP(A674,TaskPlan!A:L,3,FALSE),1) = "0"),VLOOKUP(A674,TaskPlan!A:L,3,FALSE),""),"")</f>
        <v/>
      </c>
      <c r="L674" s="55" t="str">
        <f ca="1">IF(AND(B674="",NOT(A674="")),IF(NOT(LEFT(VLOOKUP(A674,TaskPlan!A:L,3,FALSE),1) = "0"),VLOOKUP(A674,TaskPlan!A:M,4,FALSE),""),"")</f>
        <v/>
      </c>
      <c r="N674" s="1" t="str">
        <f ca="1">IF(ISNA(VLOOKUP(A674,Projects!B:B,1,FALSE)),"","Yes")</f>
        <v/>
      </c>
    </row>
    <row r="675" spans="1:14" hidden="1" outlineLevel="1">
      <c r="A675" s="43" t="s">
        <v>306</v>
      </c>
      <c r="B675" s="7"/>
      <c r="C675" s="44" t="s">
        <v>307</v>
      </c>
      <c r="D675" s="7" t="s">
        <v>11</v>
      </c>
      <c r="E675" s="27">
        <v>40001</v>
      </c>
      <c r="F675" s="28"/>
      <c r="G675" s="28"/>
      <c r="H675" s="37">
        <f ca="1">IF(AND(B675="",NOT(A675="")),VLOOKUP(A675,TaskPlan!A:M,13,FALSE),"")</f>
        <v>40025</v>
      </c>
      <c r="I675" s="38" t="str">
        <f ca="1">IF(AND(B675="",NOT(A675="")),VLOOKUP(A675,TaskPlan!A:M,12,FALSE),"")</f>
        <v>Closed</v>
      </c>
      <c r="J675" s="39" t="str">
        <f ca="1">IF(AND(B675="",NOT(A675="")),VLOOKUP(A675,TaskPlan!A:L,2,FALSE),"")</f>
        <v>Paresh</v>
      </c>
      <c r="K675" s="39" t="str">
        <f ca="1">IF(AND(B675="",NOT(A675="")),IF(NOT(LEFT(VLOOKUP(A675,TaskPlan!A:L,3,FALSE),1) = "0"),VLOOKUP(A675,TaskPlan!A:L,3,FALSE),""),"")</f>
        <v/>
      </c>
      <c r="L675" s="55" t="str">
        <f ca="1">IF(AND(B675="",NOT(A675="")),IF(NOT(LEFT(VLOOKUP(A675,TaskPlan!A:L,3,FALSE),1) = "0"),VLOOKUP(A675,TaskPlan!A:M,4,FALSE),""),"")</f>
        <v/>
      </c>
      <c r="M675" s="58" t="str">
        <f ca="1">IF(B675=".",1,IF(AND(B675="",NOT(A675="")),IF(VLOOKUP(A675,TaskPlan!A:L,5,FALSE)&gt;0,VLOOKUP(A675,TaskPlan!A:L,5,FALSE),""),""))</f>
        <v/>
      </c>
      <c r="N675" s="1" t="str">
        <f ca="1">IF(ISNA(VLOOKUP(A675,Projects!B:B,1,FALSE)),"","Yes")</f>
        <v/>
      </c>
    </row>
    <row r="676" spans="1:14" hidden="1" outlineLevel="1">
      <c r="A676" s="43" t="s">
        <v>340</v>
      </c>
      <c r="B676" s="7" t="s">
        <v>15</v>
      </c>
      <c r="C676" s="44" t="s">
        <v>361</v>
      </c>
      <c r="D676" s="7"/>
      <c r="E676" s="27"/>
      <c r="F676" s="28"/>
      <c r="G676" s="28"/>
      <c r="H676" s="37" t="str">
        <f ca="1">IF(AND(B676="",NOT(A676="")),VLOOKUP(A676,TaskPlan!A:M,13,FALSE),"")</f>
        <v/>
      </c>
      <c r="I676" s="38" t="str">
        <f ca="1">IF(AND(B676="",NOT(A676="")),VLOOKUP(A676,TaskPlan!A:M,12,FALSE),"")</f>
        <v/>
      </c>
      <c r="J676" s="39" t="str">
        <f ca="1">IF(AND(B676="",NOT(A676="")),VLOOKUP(A676,TaskPlan!A:L,2,FALSE),"")</f>
        <v/>
      </c>
      <c r="K676" s="39" t="str">
        <f ca="1">IF(AND(B676="",NOT(A676="")),IF(NOT(LEFT(VLOOKUP(A676,TaskPlan!A:L,3,FALSE),1) = "0"),VLOOKUP(A676,TaskPlan!A:L,3,FALSE),""),"")</f>
        <v/>
      </c>
      <c r="L676" s="55" t="str">
        <f ca="1">IF(AND(B676="",NOT(A676="")),IF(NOT(LEFT(VLOOKUP(A676,TaskPlan!A:L,3,FALSE),1) = "0"),VLOOKUP(A676,TaskPlan!A:M,4,FALSE),""),"")</f>
        <v/>
      </c>
      <c r="N676" s="1" t="str">
        <f ca="1">IF(ISNA(VLOOKUP(A676,Projects!B:B,1,FALSE)),"","Yes")</f>
        <v/>
      </c>
    </row>
    <row r="677" spans="1:14" hidden="1" outlineLevel="1">
      <c r="A677" s="43" t="s">
        <v>358</v>
      </c>
      <c r="B677" s="7"/>
      <c r="C677" s="44" t="s">
        <v>341</v>
      </c>
      <c r="D677" s="7" t="s">
        <v>11</v>
      </c>
      <c r="E677" s="27">
        <v>40025</v>
      </c>
      <c r="F677" s="28"/>
      <c r="G677" s="28"/>
      <c r="H677" s="37">
        <f ca="1">IF(AND(B677="",NOT(A677="")),VLOOKUP(A677,TaskPlan!A:M,13,FALSE),"")</f>
        <v>40028</v>
      </c>
      <c r="I677" s="38" t="str">
        <f ca="1">IF(AND(B677="",NOT(A677="")),VLOOKUP(A677,TaskPlan!A:M,12,FALSE),"")</f>
        <v>Closed</v>
      </c>
      <c r="J677" s="39" t="str">
        <f ca="1">IF(AND(B677="",NOT(A677="")),VLOOKUP(A677,TaskPlan!A:L,2,FALSE),"")</f>
        <v>Paresh</v>
      </c>
      <c r="K677" s="39" t="str">
        <f ca="1">IF(AND(B677="",NOT(A677="")),IF(NOT(LEFT(VLOOKUP(A677,TaskPlan!A:L,3,FALSE),1) = "0"),VLOOKUP(A677,TaskPlan!A:L,3,FALSE),""),"")</f>
        <v/>
      </c>
      <c r="L677" s="55" t="str">
        <f ca="1">IF(AND(B677="",NOT(A677="")),IF(NOT(LEFT(VLOOKUP(A677,TaskPlan!A:L,3,FALSE),1) = "0"),VLOOKUP(A677,TaskPlan!A:M,4,FALSE),""),"")</f>
        <v/>
      </c>
      <c r="M677" s="58" t="str">
        <f ca="1">IF(B677=".",1,IF(AND(B677="",NOT(A677="")),IF(VLOOKUP(A677,TaskPlan!A:L,5,FALSE)&gt;0,VLOOKUP(A677,TaskPlan!A:L,5,FALSE),""),""))</f>
        <v/>
      </c>
      <c r="N677" s="1" t="str">
        <f ca="1">IF(ISNA(VLOOKUP(A677,Projects!B:B,1,FALSE)),"","Yes")</f>
        <v/>
      </c>
    </row>
    <row r="678" spans="1:14" hidden="1" outlineLevel="1">
      <c r="A678" s="43" t="s">
        <v>357</v>
      </c>
      <c r="B678" s="7"/>
      <c r="C678" s="44" t="s">
        <v>359</v>
      </c>
      <c r="D678" s="7" t="s">
        <v>11</v>
      </c>
      <c r="E678" s="27">
        <v>40028</v>
      </c>
      <c r="F678" s="28"/>
      <c r="G678" s="28"/>
      <c r="H678" s="37">
        <f ca="1">IF(AND(B678="",NOT(A678="")),VLOOKUP(A678,TaskPlan!A:M,13,FALSE),"")</f>
        <v>40074</v>
      </c>
      <c r="I678" s="38" t="str">
        <f ca="1">IF(AND(B678="",NOT(A678="")),VLOOKUP(A678,TaskPlan!A:M,12,FALSE),"")</f>
        <v>Closed</v>
      </c>
      <c r="J678" s="39" t="str">
        <f ca="1">IF(AND(B678="",NOT(A678="")),VLOOKUP(A678,TaskPlan!A:L,2,FALSE),"")</f>
        <v>Paresh</v>
      </c>
      <c r="K678" s="39" t="str">
        <f ca="1">IF(AND(B678="",NOT(A678="")),IF(NOT(LEFT(VLOOKUP(A678,TaskPlan!A:L,3,FALSE),1) = "0"),VLOOKUP(A678,TaskPlan!A:L,3,FALSE),""),"")</f>
        <v/>
      </c>
      <c r="L678" s="55" t="str">
        <f ca="1">IF(AND(B678="",NOT(A678="")),IF(NOT(LEFT(VLOOKUP(A678,TaskPlan!A:L,3,FALSE),1) = "0"),VLOOKUP(A678,TaskPlan!A:M,4,FALSE),""),"")</f>
        <v/>
      </c>
      <c r="M678" s="58" t="str">
        <f ca="1">IF(B678=".",1,IF(AND(B678="",NOT(A678="")),IF(VLOOKUP(A678,TaskPlan!A:L,5,FALSE)&gt;0,VLOOKUP(A678,TaskPlan!A:L,5,FALSE),""),""))</f>
        <v/>
      </c>
      <c r="N678" s="1" t="str">
        <f ca="1">IF(ISNA(VLOOKUP(A678,Projects!B:B,1,FALSE)),"","Yes")</f>
        <v/>
      </c>
    </row>
    <row r="679" spans="1:14" hidden="1" outlineLevel="1">
      <c r="A679" s="43" t="s">
        <v>360</v>
      </c>
      <c r="B679" s="7"/>
      <c r="C679" s="44" t="s">
        <v>341</v>
      </c>
      <c r="D679" s="7" t="s">
        <v>11</v>
      </c>
      <c r="E679" s="27">
        <v>40028</v>
      </c>
      <c r="F679" s="28"/>
      <c r="G679" s="28"/>
      <c r="H679" s="37">
        <f ca="1">IF(AND(B679="",NOT(A679="")),VLOOKUP(A679,TaskPlan!A:M,13,FALSE),"")</f>
        <v>40074</v>
      </c>
      <c r="I679" s="38" t="str">
        <f ca="1">IF(AND(B679="",NOT(A679="")),VLOOKUP(A679,TaskPlan!A:M,12,FALSE),"")</f>
        <v>Closed</v>
      </c>
      <c r="J679" s="39" t="str">
        <f ca="1">IF(AND(B679="",NOT(A679="")),VLOOKUP(A679,TaskPlan!A:L,2,FALSE),"")</f>
        <v>Paresh</v>
      </c>
      <c r="K679" s="39" t="str">
        <f ca="1">IF(AND(B679="",NOT(A679="")),IF(NOT(LEFT(VLOOKUP(A679,TaskPlan!A:L,3,FALSE),1) = "0"),VLOOKUP(A679,TaskPlan!A:L,3,FALSE),""),"")</f>
        <v/>
      </c>
      <c r="L679" s="55" t="str">
        <f ca="1">IF(AND(B679="",NOT(A679="")),IF(NOT(LEFT(VLOOKUP(A679,TaskPlan!A:L,3,FALSE),1) = "0"),VLOOKUP(A679,TaskPlan!A:M,4,FALSE),""),"")</f>
        <v/>
      </c>
      <c r="M679" s="58" t="str">
        <f ca="1">IF(B679=".",1,IF(AND(B679="",NOT(A679="")),IF(VLOOKUP(A679,TaskPlan!A:L,5,FALSE)&gt;0,VLOOKUP(A679,TaskPlan!A:L,5,FALSE),""),""))</f>
        <v/>
      </c>
      <c r="N679" s="1" t="str">
        <f ca="1">IF(ISNA(VLOOKUP(A679,Projects!B:B,1,FALSE)),"","Yes")</f>
        <v/>
      </c>
    </row>
    <row r="680" spans="1:14" hidden="1" outlineLevel="1">
      <c r="A680" s="43" t="s">
        <v>464</v>
      </c>
      <c r="B680" s="7"/>
      <c r="C680" s="44" t="s">
        <v>465</v>
      </c>
      <c r="D680" s="7" t="s">
        <v>11</v>
      </c>
      <c r="E680" s="27">
        <v>40074</v>
      </c>
      <c r="F680" s="28">
        <v>5</v>
      </c>
      <c r="G680" s="25" t="s">
        <v>1098</v>
      </c>
      <c r="H680" s="37">
        <f ca="1">IF(AND(B680="",NOT(A680="")),VLOOKUP(A680,TaskPlan!A:M,13,FALSE),"")</f>
        <v>40568</v>
      </c>
      <c r="I680" s="38" t="str">
        <f ca="1">IF(AND(B680="",NOT(A680="")),VLOOKUP(A680,TaskPlan!A:M,12,FALSE),"")</f>
        <v>In Progress</v>
      </c>
      <c r="J680" s="39" t="str">
        <f ca="1">IF(AND(B680="",NOT(A680="")),VLOOKUP(A680,TaskPlan!A:L,2,FALSE),"")</f>
        <v>Paresh</v>
      </c>
      <c r="K680" s="39" t="str">
        <f ca="1">IF(AND(B680="",NOT(A680="")),IF(NOT(LEFT(VLOOKUP(A680,TaskPlan!A:L,3,FALSE),1) = "0"),VLOOKUP(A680,TaskPlan!A:L,3,FALSE),""),"")</f>
        <v>2-LOW</v>
      </c>
      <c r="L680" s="55">
        <f ca="1">IF(AND(B680="",NOT(A680="")),IF(NOT(LEFT(VLOOKUP(A680,TaskPlan!A:L,3,FALSE),1) = "0"),VLOOKUP(A680,TaskPlan!A:M,4,FALSE),""),"")</f>
        <v>0</v>
      </c>
      <c r="M680" s="58" t="str">
        <f ca="1">IF(B680=".",1,IF(AND(B680="",NOT(A680="")),IF(VLOOKUP(A680,TaskPlan!A:L,5,FALSE)&gt;0,VLOOKUP(A680,TaskPlan!A:L,5,FALSE),""),""))</f>
        <v/>
      </c>
      <c r="N680" s="1" t="str">
        <f ca="1">IF(ISNA(VLOOKUP(A680,Projects!B:B,1,FALSE)),"","Yes")</f>
        <v/>
      </c>
    </row>
    <row r="681" spans="1:14" hidden="1" outlineLevel="1">
      <c r="A681" s="43" t="s">
        <v>780</v>
      </c>
      <c r="B681" s="7"/>
      <c r="C681" s="44" t="s">
        <v>781</v>
      </c>
      <c r="D681" s="7" t="s">
        <v>11</v>
      </c>
      <c r="E681" s="27">
        <v>40154</v>
      </c>
      <c r="F681" s="28">
        <v>1</v>
      </c>
      <c r="G681" s="28" t="s">
        <v>1213</v>
      </c>
      <c r="H681" s="37">
        <f ca="1">IF(AND(B681="",NOT(A681="")),VLOOKUP(A681,TaskPlan!A:M,13,FALSE),"")</f>
        <v>40568</v>
      </c>
      <c r="I681" s="38" t="str">
        <f ca="1">IF(AND(B681="",NOT(A681="")),VLOOKUP(A681,TaskPlan!A:M,12,FALSE),"")</f>
        <v>Not Started</v>
      </c>
      <c r="J681" s="39" t="str">
        <f ca="1">IF(AND(B681="",NOT(A681="")),VLOOKUP(A681,TaskPlan!A:L,2,FALSE),"")</f>
        <v>Paresh</v>
      </c>
      <c r="K681" s="39" t="str">
        <f ca="1">IF(AND(B681="",NOT(A681="")),IF(NOT(LEFT(VLOOKUP(A681,TaskPlan!A:L,3,FALSE),1) = "0"),VLOOKUP(A681,TaskPlan!A:L,3,FALSE),""),"")</f>
        <v>2-LOW</v>
      </c>
      <c r="L681" s="55">
        <f ca="1">IF(AND(B681="",NOT(A681="")),IF(NOT(LEFT(VLOOKUP(A681,TaskPlan!A:L,3,FALSE),1) = "0"),VLOOKUP(A681,TaskPlan!A:M,4,FALSE),""),"")</f>
        <v>0</v>
      </c>
      <c r="M681" s="58" t="str">
        <f ca="1">IF(B681=".",1,IF(AND(B681="",NOT(A681="")),IF(VLOOKUP(A681,TaskPlan!A:L,5,FALSE)&gt;0,VLOOKUP(A681,TaskPlan!A:L,5,FALSE),""),""))</f>
        <v/>
      </c>
      <c r="N681" s="1" t="str">
        <f ca="1">IF(ISNA(VLOOKUP(A681,Projects!B:B,1,FALSE)),"","Yes")</f>
        <v/>
      </c>
    </row>
    <row r="682" spans="1:14" hidden="1" outlineLevel="1">
      <c r="A682" s="43" t="s">
        <v>1011</v>
      </c>
      <c r="B682" s="7"/>
      <c r="C682" s="44" t="s">
        <v>1012</v>
      </c>
      <c r="D682" s="7" t="s">
        <v>11</v>
      </c>
      <c r="E682" s="27">
        <v>40259</v>
      </c>
      <c r="F682" s="28">
        <v>0.5</v>
      </c>
      <c r="G682" s="28" t="s">
        <v>1099</v>
      </c>
      <c r="H682" s="37">
        <f ca="1">IF(AND(B682="",NOT(A682="")),VLOOKUP(A682,TaskPlan!A:M,13,FALSE),"")</f>
        <v>40505</v>
      </c>
      <c r="I682" s="38" t="str">
        <f ca="1">IF(AND(B682="",NOT(A682="")),VLOOKUP(A682,TaskPlan!A:M,12,FALSE),"")</f>
        <v>Not Started</v>
      </c>
      <c r="J682" s="39" t="str">
        <f ca="1">IF(AND(B682="",NOT(A682="")),VLOOKUP(A682,TaskPlan!A:L,2,FALSE),"")</f>
        <v>Paresh</v>
      </c>
      <c r="K682" s="39" t="str">
        <f ca="1">IF(AND(B682="",NOT(A682="")),IF(NOT(LEFT(VLOOKUP(A682,TaskPlan!A:L,3,FALSE),1) = "0"),VLOOKUP(A682,TaskPlan!A:L,3,FALSE),""),"")</f>
        <v>2-LOW</v>
      </c>
      <c r="L682" s="55">
        <f ca="1">IF(AND(B682="",NOT(A682="")),IF(NOT(LEFT(VLOOKUP(A682,TaskPlan!A:L,3,FALSE),1) = "0"),VLOOKUP(A682,TaskPlan!A:M,4,FALSE),""),"")</f>
        <v>0</v>
      </c>
      <c r="N682" s="1" t="str">
        <f ca="1">IF(ISNA(VLOOKUP(A682,Projects!B:B,1,FALSE)),"","Yes")</f>
        <v/>
      </c>
    </row>
    <row r="683" spans="1:14" ht="25.5" hidden="1" outlineLevel="1">
      <c r="A683" s="43" t="s">
        <v>1185</v>
      </c>
      <c r="B683" s="7"/>
      <c r="C683" s="44" t="s">
        <v>1186</v>
      </c>
      <c r="D683" s="1" t="s">
        <v>20</v>
      </c>
      <c r="E683" s="27">
        <v>40332</v>
      </c>
      <c r="F683" s="28">
        <v>1</v>
      </c>
      <c r="G683" s="25" t="s">
        <v>1098</v>
      </c>
      <c r="H683" s="37">
        <f ca="1">IF(AND(B683="",NOT(A683="")),VLOOKUP(A683,TaskPlan!A:M,13,FALSE),"")</f>
        <v>40438</v>
      </c>
      <c r="I683" s="38" t="str">
        <f ca="1">IF(AND(B683="",NOT(A683="")),VLOOKUP(A683,TaskPlan!A:M,12,FALSE),"")</f>
        <v>Closed</v>
      </c>
      <c r="J683" s="39" t="str">
        <f ca="1">IF(AND(B683="",NOT(A683="")),VLOOKUP(A683,TaskPlan!A:L,2,FALSE),"")</f>
        <v>Neil</v>
      </c>
      <c r="K683" s="39" t="str">
        <f ca="1">IF(AND(B683="",NOT(A683="")),IF(NOT(LEFT(VLOOKUP(A683,TaskPlan!A:L,3,FALSE),1) = "0"),VLOOKUP(A683,TaskPlan!A:L,3,FALSE),""),"")</f>
        <v/>
      </c>
      <c r="L683" s="55" t="str">
        <f ca="1">IF(AND(B683="",NOT(A683="")),IF(NOT(LEFT(VLOOKUP(A683,TaskPlan!A:L,3,FALSE),1) = "0"),VLOOKUP(A683,TaskPlan!A:M,4,FALSE),""),"")</f>
        <v/>
      </c>
      <c r="N683" s="1" t="str">
        <f ca="1">IF(ISNA(VLOOKUP(A683,Projects!B:B,1,FALSE)),"","Yes")</f>
        <v/>
      </c>
    </row>
    <row r="684" spans="1:14" collapsed="1">
      <c r="A684" s="43"/>
      <c r="C684" s="44"/>
      <c r="H684" s="37" t="str">
        <f ca="1">IF(AND(B684="",NOT(A684="")),VLOOKUP(A684,TaskPlan!A:M,13,FALSE),"")</f>
        <v/>
      </c>
      <c r="I684" s="38" t="str">
        <f ca="1">IF(AND(B684="",NOT(A684="")),VLOOKUP(A684,TaskPlan!A:M,12,FALSE),"")</f>
        <v/>
      </c>
      <c r="J684" s="39" t="str">
        <f ca="1">IF(AND(B684="",NOT(A684="")),VLOOKUP(A684,TaskPlan!A:L,2,FALSE),"")</f>
        <v/>
      </c>
      <c r="K684" s="39" t="str">
        <f ca="1">IF(AND(B684="",NOT(A684="")),IF(NOT(LEFT(VLOOKUP(A684,TaskPlan!A:L,3,FALSE),1) = "0"),VLOOKUP(A684,TaskPlan!A:L,3,FALSE),""),"")</f>
        <v/>
      </c>
      <c r="L684" s="55" t="str">
        <f ca="1">IF(AND(B684="",NOT(A684="")),IF(NOT(LEFT(VLOOKUP(A684,TaskPlan!A:L,3,FALSE),1) = "0"),VLOOKUP(A684,TaskPlan!A:M,4,FALSE),""),"")</f>
        <v/>
      </c>
      <c r="M684" s="58" t="str">
        <f ca="1">IF(B684=".",1,IF(AND(B684="",NOT(A684="")),IF(VLOOKUP(A684,TaskPlan!A:L,5,FALSE)&gt;0,VLOOKUP(A684,TaskPlan!A:L,5,FALSE),""),""))</f>
        <v/>
      </c>
      <c r="N684" s="1" t="str">
        <f ca="1">IF(ISNA(VLOOKUP(A684,Projects!B:B,1,FALSE)),"","Yes")</f>
        <v/>
      </c>
    </row>
    <row r="685" spans="1:14" ht="15.75">
      <c r="A685" s="43" t="s">
        <v>312</v>
      </c>
      <c r="B685" s="7" t="s">
        <v>15</v>
      </c>
      <c r="C685" s="36" t="s">
        <v>834</v>
      </c>
      <c r="E685" s="26"/>
      <c r="H685" s="37" t="str">
        <f ca="1">IF(AND(B685="",NOT(A685="")),VLOOKUP(A685,TaskPlan!A:M,13,FALSE),"")</f>
        <v/>
      </c>
      <c r="I685" s="38" t="str">
        <f ca="1">IF(AND(B685="",NOT(A685="")),VLOOKUP(A685,TaskPlan!A:M,12,FALSE),"")</f>
        <v/>
      </c>
      <c r="J685" s="39" t="str">
        <f ca="1">IF(AND(B685="",NOT(A685="")),VLOOKUP(A685,TaskPlan!A:L,2,FALSE),"")</f>
        <v/>
      </c>
      <c r="K685" s="39" t="str">
        <f ca="1">IF(AND(B685="",NOT(A685="")),IF(NOT(LEFT(VLOOKUP(A685,TaskPlan!A:L,3,FALSE),1) = "0"),VLOOKUP(A685,TaskPlan!A:L,3,FALSE),""),"")</f>
        <v/>
      </c>
      <c r="L685" s="55" t="str">
        <f ca="1">IF(AND(B685="",NOT(A685="")),IF(NOT(LEFT(VLOOKUP(A685,TaskPlan!A:L,3,FALSE),1) = "0"),VLOOKUP(A685,TaskPlan!A:M,4,FALSE),""),"")</f>
        <v/>
      </c>
      <c r="N685" s="1" t="str">
        <f ca="1">IF(ISNA(VLOOKUP(A685,Projects!B:B,1,FALSE)),"","Yes")</f>
        <v/>
      </c>
    </row>
    <row r="686" spans="1:14" hidden="1" outlineLevel="1">
      <c r="A686" s="43" t="s">
        <v>313</v>
      </c>
      <c r="C686" s="44" t="s">
        <v>314</v>
      </c>
      <c r="D686" s="7" t="s">
        <v>315</v>
      </c>
      <c r="E686" s="26">
        <v>40002</v>
      </c>
      <c r="H686" s="37">
        <f ca="1">IF(AND(B686="",NOT(A686="")),VLOOKUP(A686,TaskPlan!A:M,13,FALSE),"")</f>
        <v>40043</v>
      </c>
      <c r="I686" s="38" t="str">
        <f ca="1">IF(AND(B686="",NOT(A686="")),VLOOKUP(A686,TaskPlan!A:M,12,FALSE),"")</f>
        <v>Closed</v>
      </c>
      <c r="J686" s="39" t="str">
        <f ca="1">IF(AND(B686="",NOT(A686="")),VLOOKUP(A686,TaskPlan!A:L,2,FALSE),"")</f>
        <v>Neil</v>
      </c>
      <c r="K686" s="39" t="str">
        <f ca="1">IF(AND(B686="",NOT(A686="")),IF(NOT(LEFT(VLOOKUP(A686,TaskPlan!A:L,3,FALSE),1) = "0"),VLOOKUP(A686,TaskPlan!A:L,3,FALSE),""),"")</f>
        <v/>
      </c>
      <c r="L686" s="55" t="str">
        <f ca="1">IF(AND(B686="",NOT(A686="")),IF(NOT(LEFT(VLOOKUP(A686,TaskPlan!A:L,3,FALSE),1) = "0"),VLOOKUP(A686,TaskPlan!A:M,4,FALSE),""),"")</f>
        <v/>
      </c>
      <c r="M686" s="58" t="str">
        <f ca="1">IF(B686=".",1,IF(AND(B686="",NOT(A686="")),IF(VLOOKUP(A686,TaskPlan!A:L,5,FALSE)&gt;0,VLOOKUP(A686,TaskPlan!A:L,5,FALSE),""),""))</f>
        <v/>
      </c>
      <c r="N686" s="1" t="str">
        <f ca="1">IF(ISNA(VLOOKUP(A686,Projects!B:B,1,FALSE)),"","Yes")</f>
        <v/>
      </c>
    </row>
    <row r="687" spans="1:14" hidden="1" outlineLevel="1">
      <c r="A687" s="43" t="s">
        <v>404</v>
      </c>
      <c r="C687" s="44" t="s">
        <v>405</v>
      </c>
      <c r="D687" s="7" t="s">
        <v>315</v>
      </c>
      <c r="E687" s="26">
        <v>40043</v>
      </c>
      <c r="H687" s="37">
        <f ca="1">IF(AND(B687="",NOT(A687="")),VLOOKUP(A687,TaskPlan!A:M,13,FALSE),"")</f>
        <v>40050</v>
      </c>
      <c r="I687" s="38" t="str">
        <f ca="1">IF(AND(B687="",NOT(A687="")),VLOOKUP(A687,TaskPlan!A:M,12,FALSE),"")</f>
        <v>Closed</v>
      </c>
      <c r="J687" s="39" t="str">
        <f ca="1">IF(AND(B687="",NOT(A687="")),VLOOKUP(A687,TaskPlan!A:L,2,FALSE),"")</f>
        <v>Neil</v>
      </c>
      <c r="K687" s="39" t="str">
        <f ca="1">IF(AND(B687="",NOT(A687="")),IF(NOT(LEFT(VLOOKUP(A687,TaskPlan!A:L,3,FALSE),1) = "0"),VLOOKUP(A687,TaskPlan!A:L,3,FALSE),""),"")</f>
        <v/>
      </c>
      <c r="L687" s="55" t="str">
        <f ca="1">IF(AND(B687="",NOT(A687="")),IF(NOT(LEFT(VLOOKUP(A687,TaskPlan!A:L,3,FALSE),1) = "0"),VLOOKUP(A687,TaskPlan!A:M,4,FALSE),""),"")</f>
        <v/>
      </c>
      <c r="M687" s="58" t="str">
        <f ca="1">IF(B687=".",1,IF(AND(B687="",NOT(A687="")),IF(VLOOKUP(A687,TaskPlan!A:L,5,FALSE)&gt;0,VLOOKUP(A687,TaskPlan!A:L,5,FALSE),""),""))</f>
        <v/>
      </c>
      <c r="N687" s="1" t="str">
        <f ca="1">IF(ISNA(VLOOKUP(A687,Projects!B:B,1,FALSE)),"","Yes")</f>
        <v/>
      </c>
    </row>
    <row r="688" spans="1:14" hidden="1" outlineLevel="1">
      <c r="A688" s="43" t="s">
        <v>406</v>
      </c>
      <c r="C688" s="44" t="s">
        <v>407</v>
      </c>
      <c r="D688" s="7" t="s">
        <v>11</v>
      </c>
      <c r="E688" s="26">
        <v>40045</v>
      </c>
      <c r="H688" s="37">
        <f ca="1">IF(AND(B688="",NOT(A688="")),VLOOKUP(A688,TaskPlan!A:M,13,FALSE),"")</f>
        <v>40053</v>
      </c>
      <c r="I688" s="38" t="str">
        <f ca="1">IF(AND(B688="",NOT(A688="")),VLOOKUP(A688,TaskPlan!A:M,12,FALSE),"")</f>
        <v>Closed</v>
      </c>
      <c r="J688" s="39" t="str">
        <f ca="1">IF(AND(B688="",NOT(A688="")),VLOOKUP(A688,TaskPlan!A:L,2,FALSE),"")</f>
        <v>Neil</v>
      </c>
      <c r="K688" s="39" t="str">
        <f ca="1">IF(AND(B688="",NOT(A688="")),IF(NOT(LEFT(VLOOKUP(A688,TaskPlan!A:L,3,FALSE),1) = "0"),VLOOKUP(A688,TaskPlan!A:L,3,FALSE),""),"")</f>
        <v/>
      </c>
      <c r="L688" s="55" t="str">
        <f ca="1">IF(AND(B688="",NOT(A688="")),IF(NOT(LEFT(VLOOKUP(A688,TaskPlan!A:L,3,FALSE),1) = "0"),VLOOKUP(A688,TaskPlan!A:M,4,FALSE),""),"")</f>
        <v/>
      </c>
      <c r="M688" s="58" t="str">
        <f ca="1">IF(B688=".",1,IF(AND(B688="",NOT(A688="")),IF(VLOOKUP(A688,TaskPlan!A:L,5,FALSE)&gt;0,VLOOKUP(A688,TaskPlan!A:L,5,FALSE),""),""))</f>
        <v/>
      </c>
      <c r="N688" s="1" t="str">
        <f ca="1">IF(ISNA(VLOOKUP(A688,Projects!B:B,1,FALSE)),"","Yes")</f>
        <v/>
      </c>
    </row>
    <row r="689" spans="1:14" hidden="1" outlineLevel="1">
      <c r="A689" s="43" t="s">
        <v>835</v>
      </c>
      <c r="B689" s="7" t="s">
        <v>15</v>
      </c>
      <c r="C689" s="45" t="s">
        <v>836</v>
      </c>
      <c r="D689" s="7"/>
      <c r="E689" s="26"/>
      <c r="H689" s="37" t="str">
        <f ca="1">IF(AND(B689="",NOT(A689="")),VLOOKUP(A689,TaskPlan!A:M,13,FALSE),"")</f>
        <v/>
      </c>
      <c r="I689" s="38" t="str">
        <f ca="1">IF(AND(B689="",NOT(A689="")),VLOOKUP(A689,TaskPlan!A:M,12,FALSE),"")</f>
        <v/>
      </c>
      <c r="L689" s="55" t="str">
        <f ca="1">IF(AND(B689="",NOT(A689="")),IF(NOT(LEFT(VLOOKUP(A689,TaskPlan!A:L,3,FALSE),1) = "0"),VLOOKUP(A689,TaskPlan!A:M,4,FALSE),""),"")</f>
        <v/>
      </c>
      <c r="N689" s="1" t="str">
        <f ca="1">IF(ISNA(VLOOKUP(A689,Projects!B:B,1,FALSE)),"","Yes")</f>
        <v/>
      </c>
    </row>
    <row r="690" spans="1:14" hidden="1" outlineLevel="1">
      <c r="A690" s="43" t="s">
        <v>837</v>
      </c>
      <c r="B690" s="7"/>
      <c r="C690" s="44" t="s">
        <v>838</v>
      </c>
      <c r="D690" s="7" t="s">
        <v>315</v>
      </c>
      <c r="E690" s="26">
        <v>40196</v>
      </c>
      <c r="F690" s="25">
        <v>1</v>
      </c>
      <c r="G690" s="28" t="s">
        <v>1099</v>
      </c>
      <c r="H690" s="37">
        <f ca="1">IF(AND(B690="",NOT(A690="")),VLOOKUP(A690,TaskPlan!A:M,13,FALSE),"")</f>
        <v>40283</v>
      </c>
      <c r="I690" s="38" t="str">
        <f ca="1">IF(AND(B690="",NOT(A690="")),VLOOKUP(A690,TaskPlan!A:M,12,FALSE),"")</f>
        <v>Not started</v>
      </c>
      <c r="J690" s="39" t="str">
        <f ca="1">IF(AND(B690="",NOT(A690="")),VLOOKUP(A690,TaskPlan!A:L,2,FALSE),"")</f>
        <v>Unassigned</v>
      </c>
      <c r="K690" s="39" t="str">
        <f ca="1">IF(AND(B690="",NOT(A690="")),IF(NOT(LEFT(VLOOKUP(A690,TaskPlan!A:L,3,FALSE),1) = "0"),VLOOKUP(A690,TaskPlan!A:L,3,FALSE),""),"")</f>
        <v>3-MED</v>
      </c>
      <c r="L690" s="55">
        <f ca="1">IF(AND(B690="",NOT(A690="")),IF(NOT(LEFT(VLOOKUP(A690,TaskPlan!A:L,3,FALSE),1) = "0"),VLOOKUP(A690,TaskPlan!A:M,4,FALSE),""),"")</f>
        <v>0</v>
      </c>
      <c r="M690" s="58" t="str">
        <f ca="1">IF(B690=".",1,IF(AND(B690="",NOT(A690="")),IF(VLOOKUP(A690,TaskPlan!A:L,5,FALSE)&gt;0,VLOOKUP(A690,TaskPlan!A:L,5,FALSE),""),""))</f>
        <v/>
      </c>
      <c r="N690" s="1" t="str">
        <f ca="1">IF(ISNA(VLOOKUP(A690,Projects!B:B,1,FALSE)),"","Yes")</f>
        <v/>
      </c>
    </row>
    <row r="691" spans="1:14" hidden="1" outlineLevel="1">
      <c r="A691" s="43" t="s">
        <v>1109</v>
      </c>
      <c r="B691" s="7"/>
      <c r="C691" s="44" t="s">
        <v>1108</v>
      </c>
      <c r="D691" s="7" t="s">
        <v>11</v>
      </c>
      <c r="E691" s="26">
        <v>40302</v>
      </c>
      <c r="F691" s="25">
        <v>2</v>
      </c>
      <c r="G691" s="28" t="s">
        <v>1213</v>
      </c>
      <c r="H691" s="37">
        <f ca="1">IF(AND(B691="",NOT(A691="")),VLOOKUP(A691,TaskPlan!A:M,13,FALSE),"")</f>
        <v>40505</v>
      </c>
      <c r="I691" s="38" t="str">
        <f ca="1">IF(AND(B691="",NOT(A691="")),VLOOKUP(A691,TaskPlan!A:M,12,FALSE),"")</f>
        <v>Not Started</v>
      </c>
      <c r="J691" s="39" t="str">
        <f ca="1">IF(AND(B691="",NOT(A691="")),VLOOKUP(A691,TaskPlan!A:L,2,FALSE),"")</f>
        <v>Unassigned</v>
      </c>
      <c r="K691" s="39" t="str">
        <f ca="1">IF(AND(B691="",NOT(A691="")),IF(NOT(LEFT(VLOOKUP(A691,TaskPlan!A:L,3,FALSE),1) = "0"),VLOOKUP(A691,TaskPlan!A:L,3,FALSE),""),"")</f>
        <v>3-MED</v>
      </c>
      <c r="L691" s="55">
        <f ca="1">IF(AND(B691="",NOT(A691="")),IF(NOT(LEFT(VLOOKUP(A691,TaskPlan!A:L,3,FALSE),1) = "0"),VLOOKUP(A691,TaskPlan!A:M,4,FALSE),""),"")</f>
        <v>0</v>
      </c>
      <c r="N691" s="1" t="str">
        <f ca="1">IF(ISNA(VLOOKUP(A691,Projects!B:B,1,FALSE)),"","Yes")</f>
        <v/>
      </c>
    </row>
    <row r="692" spans="1:14" hidden="1" outlineLevel="1">
      <c r="A692" s="43" t="s">
        <v>1880</v>
      </c>
      <c r="B692" s="7"/>
      <c r="C692" s="44" t="s">
        <v>1881</v>
      </c>
      <c r="D692" s="7" t="s">
        <v>366</v>
      </c>
      <c r="E692" s="26">
        <v>40563</v>
      </c>
      <c r="F692" s="25">
        <v>3</v>
      </c>
      <c r="G692" s="28" t="s">
        <v>1098</v>
      </c>
      <c r="H692" s="37">
        <f ca="1">IF(AND(B692="",NOT(A692="")),VLOOKUP(A692,TaskPlan!A:M,13,FALSE),"")</f>
        <v>40563</v>
      </c>
      <c r="I692" s="38" t="str">
        <f ca="1">IF(AND(B692="",NOT(A692="")),VLOOKUP(A692,TaskPlan!A:M,12,FALSE),"")</f>
        <v>Not Started</v>
      </c>
      <c r="J692" s="39" t="str">
        <f ca="1">IF(AND(B692="",NOT(A692="")),VLOOKUP(A692,TaskPlan!A:L,2,FALSE),"")</f>
        <v>Unassigned</v>
      </c>
      <c r="K692" s="39" t="str">
        <f ca="1">IF(AND(B692="",NOT(A692="")),IF(NOT(LEFT(VLOOKUP(A692,TaskPlan!A:L,3,FALSE),1) = "0"),VLOOKUP(A692,TaskPlan!A:L,3,FALSE),""),"")</f>
        <v>2-LOW</v>
      </c>
      <c r="L692" s="55">
        <f ca="1">IF(AND(B692="",NOT(A692="")),IF(NOT(LEFT(VLOOKUP(A692,TaskPlan!A:L,3,FALSE),1) = "0"),VLOOKUP(A692,TaskPlan!A:M,4,FALSE),""),"")</f>
        <v>0</v>
      </c>
      <c r="N692" s="1" t="str">
        <f ca="1">IF(ISNA(VLOOKUP(A692,Projects!B:B,1,FALSE)),"","Yes")</f>
        <v/>
      </c>
    </row>
    <row r="693" spans="1:14" collapsed="1">
      <c r="E693" s="26"/>
      <c r="H693" s="37" t="str">
        <f ca="1">IF(AND(B693="",NOT(A693="")),VLOOKUP(A693,TaskPlan!A:M,13,FALSE),"")</f>
        <v/>
      </c>
      <c r="I693" s="38" t="str">
        <f ca="1">IF(AND(B693="",NOT(A693="")),VLOOKUP(A693,TaskPlan!A:M,12,FALSE),"")</f>
        <v/>
      </c>
      <c r="J693" s="39" t="str">
        <f ca="1">IF(AND(B693="",NOT(A693="")),VLOOKUP(A693,TaskPlan!A:L,2,FALSE),"")</f>
        <v/>
      </c>
      <c r="K693" s="39" t="str">
        <f ca="1">IF(AND(B693="",NOT(A693="")),IF(NOT(LEFT(VLOOKUP(A693,TaskPlan!A:L,3,FALSE),1) = "0"),VLOOKUP(A693,TaskPlan!A:L,3,FALSE),""),"")</f>
        <v/>
      </c>
      <c r="L693" s="55" t="str">
        <f ca="1">IF(AND(B693="",NOT(A693="")),IF(NOT(LEFT(VLOOKUP(A693,TaskPlan!A:L,3,FALSE),1) = "0"),VLOOKUP(A693,TaskPlan!A:M,4,FALSE),""),"")</f>
        <v/>
      </c>
      <c r="M693" s="58" t="str">
        <f ca="1">IF(B693=".",1,IF(AND(B693="",NOT(A693="")),IF(VLOOKUP(A693,TaskPlan!A:L,5,FALSE)&gt;0,VLOOKUP(A693,TaskPlan!A:L,5,FALSE),""),""))</f>
        <v/>
      </c>
      <c r="N693" s="1" t="str">
        <f ca="1">IF(ISNA(VLOOKUP(A693,Projects!B:B,1,FALSE)),"","Yes")</f>
        <v/>
      </c>
    </row>
    <row r="694" spans="1:14" ht="15.75">
      <c r="A694" s="43" t="s">
        <v>327</v>
      </c>
      <c r="B694" s="7" t="s">
        <v>15</v>
      </c>
      <c r="C694" s="36" t="s">
        <v>328</v>
      </c>
      <c r="E694" s="26"/>
      <c r="H694" s="37" t="str">
        <f ca="1">IF(AND(B694="",NOT(A694="")),VLOOKUP(A694,TaskPlan!A:M,13,FALSE),"")</f>
        <v/>
      </c>
      <c r="I694" s="38" t="str">
        <f ca="1">IF(AND(B694="",NOT(A694="")),VLOOKUP(A694,TaskPlan!A:M,12,FALSE),"")</f>
        <v/>
      </c>
      <c r="J694" s="39" t="str">
        <f ca="1">IF(AND(B694="",NOT(A694="")),VLOOKUP(A694,TaskPlan!A:L,2,FALSE),"")</f>
        <v/>
      </c>
      <c r="K694" s="39" t="str">
        <f ca="1">IF(AND(B694="",NOT(A694="")),IF(NOT(LEFT(VLOOKUP(A694,TaskPlan!A:L,3,FALSE),1) = "0"),VLOOKUP(A694,TaskPlan!A:L,3,FALSE),""),"")</f>
        <v/>
      </c>
      <c r="L694" s="55" t="str">
        <f ca="1">IF(AND(B694="",NOT(A694="")),IF(NOT(LEFT(VLOOKUP(A694,TaskPlan!A:L,3,FALSE),1) = "0"),VLOOKUP(A694,TaskPlan!A:M,4,FALSE),""),"")</f>
        <v/>
      </c>
      <c r="N694" s="1" t="str">
        <f ca="1">IF(ISNA(VLOOKUP(A694,Projects!B:B,1,FALSE)),"","Yes")</f>
        <v/>
      </c>
    </row>
    <row r="695" spans="1:14" hidden="1" outlineLevel="1">
      <c r="A695" s="43" t="s">
        <v>331</v>
      </c>
      <c r="B695" s="7" t="s">
        <v>15</v>
      </c>
      <c r="C695" s="45" t="s">
        <v>330</v>
      </c>
      <c r="E695" s="26"/>
      <c r="H695" s="37" t="str">
        <f ca="1">IF(AND(B695="",NOT(A695="")),VLOOKUP(A695,TaskPlan!A:M,13,FALSE),"")</f>
        <v/>
      </c>
      <c r="I695" s="38" t="str">
        <f ca="1">IF(AND(B695="",NOT(A695="")),VLOOKUP(A695,TaskPlan!A:M,12,FALSE),"")</f>
        <v/>
      </c>
      <c r="J695" s="39" t="str">
        <f ca="1">IF(AND(B695="",NOT(A695="")),VLOOKUP(A695,TaskPlan!A:L,2,FALSE),"")</f>
        <v/>
      </c>
      <c r="K695" s="39" t="str">
        <f ca="1">IF(AND(B695="",NOT(A695="")),IF(NOT(LEFT(VLOOKUP(A695,TaskPlan!A:L,3,FALSE),1) = "0"),VLOOKUP(A695,TaskPlan!A:L,3,FALSE),""),"")</f>
        <v/>
      </c>
      <c r="L695" s="55" t="str">
        <f ca="1">IF(AND(B695="",NOT(A695="")),IF(NOT(LEFT(VLOOKUP(A695,TaskPlan!A:L,3,FALSE),1) = "0"),VLOOKUP(A695,TaskPlan!A:M,4,FALSE),""),"")</f>
        <v/>
      </c>
      <c r="N695" s="1" t="str">
        <f ca="1">IF(ISNA(VLOOKUP(A695,Projects!B:B,1,FALSE)),"","Yes")</f>
        <v/>
      </c>
    </row>
    <row r="696" spans="1:14" hidden="1" outlineLevel="1">
      <c r="A696" s="43" t="s">
        <v>332</v>
      </c>
      <c r="C696" s="44" t="s">
        <v>329</v>
      </c>
      <c r="D696" s="1" t="s">
        <v>11</v>
      </c>
      <c r="E696" s="26">
        <v>40014</v>
      </c>
      <c r="H696" s="37">
        <f ca="1">IF(AND(B696="",NOT(A696="")),VLOOKUP(A696,TaskPlan!A:M,13,FALSE),"")</f>
        <v>40025</v>
      </c>
      <c r="I696" s="38" t="str">
        <f ca="1">IF(AND(B696="",NOT(A696="")),VLOOKUP(A696,TaskPlan!A:M,12,FALSE),"")</f>
        <v>Closed</v>
      </c>
      <c r="J696" s="39" t="str">
        <f ca="1">IF(AND(B696="",NOT(A696="")),VLOOKUP(A696,TaskPlan!A:L,2,FALSE),"")</f>
        <v>Pramendra</v>
      </c>
      <c r="K696" s="39" t="str">
        <f ca="1">IF(AND(B696="",NOT(A696="")),IF(NOT(LEFT(VLOOKUP(A696,TaskPlan!A:L,3,FALSE),1) = "0"),VLOOKUP(A696,TaskPlan!A:L,3,FALSE),""),"")</f>
        <v/>
      </c>
      <c r="L696" s="55" t="str">
        <f ca="1">IF(AND(B696="",NOT(A696="")),IF(NOT(LEFT(VLOOKUP(A696,TaskPlan!A:L,3,FALSE),1) = "0"),VLOOKUP(A696,TaskPlan!A:M,4,FALSE),""),"")</f>
        <v/>
      </c>
      <c r="M696" s="58" t="str">
        <f ca="1">IF(B696=".",1,IF(AND(B696="",NOT(A696="")),IF(VLOOKUP(A696,TaskPlan!A:L,5,FALSE)&gt;0,VLOOKUP(A696,TaskPlan!A:L,5,FALSE),""),""))</f>
        <v/>
      </c>
      <c r="N696" s="1" t="str">
        <f ca="1">IF(ISNA(VLOOKUP(A696,Projects!B:B,1,FALSE)),"","Yes")</f>
        <v/>
      </c>
    </row>
    <row r="697" spans="1:14" hidden="1" outlineLevel="1">
      <c r="A697" s="43" t="s">
        <v>336</v>
      </c>
      <c r="C697" s="44" t="s">
        <v>343</v>
      </c>
      <c r="D697" s="7" t="s">
        <v>32</v>
      </c>
      <c r="E697" s="26">
        <v>40025</v>
      </c>
      <c r="H697" s="37">
        <f ca="1">IF(AND(B697="",NOT(A697="")),VLOOKUP(A697,TaskPlan!A:M,13,FALSE),"")</f>
        <v>40120</v>
      </c>
      <c r="I697" s="38" t="str">
        <f ca="1">IF(AND(B697="",NOT(A697="")),VLOOKUP(A697,TaskPlan!A:M,12,FALSE),"")</f>
        <v>Closed</v>
      </c>
      <c r="J697" s="39" t="str">
        <f ca="1">IF(AND(B697="",NOT(A697="")),VLOOKUP(A697,TaskPlan!A:L,2,FALSE),"")</f>
        <v>Pramendra</v>
      </c>
      <c r="K697" s="39" t="str">
        <f ca="1">IF(AND(B697="",NOT(A697="")),IF(NOT(LEFT(VLOOKUP(A697,TaskPlan!A:L,3,FALSE),1) = "0"),VLOOKUP(A697,TaskPlan!A:L,3,FALSE),""),"")</f>
        <v/>
      </c>
      <c r="L697" s="55" t="str">
        <f ca="1">IF(AND(B697="",NOT(A697="")),IF(NOT(LEFT(VLOOKUP(A697,TaskPlan!A:L,3,FALSE),1) = "0"),VLOOKUP(A697,TaskPlan!A:M,4,FALSE),""),"")</f>
        <v/>
      </c>
      <c r="M697" s="58" t="str">
        <f ca="1">IF(B697=".",1,IF(AND(B697="",NOT(A697="")),IF(VLOOKUP(A697,TaskPlan!A:L,5,FALSE)&gt;0,VLOOKUP(A697,TaskPlan!A:L,5,FALSE),""),""))</f>
        <v/>
      </c>
      <c r="N697" s="1" t="str">
        <f ca="1">IF(ISNA(VLOOKUP(A697,Projects!B:B,1,FALSE)),"","Yes")</f>
        <v/>
      </c>
    </row>
    <row r="698" spans="1:14" hidden="1" outlineLevel="1">
      <c r="A698" s="43" t="s">
        <v>470</v>
      </c>
      <c r="C698" s="44" t="s">
        <v>506</v>
      </c>
      <c r="D698" s="7" t="s">
        <v>32</v>
      </c>
      <c r="E698" s="26">
        <v>40086</v>
      </c>
      <c r="H698" s="37">
        <f ca="1">IF(AND(B698="",NOT(A698="")),VLOOKUP(A698,TaskPlan!A:M,13,FALSE),"")</f>
        <v>40120</v>
      </c>
      <c r="I698" s="38" t="str">
        <f ca="1">IF(AND(B698="",NOT(A698="")),VLOOKUP(A698,TaskPlan!A:M,12,FALSE),"")</f>
        <v>Closed</v>
      </c>
      <c r="J698" s="39" t="str">
        <f ca="1">IF(AND(B698="",NOT(A698="")),VLOOKUP(A698,TaskPlan!A:L,2,FALSE),"")</f>
        <v>Pramendra</v>
      </c>
      <c r="K698" s="39" t="str">
        <f ca="1">IF(AND(B698="",NOT(A698="")),IF(NOT(LEFT(VLOOKUP(A698,TaskPlan!A:L,3,FALSE),1) = "0"),VLOOKUP(A698,TaskPlan!A:L,3,FALSE),""),"")</f>
        <v/>
      </c>
      <c r="L698" s="55" t="str">
        <f ca="1">IF(AND(B698="",NOT(A698="")),IF(NOT(LEFT(VLOOKUP(A698,TaskPlan!A:L,3,FALSE),1) = "0"),VLOOKUP(A698,TaskPlan!A:M,4,FALSE),""),"")</f>
        <v/>
      </c>
      <c r="M698" s="58" t="str">
        <f ca="1">IF(B698=".",1,IF(AND(B698="",NOT(A698="")),IF(VLOOKUP(A698,TaskPlan!A:L,5,FALSE)&gt;0,VLOOKUP(A698,TaskPlan!A:L,5,FALSE),""),""))</f>
        <v/>
      </c>
      <c r="N698" s="1" t="str">
        <f ca="1">IF(ISNA(VLOOKUP(A698,Projects!B:B,1,FALSE)),"","Yes")</f>
        <v/>
      </c>
    </row>
    <row r="699" spans="1:14" hidden="1" outlineLevel="1">
      <c r="A699" s="43" t="s">
        <v>652</v>
      </c>
      <c r="B699" s="1" t="s">
        <v>15</v>
      </c>
      <c r="C699" s="45" t="s">
        <v>653</v>
      </c>
      <c r="D699" s="7"/>
      <c r="E699" s="26"/>
      <c r="H699" s="37" t="str">
        <f ca="1">IF(AND(B699="",NOT(A699="")),VLOOKUP(A699,TaskPlan!A:M,13,FALSE),"")</f>
        <v/>
      </c>
      <c r="I699" s="38" t="str">
        <f ca="1">IF(AND(B699="",NOT(A699="")),VLOOKUP(A699,TaskPlan!A:M,12,FALSE),"")</f>
        <v/>
      </c>
      <c r="L699" s="55" t="str">
        <f ca="1">IF(AND(B699="",NOT(A699="")),IF(NOT(LEFT(VLOOKUP(A699,TaskPlan!A:L,3,FALSE),1) = "0"),VLOOKUP(A699,TaskPlan!A:M,4,FALSE),""),"")</f>
        <v/>
      </c>
      <c r="N699" s="1" t="str">
        <f ca="1">IF(ISNA(VLOOKUP(A699,Projects!B:B,1,FALSE)),"","Yes")</f>
        <v/>
      </c>
    </row>
    <row r="700" spans="1:14" hidden="1" outlineLevel="1">
      <c r="A700" s="43" t="s">
        <v>654</v>
      </c>
      <c r="C700" s="44" t="s">
        <v>655</v>
      </c>
      <c r="D700" s="7" t="s">
        <v>32</v>
      </c>
      <c r="E700" s="26">
        <v>40120</v>
      </c>
      <c r="H700" s="37">
        <f ca="1">IF(AND(B700="",NOT(A700="")),VLOOKUP(A700,TaskPlan!A:M,13,FALSE),"")</f>
        <v>40120</v>
      </c>
      <c r="I700" s="38" t="str">
        <f ca="1">IF(AND(B700="",NOT(A700="")),VLOOKUP(A700,TaskPlan!A:M,12,FALSE),"")</f>
        <v>Closed</v>
      </c>
      <c r="J700" s="39" t="str">
        <f ca="1">IF(AND(B700="",NOT(A700="")),VLOOKUP(A700,TaskPlan!A:L,2,FALSE),"")</f>
        <v>Pramendra</v>
      </c>
      <c r="K700" s="39" t="str">
        <f ca="1">IF(AND(B700="",NOT(A700="")),IF(NOT(LEFT(VLOOKUP(A700,TaskPlan!A:L,3,FALSE),1) = "0"),VLOOKUP(A700,TaskPlan!A:L,3,FALSE),""),"")</f>
        <v/>
      </c>
      <c r="L700" s="55" t="str">
        <f ca="1">IF(AND(B700="",NOT(A700="")),IF(NOT(LEFT(VLOOKUP(A700,TaskPlan!A:L,3,FALSE),1) = "0"),VLOOKUP(A700,TaskPlan!A:M,4,FALSE),""),"")</f>
        <v/>
      </c>
      <c r="M700" s="58" t="str">
        <f ca="1">IF(B700=".",1,IF(AND(B700="",NOT(A700="")),IF(VLOOKUP(A700,TaskPlan!A:L,5,FALSE)&gt;0,VLOOKUP(A700,TaskPlan!A:L,5,FALSE),""),""))</f>
        <v/>
      </c>
      <c r="N700" s="1" t="str">
        <f ca="1">IF(ISNA(VLOOKUP(A700,Projects!B:B,1,FALSE)),"","Yes")</f>
        <v/>
      </c>
    </row>
    <row r="701" spans="1:14" hidden="1" outlineLevel="1">
      <c r="A701" s="43" t="s">
        <v>663</v>
      </c>
      <c r="B701" s="7" t="s">
        <v>15</v>
      </c>
      <c r="C701" s="45" t="s">
        <v>664</v>
      </c>
      <c r="D701" s="7"/>
      <c r="H701" s="37" t="str">
        <f ca="1">IF(AND(B701="",NOT(A701="")),VLOOKUP(A701,TaskPlan!A:M,13,FALSE),"")</f>
        <v/>
      </c>
      <c r="I701" s="38" t="str">
        <f ca="1">IF(AND(B701="",NOT(A701="")),VLOOKUP(A701,TaskPlan!A:M,12,FALSE),"")</f>
        <v/>
      </c>
      <c r="J701" s="39" t="str">
        <f ca="1">IF(AND(B701="",NOT(A701="")),VLOOKUP(A701,TaskPlan!A:L,2,FALSE),"")</f>
        <v/>
      </c>
      <c r="K701" s="39" t="str">
        <f ca="1">IF(AND(B701="",NOT(A701="")),IF(NOT(LEFT(VLOOKUP(A701,TaskPlan!A:L,3,FALSE),1) = "0"),VLOOKUP(A701,TaskPlan!A:L,3,FALSE),""),"")</f>
        <v/>
      </c>
      <c r="L701" s="55" t="str">
        <f ca="1">IF(AND(B701="",NOT(A701="")),IF(NOT(LEFT(VLOOKUP(A701,TaskPlan!A:L,3,FALSE),1) = "0"),VLOOKUP(A701,TaskPlan!A:M,4,FALSE),""),"")</f>
        <v/>
      </c>
      <c r="N701" s="1" t="str">
        <f ca="1">IF(ISNA(VLOOKUP(A701,Projects!B:B,1,FALSE)),"","Yes")</f>
        <v/>
      </c>
    </row>
    <row r="702" spans="1:14" hidden="1" outlineLevel="1">
      <c r="A702" s="43" t="s">
        <v>667</v>
      </c>
      <c r="C702" s="44" t="s">
        <v>681</v>
      </c>
      <c r="D702" s="7" t="s">
        <v>32</v>
      </c>
      <c r="E702" s="26">
        <v>40130</v>
      </c>
      <c r="F702" s="25">
        <v>3</v>
      </c>
      <c r="H702" s="37">
        <f ca="1">IF(AND(B702="",NOT(A702="")),VLOOKUP(A702,TaskPlan!A:M,13,FALSE),"")</f>
        <v>40182</v>
      </c>
      <c r="I702" s="38" t="str">
        <f ca="1">IF(AND(B702="",NOT(A702="")),VLOOKUP(A702,TaskPlan!A:M,12,FALSE),"")</f>
        <v>Closed</v>
      </c>
      <c r="J702" s="39" t="str">
        <f ca="1">IF(AND(B702="",NOT(A702="")),VLOOKUP(A702,TaskPlan!A:L,2,FALSE),"")</f>
        <v>Pramendra</v>
      </c>
      <c r="K702" s="39" t="str">
        <f ca="1">IF(AND(B702="",NOT(A702="")),IF(NOT(LEFT(VLOOKUP(A702,TaskPlan!A:L,3,FALSE),1) = "0"),VLOOKUP(A702,TaskPlan!A:L,3,FALSE),""),"")</f>
        <v/>
      </c>
      <c r="L702" s="55" t="str">
        <f ca="1">IF(AND(B702="",NOT(A702="")),IF(NOT(LEFT(VLOOKUP(A702,TaskPlan!A:L,3,FALSE),1) = "0"),VLOOKUP(A702,TaskPlan!A:M,4,FALSE),""),"")</f>
        <v/>
      </c>
      <c r="M702" s="58" t="str">
        <f ca="1">IF(B702=".",1,IF(AND(B702="",NOT(A702="")),IF(VLOOKUP(A702,TaskPlan!A:L,5,FALSE)&gt;0,VLOOKUP(A702,TaskPlan!A:L,5,FALSE),""),""))</f>
        <v/>
      </c>
      <c r="N702" s="1" t="str">
        <f ca="1">IF(ISNA(VLOOKUP(A702,Projects!B:B,1,FALSE)),"","Yes")</f>
        <v/>
      </c>
    </row>
    <row r="703" spans="1:14" hidden="1" outlineLevel="1">
      <c r="A703" s="43" t="s">
        <v>668</v>
      </c>
      <c r="C703" s="44" t="s">
        <v>678</v>
      </c>
      <c r="D703" s="7" t="s">
        <v>32</v>
      </c>
      <c r="E703" s="26">
        <v>40127</v>
      </c>
      <c r="F703" s="25">
        <v>10</v>
      </c>
      <c r="H703" s="37">
        <f ca="1">IF(AND(B703="",NOT(A703="")),VLOOKUP(A703,TaskPlan!A:M,13,FALSE),"")</f>
        <v>40200</v>
      </c>
      <c r="I703" s="38" t="str">
        <f ca="1">IF(AND(B703="",NOT(A703="")),VLOOKUP(A703,TaskPlan!A:M,12,FALSE),"")</f>
        <v>Closed</v>
      </c>
      <c r="J703" s="39" t="str">
        <f ca="1">IF(AND(B703="",NOT(A703="")),VLOOKUP(A703,TaskPlan!A:L,2,FALSE),"")</f>
        <v>Pramendra</v>
      </c>
      <c r="K703" s="39" t="str">
        <f ca="1">IF(AND(B703="",NOT(A703="")),IF(NOT(LEFT(VLOOKUP(A703,TaskPlan!A:L,3,FALSE),1) = "0"),VLOOKUP(A703,TaskPlan!A:L,3,FALSE),""),"")</f>
        <v/>
      </c>
      <c r="L703" s="55" t="str">
        <f ca="1">IF(AND(B703="",NOT(A703="")),IF(NOT(LEFT(VLOOKUP(A703,TaskPlan!A:L,3,FALSE),1) = "0"),VLOOKUP(A703,TaskPlan!A:M,4,FALSE),""),"")</f>
        <v/>
      </c>
      <c r="M703" s="58" t="str">
        <f ca="1">IF(B703=".",1,IF(AND(B703="",NOT(A703="")),IF(VLOOKUP(A703,TaskPlan!A:L,5,FALSE)&gt;0,VLOOKUP(A703,TaskPlan!A:L,5,FALSE),""),""))</f>
        <v/>
      </c>
      <c r="N703" s="1" t="str">
        <f ca="1">IF(ISNA(VLOOKUP(A703,Projects!B:B,1,FALSE)),"","Yes")</f>
        <v/>
      </c>
    </row>
    <row r="704" spans="1:14" hidden="1" outlineLevel="1">
      <c r="A704" s="43" t="s">
        <v>669</v>
      </c>
      <c r="C704" s="44" t="s">
        <v>679</v>
      </c>
      <c r="D704" s="7" t="s">
        <v>32</v>
      </c>
      <c r="E704" s="26">
        <v>40127</v>
      </c>
      <c r="F704" s="25">
        <v>3</v>
      </c>
      <c r="G704" s="28" t="s">
        <v>1099</v>
      </c>
      <c r="H704" s="37">
        <f ca="1">IF(AND(B704="",NOT(A704="")),VLOOKUP(A704,TaskPlan!A:M,13,FALSE),"")</f>
        <v>40283</v>
      </c>
      <c r="I704" s="38" t="str">
        <f ca="1">IF(AND(B704="",NOT(A704="")),VLOOKUP(A704,TaskPlan!A:M,12,FALSE),"")</f>
        <v>In Progress</v>
      </c>
      <c r="J704" s="39" t="str">
        <f ca="1">IF(AND(B704="",NOT(A704="")),VLOOKUP(A704,TaskPlan!A:L,2,FALSE),"")</f>
        <v>Unassigned</v>
      </c>
      <c r="K704" s="39" t="str">
        <f ca="1">IF(AND(B704="",NOT(A704="")),IF(NOT(LEFT(VLOOKUP(A704,TaskPlan!A:L,3,FALSE),1) = "0"),VLOOKUP(A704,TaskPlan!A:L,3,FALSE),""),"")</f>
        <v>3-MED</v>
      </c>
      <c r="L704" s="55">
        <f ca="1">IF(AND(B704="",NOT(A704="")),IF(NOT(LEFT(VLOOKUP(A704,TaskPlan!A:L,3,FALSE),1) = "0"),VLOOKUP(A704,TaskPlan!A:M,4,FALSE),""),"")</f>
        <v>0</v>
      </c>
      <c r="M704" s="58" t="str">
        <f ca="1">IF(B704=".",1,IF(AND(B704="",NOT(A704="")),IF(VLOOKUP(A704,TaskPlan!A:L,5,FALSE)&gt;0,VLOOKUP(A704,TaskPlan!A:L,5,FALSE),""),""))</f>
        <v/>
      </c>
      <c r="N704" s="1" t="str">
        <f ca="1">IF(ISNA(VLOOKUP(A704,Projects!B:B,1,FALSE)),"","Yes")</f>
        <v/>
      </c>
    </row>
    <row r="705" spans="1:14" ht="25.5" hidden="1" outlineLevel="1">
      <c r="A705" s="43" t="s">
        <v>670</v>
      </c>
      <c r="C705" s="44" t="s">
        <v>746</v>
      </c>
      <c r="D705" s="7" t="s">
        <v>32</v>
      </c>
      <c r="E705" s="26">
        <v>40127</v>
      </c>
      <c r="F705" s="25">
        <v>3</v>
      </c>
      <c r="G705" s="28" t="s">
        <v>1099</v>
      </c>
      <c r="H705" s="37">
        <f ca="1">IF(AND(B705="",NOT(A705="")),VLOOKUP(A705,TaskPlan!A:M,13,FALSE),"")</f>
        <v>40218</v>
      </c>
      <c r="I705" s="38" t="str">
        <f ca="1">IF(AND(B705="",NOT(A705="")),VLOOKUP(A705,TaskPlan!A:M,12,FALSE),"")</f>
        <v>Not Started</v>
      </c>
      <c r="J705" s="39" t="str">
        <f ca="1">IF(AND(B705="",NOT(A705="")),VLOOKUP(A705,TaskPlan!A:L,2,FALSE),"")</f>
        <v>Unassigned</v>
      </c>
      <c r="K705" s="39" t="str">
        <f ca="1">IF(AND(B705="",NOT(A705="")),IF(NOT(LEFT(VLOOKUP(A705,TaskPlan!A:L,3,FALSE),1) = "0"),VLOOKUP(A705,TaskPlan!A:L,3,FALSE),""),"")</f>
        <v>1-LOW</v>
      </c>
      <c r="L705" s="55">
        <f ca="1">IF(AND(B705="",NOT(A705="")),IF(NOT(LEFT(VLOOKUP(A705,TaskPlan!A:L,3,FALSE),1) = "0"),VLOOKUP(A705,TaskPlan!A:M,4,FALSE),""),"")</f>
        <v>0</v>
      </c>
      <c r="M705" s="58" t="str">
        <f ca="1">IF(B705=".",1,IF(AND(B705="",NOT(A705="")),IF(VLOOKUP(A705,TaskPlan!A:L,5,FALSE)&gt;0,VLOOKUP(A705,TaskPlan!A:L,5,FALSE),""),""))</f>
        <v/>
      </c>
      <c r="N705" s="1" t="str">
        <f ca="1">IF(ISNA(VLOOKUP(A705,Projects!B:B,1,FALSE)),"","Yes")</f>
        <v/>
      </c>
    </row>
    <row r="706" spans="1:14" ht="25.5" hidden="1" outlineLevel="1">
      <c r="A706" s="43" t="s">
        <v>671</v>
      </c>
      <c r="C706" s="44" t="s">
        <v>1416</v>
      </c>
      <c r="D706" s="7" t="s">
        <v>32</v>
      </c>
      <c r="E706" s="26">
        <v>40403</v>
      </c>
      <c r="F706" s="25">
        <v>10</v>
      </c>
      <c r="G706" s="28" t="s">
        <v>1099</v>
      </c>
      <c r="H706" s="37">
        <f ca="1">IF(AND(B706="",NOT(A706="")),VLOOKUP(A706,TaskPlan!A:M,13,FALSE),"")</f>
        <v>40218</v>
      </c>
      <c r="I706" s="38" t="str">
        <f ca="1">IF(AND(B706="",NOT(A706="")),VLOOKUP(A706,TaskPlan!A:M,12,FALSE),"")</f>
        <v>Not Started</v>
      </c>
      <c r="J706" s="39" t="str">
        <f ca="1">IF(AND(B706="",NOT(A706="")),VLOOKUP(A706,TaskPlan!A:L,2,FALSE),"")</f>
        <v>Unassigned</v>
      </c>
      <c r="K706" s="39" t="str">
        <f ca="1">IF(AND(B706="",NOT(A706="")),IF(NOT(LEFT(VLOOKUP(A706,TaskPlan!A:L,3,FALSE),1) = "0"),VLOOKUP(A706,TaskPlan!A:L,3,FALSE),""),"")</f>
        <v>1-LOW</v>
      </c>
      <c r="L706" s="55">
        <f ca="1">IF(AND(B706="",NOT(A706="")),IF(NOT(LEFT(VLOOKUP(A706,TaskPlan!A:L,3,FALSE),1) = "0"),VLOOKUP(A706,TaskPlan!A:M,4,FALSE),""),"")</f>
        <v>0</v>
      </c>
      <c r="M706" s="58" t="str">
        <f ca="1">IF(B706=".",1,IF(AND(B706="",NOT(A706="")),IF(VLOOKUP(A706,TaskPlan!A:L,5,FALSE)&gt;0,VLOOKUP(A706,TaskPlan!A:L,5,FALSE),""),""))</f>
        <v/>
      </c>
      <c r="N706" s="1" t="str">
        <f ca="1">IF(ISNA(VLOOKUP(A706,Projects!B:B,1,FALSE)),"","Yes")</f>
        <v/>
      </c>
    </row>
    <row r="707" spans="1:14" hidden="1" outlineLevel="1">
      <c r="A707" s="43" t="s">
        <v>672</v>
      </c>
      <c r="C707" s="44" t="s">
        <v>680</v>
      </c>
      <c r="D707" s="7" t="s">
        <v>32</v>
      </c>
      <c r="E707" s="26">
        <v>40127</v>
      </c>
      <c r="F707" s="25">
        <v>7</v>
      </c>
      <c r="H707" s="37">
        <f ca="1">IF(AND(B707="",NOT(A707="")),VLOOKUP(A707,TaskPlan!A:M,13,FALSE),"")</f>
        <v>40218</v>
      </c>
      <c r="I707" s="38" t="str">
        <f ca="1">IF(AND(B707="",NOT(A707="")),VLOOKUP(A707,TaskPlan!A:M,12,FALSE),"")</f>
        <v>Closed</v>
      </c>
      <c r="J707" s="39" t="str">
        <f ca="1">IF(AND(B707="",NOT(A707="")),VLOOKUP(A707,TaskPlan!A:L,2,FALSE),"")</f>
        <v>Pramendra</v>
      </c>
      <c r="K707" s="39" t="str">
        <f ca="1">IF(AND(B707="",NOT(A707="")),IF(NOT(LEFT(VLOOKUP(A707,TaskPlan!A:L,3,FALSE),1) = "0"),VLOOKUP(A707,TaskPlan!A:L,3,FALSE),""),"")</f>
        <v/>
      </c>
      <c r="L707" s="55" t="str">
        <f ca="1">IF(AND(B707="",NOT(A707="")),IF(NOT(LEFT(VLOOKUP(A707,TaskPlan!A:L,3,FALSE),1) = "0"),VLOOKUP(A707,TaskPlan!A:M,4,FALSE),""),"")</f>
        <v/>
      </c>
      <c r="M707" s="58" t="str">
        <f ca="1">IF(B707=".",1,IF(AND(B707="",NOT(A707="")),IF(VLOOKUP(A707,TaskPlan!A:L,5,FALSE)&gt;0,VLOOKUP(A707,TaskPlan!A:L,5,FALSE),""),""))</f>
        <v/>
      </c>
      <c r="N707" s="1" t="str">
        <f ca="1">IF(ISNA(VLOOKUP(A707,Projects!B:B,1,FALSE)),"","Yes")</f>
        <v/>
      </c>
    </row>
    <row r="708" spans="1:14" hidden="1" outlineLevel="1">
      <c r="A708" s="43" t="s">
        <v>856</v>
      </c>
      <c r="C708" s="44" t="s">
        <v>857</v>
      </c>
      <c r="D708" s="7" t="s">
        <v>32</v>
      </c>
      <c r="E708" s="26">
        <v>40200</v>
      </c>
      <c r="F708" s="25">
        <v>2</v>
      </c>
      <c r="H708" s="37">
        <f ca="1">IF(AND(B708="",NOT(A708="")),VLOOKUP(A708,TaskPlan!A:M,13,FALSE),"")</f>
        <v>40218</v>
      </c>
      <c r="I708" s="38" t="str">
        <f ca="1">IF(AND(B708="",NOT(A708="")),VLOOKUP(A708,TaskPlan!A:M,12,FALSE),"")</f>
        <v>Closed</v>
      </c>
      <c r="J708" s="39" t="str">
        <f ca="1">IF(AND(B708="",NOT(A708="")),VLOOKUP(A708,TaskPlan!A:L,2,FALSE),"")</f>
        <v>Pramendra</v>
      </c>
      <c r="K708" s="39" t="str">
        <f ca="1">IF(AND(B708="",NOT(A708="")),IF(NOT(LEFT(VLOOKUP(A708,TaskPlan!A:L,3,FALSE),1) = "0"),VLOOKUP(A708,TaskPlan!A:L,3,FALSE),""),"")</f>
        <v/>
      </c>
      <c r="L708" s="55" t="str">
        <f ca="1">IF(AND(B708="",NOT(A708="")),IF(NOT(LEFT(VLOOKUP(A708,TaskPlan!A:L,3,FALSE),1) = "0"),VLOOKUP(A708,TaskPlan!A:M,4,FALSE),""),"")</f>
        <v/>
      </c>
      <c r="M708" s="58" t="str">
        <f ca="1">IF(B708=".",1,IF(AND(B708="",NOT(A708="")),IF(VLOOKUP(A708,TaskPlan!A:L,5,FALSE)&gt;0,VLOOKUP(A708,TaskPlan!A:L,5,FALSE),""),""))</f>
        <v/>
      </c>
      <c r="N708" s="1" t="str">
        <f ca="1">IF(ISNA(VLOOKUP(A708,Projects!B:B,1,FALSE)),"","Yes")</f>
        <v/>
      </c>
    </row>
    <row r="709" spans="1:14" hidden="1" outlineLevel="1">
      <c r="A709" s="43" t="s">
        <v>665</v>
      </c>
      <c r="B709" s="7" t="s">
        <v>15</v>
      </c>
      <c r="C709" s="45" t="s">
        <v>666</v>
      </c>
      <c r="D709" s="7"/>
      <c r="E709" s="26"/>
      <c r="H709" s="37" t="str">
        <f ca="1">IF(AND(B709="",NOT(A709="")),VLOOKUP(A709,TaskPlan!A:M,13,FALSE),"")</f>
        <v/>
      </c>
      <c r="I709" s="38" t="str">
        <f ca="1">IF(AND(B709="",NOT(A709="")),VLOOKUP(A709,TaskPlan!A:M,12,FALSE),"")</f>
        <v/>
      </c>
      <c r="J709" s="39" t="str">
        <f ca="1">IF(AND(B709="",NOT(A709="")),VLOOKUP(A709,TaskPlan!A:L,2,FALSE),"")</f>
        <v/>
      </c>
      <c r="K709" s="39" t="str">
        <f ca="1">IF(AND(B709="",NOT(A709="")),IF(NOT(LEFT(VLOOKUP(A709,TaskPlan!A:L,3,FALSE),1) = "0"),VLOOKUP(A709,TaskPlan!A:L,3,FALSE),""),"")</f>
        <v/>
      </c>
      <c r="L709" s="55" t="str">
        <f ca="1">IF(AND(B709="",NOT(A709="")),IF(NOT(LEFT(VLOOKUP(A709,TaskPlan!A:L,3,FALSE),1) = "0"),VLOOKUP(A709,TaskPlan!A:M,4,FALSE),""),"")</f>
        <v/>
      </c>
      <c r="N709" s="1" t="str">
        <f ca="1">IF(ISNA(VLOOKUP(A709,Projects!B:B,1,FALSE)),"","Yes")</f>
        <v/>
      </c>
    </row>
    <row r="710" spans="1:14" hidden="1" outlineLevel="1">
      <c r="A710" s="43" t="s">
        <v>673</v>
      </c>
      <c r="B710" s="7"/>
      <c r="C710" s="44" t="s">
        <v>676</v>
      </c>
      <c r="D710" s="7" t="s">
        <v>32</v>
      </c>
      <c r="E710" s="26">
        <v>40127</v>
      </c>
      <c r="F710" s="25">
        <v>3</v>
      </c>
      <c r="H710" s="37">
        <f ca="1">IF(AND(B710="",NOT(A710="")),VLOOKUP(A710,TaskPlan!A:M,13,FALSE),"")</f>
        <v>40218</v>
      </c>
      <c r="I710" s="38" t="str">
        <f ca="1">IF(AND(B710="",NOT(A710="")),VLOOKUP(A710,TaskPlan!A:M,12,FALSE),"")</f>
        <v>Closed</v>
      </c>
      <c r="J710" s="39" t="str">
        <f ca="1">IF(AND(B710="",NOT(A710="")),VLOOKUP(A710,TaskPlan!A:L,2,FALSE),"")</f>
        <v>Pramendra</v>
      </c>
      <c r="K710" s="39" t="str">
        <f ca="1">IF(AND(B710="",NOT(A710="")),IF(NOT(LEFT(VLOOKUP(A710,TaskPlan!A:L,3,FALSE),1) = "0"),VLOOKUP(A710,TaskPlan!A:L,3,FALSE),""),"")</f>
        <v/>
      </c>
      <c r="L710" s="55" t="str">
        <f ca="1">IF(AND(B710="",NOT(A710="")),IF(NOT(LEFT(VLOOKUP(A710,TaskPlan!A:L,3,FALSE),1) = "0"),VLOOKUP(A710,TaskPlan!A:M,4,FALSE),""),"")</f>
        <v/>
      </c>
      <c r="M710" s="58" t="str">
        <f ca="1">IF(B710=".",1,IF(AND(B710="",NOT(A710="")),IF(VLOOKUP(A710,TaskPlan!A:L,5,FALSE)&gt;0,VLOOKUP(A710,TaskPlan!A:L,5,FALSE),""),""))</f>
        <v/>
      </c>
      <c r="N710" s="1" t="str">
        <f ca="1">IF(ISNA(VLOOKUP(A710,Projects!B:B,1,FALSE)),"","Yes")</f>
        <v/>
      </c>
    </row>
    <row r="711" spans="1:14" ht="25.5" hidden="1" outlineLevel="1">
      <c r="A711" s="43" t="s">
        <v>674</v>
      </c>
      <c r="B711" s="7"/>
      <c r="C711" s="44" t="s">
        <v>696</v>
      </c>
      <c r="D711" s="7" t="s">
        <v>32</v>
      </c>
      <c r="E711" s="26">
        <v>40135</v>
      </c>
      <c r="F711" s="25">
        <v>3</v>
      </c>
      <c r="H711" s="37">
        <f ca="1">IF(AND(B711="",NOT(A711="")),VLOOKUP(A711,TaskPlan!A:M,13,FALSE),"")</f>
        <v>40218</v>
      </c>
      <c r="I711" s="38" t="str">
        <f ca="1">IF(AND(B711="",NOT(A711="")),VLOOKUP(A711,TaskPlan!A:M,12,FALSE),"")</f>
        <v>Closed</v>
      </c>
      <c r="J711" s="39" t="str">
        <f ca="1">IF(AND(B711="",NOT(A711="")),VLOOKUP(A711,TaskPlan!A:L,2,FALSE),"")</f>
        <v>Pramendra</v>
      </c>
      <c r="K711" s="39" t="str">
        <f ca="1">IF(AND(B711="",NOT(A711="")),IF(NOT(LEFT(VLOOKUP(A711,TaskPlan!A:L,3,FALSE),1) = "0"),VLOOKUP(A711,TaskPlan!A:L,3,FALSE),""),"")</f>
        <v/>
      </c>
      <c r="L711" s="55" t="str">
        <f ca="1">IF(AND(B711="",NOT(A711="")),IF(NOT(LEFT(VLOOKUP(A711,TaskPlan!A:L,3,FALSE),1) = "0"),VLOOKUP(A711,TaskPlan!A:M,4,FALSE),""),"")</f>
        <v/>
      </c>
      <c r="M711" s="58" t="str">
        <f ca="1">IF(B711=".",1,IF(AND(B711="",NOT(A711="")),IF(VLOOKUP(A711,TaskPlan!A:L,5,FALSE)&gt;0,VLOOKUP(A711,TaskPlan!A:L,5,FALSE),""),""))</f>
        <v/>
      </c>
      <c r="N711" s="1" t="str">
        <f ca="1">IF(ISNA(VLOOKUP(A711,Projects!B:B,1,FALSE)),"","Yes")</f>
        <v/>
      </c>
    </row>
    <row r="712" spans="1:14" hidden="1" outlineLevel="1">
      <c r="A712" s="43" t="s">
        <v>675</v>
      </c>
      <c r="C712" s="44" t="s">
        <v>677</v>
      </c>
      <c r="D712" s="7" t="s">
        <v>32</v>
      </c>
      <c r="E712" s="26">
        <v>40127</v>
      </c>
      <c r="F712" s="25">
        <v>3</v>
      </c>
      <c r="G712" s="28" t="s">
        <v>1099</v>
      </c>
      <c r="H712" s="37">
        <f ca="1">IF(AND(B712="",NOT(A712="")),VLOOKUP(A712,TaskPlan!A:M,13,FALSE),"")</f>
        <v>40218</v>
      </c>
      <c r="I712" s="38" t="str">
        <f ca="1">IF(AND(B712="",NOT(A712="")),VLOOKUP(A712,TaskPlan!A:M,12,FALSE),"")</f>
        <v>Not Started</v>
      </c>
      <c r="J712" s="39" t="str">
        <f ca="1">IF(AND(B712="",NOT(A712="")),VLOOKUP(A712,TaskPlan!A:L,2,FALSE),"")</f>
        <v>Unassigned</v>
      </c>
      <c r="K712" s="39" t="str">
        <f ca="1">IF(AND(B712="",NOT(A712="")),IF(NOT(LEFT(VLOOKUP(A712,TaskPlan!A:L,3,FALSE),1) = "0"),VLOOKUP(A712,TaskPlan!A:L,3,FALSE),""),"")</f>
        <v>1-LOW</v>
      </c>
      <c r="L712" s="55">
        <f ca="1">IF(AND(B712="",NOT(A712="")),IF(NOT(LEFT(VLOOKUP(A712,TaskPlan!A:L,3,FALSE),1) = "0"),VLOOKUP(A712,TaskPlan!A:M,4,FALSE),""),"")</f>
        <v>0</v>
      </c>
      <c r="M712" s="58" t="str">
        <f ca="1">IF(B712=".",1,IF(AND(B712="",NOT(A712="")),IF(VLOOKUP(A712,TaskPlan!A:L,5,FALSE)&gt;0,VLOOKUP(A712,TaskPlan!A:L,5,FALSE),""),""))</f>
        <v/>
      </c>
      <c r="N712" s="1" t="str">
        <f ca="1">IF(ISNA(VLOOKUP(A712,Projects!B:B,1,FALSE)),"","Yes")</f>
        <v/>
      </c>
    </row>
    <row r="713" spans="1:14" collapsed="1">
      <c r="E713" s="26"/>
      <c r="H713" s="37" t="str">
        <f ca="1">IF(AND(B713="",NOT(A713="")),VLOOKUP(A713,TaskPlan!A:M,13,FALSE),"")</f>
        <v/>
      </c>
      <c r="I713" s="38" t="str">
        <f ca="1">IF(AND(B713="",NOT(A713="")),VLOOKUP(A713,TaskPlan!A:M,12,FALSE),"")</f>
        <v/>
      </c>
      <c r="J713" s="39" t="str">
        <f ca="1">IF(AND(B713="",NOT(A713="")),VLOOKUP(A713,TaskPlan!A:L,2,FALSE),"")</f>
        <v/>
      </c>
      <c r="K713" s="39" t="str">
        <f ca="1">IF(AND(B713="",NOT(A713="")),IF(NOT(LEFT(VLOOKUP(A713,TaskPlan!A:L,3,FALSE),1) = "0"),VLOOKUP(A713,TaskPlan!A:L,3,FALSE),""),"")</f>
        <v/>
      </c>
      <c r="L713" s="55" t="str">
        <f ca="1">IF(AND(B713="",NOT(A713="")),IF(NOT(LEFT(VLOOKUP(A713,TaskPlan!A:L,3,FALSE),1) = "0"),VLOOKUP(A713,TaskPlan!A:M,4,FALSE),""),"")</f>
        <v/>
      </c>
      <c r="M713" s="58" t="str">
        <f ca="1">IF(B713=".",1,IF(AND(B713="",NOT(A713="")),IF(VLOOKUP(A713,TaskPlan!A:L,5,FALSE)&gt;0,VLOOKUP(A713,TaskPlan!A:L,5,FALSE),""),""))</f>
        <v/>
      </c>
      <c r="N713" s="1" t="str">
        <f ca="1">IF(ISNA(VLOOKUP(A713,Projects!B:B,1,FALSE)),"","Yes")</f>
        <v/>
      </c>
    </row>
    <row r="714" spans="1:14" ht="15.75">
      <c r="A714" s="46" t="s">
        <v>377</v>
      </c>
      <c r="B714" s="1" t="s">
        <v>15</v>
      </c>
      <c r="C714" s="36" t="s">
        <v>378</v>
      </c>
      <c r="E714" s="26"/>
      <c r="H714" s="37" t="str">
        <f ca="1">IF(AND(B714="",NOT(A714="")),VLOOKUP(A714,TaskPlan!A:M,13,FALSE),"")</f>
        <v/>
      </c>
      <c r="I714" s="38" t="str">
        <f ca="1">IF(AND(B714="",NOT(A714="")),VLOOKUP(A714,TaskPlan!A:M,12,FALSE),"")</f>
        <v/>
      </c>
      <c r="J714" s="39" t="str">
        <f ca="1">IF(AND(B714="",NOT(A714="")),VLOOKUP(A714,TaskPlan!A:L,2,FALSE),"")</f>
        <v/>
      </c>
      <c r="K714" s="39" t="str">
        <f ca="1">IF(AND(B714="",NOT(A714="")),IF(NOT(LEFT(VLOOKUP(A714,TaskPlan!A:L,3,FALSE),1) = "0"),VLOOKUP(A714,TaskPlan!A:L,3,FALSE),""),"")</f>
        <v/>
      </c>
      <c r="L714" s="55" t="str">
        <f ca="1">IF(AND(B714="",NOT(A714="")),IF(NOT(LEFT(VLOOKUP(A714,TaskPlan!A:L,3,FALSE),1) = "0"),VLOOKUP(A714,TaskPlan!A:M,4,FALSE),""),"")</f>
        <v/>
      </c>
      <c r="M714" s="58">
        <f ca="1">IF(B714=".",1,IF(AND(B714="",NOT(A714="")),IF(VLOOKUP(A714,TaskPlan!A:L,5,FALSE)&gt;0,VLOOKUP(A714,TaskPlan!A:L,5,FALSE),""),""))</f>
        <v>1</v>
      </c>
      <c r="N714" s="1" t="str">
        <f ca="1">IF(ISNA(VLOOKUP(A714,Projects!B:B,1,FALSE)),"","Yes")</f>
        <v/>
      </c>
    </row>
    <row r="715" spans="1:14" hidden="1" outlineLevel="1">
      <c r="A715" s="46" t="s">
        <v>379</v>
      </c>
      <c r="B715" s="7"/>
      <c r="C715" s="44" t="s">
        <v>381</v>
      </c>
      <c r="D715" s="7" t="s">
        <v>315</v>
      </c>
      <c r="E715" s="26">
        <v>40029</v>
      </c>
      <c r="H715" s="37">
        <f ca="1">IF(AND(B715="",NOT(A715="")),VLOOKUP(A715,TaskPlan!A:M,13,FALSE),"")</f>
        <v>40045</v>
      </c>
      <c r="I715" s="38" t="str">
        <f ca="1">IF(AND(B715="",NOT(A715="")),VLOOKUP(A715,TaskPlan!A:M,12,FALSE),"")</f>
        <v>Closed</v>
      </c>
      <c r="J715" s="39" t="str">
        <f ca="1">IF(AND(B715="",NOT(A715="")),VLOOKUP(A715,TaskPlan!A:L,2,FALSE),"")</f>
        <v>Pramendra</v>
      </c>
      <c r="K715" s="39" t="str">
        <f ca="1">IF(AND(B715="",NOT(A715="")),IF(NOT(LEFT(VLOOKUP(A715,TaskPlan!A:L,3,FALSE),1) = "0"),VLOOKUP(A715,TaskPlan!A:L,3,FALSE),""),"")</f>
        <v/>
      </c>
      <c r="L715" s="55" t="str">
        <f ca="1">IF(AND(B715="",NOT(A715="")),IF(NOT(LEFT(VLOOKUP(A715,TaskPlan!A:L,3,FALSE),1) = "0"),VLOOKUP(A715,TaskPlan!A:M,4,FALSE),""),"")</f>
        <v/>
      </c>
      <c r="M715" s="58" t="str">
        <f ca="1">IF(B715=".",1,IF(AND(B715="",NOT(A715="")),IF(VLOOKUP(A715,TaskPlan!A:L,5,FALSE)&gt;0,VLOOKUP(A715,TaskPlan!A:L,5,FALSE),""),""))</f>
        <v/>
      </c>
      <c r="N715" s="1" t="str">
        <f ca="1">IF(ISNA(VLOOKUP(A715,Projects!B:B,1,FALSE)),"","Yes")</f>
        <v/>
      </c>
    </row>
    <row r="716" spans="1:14" hidden="1" outlineLevel="1">
      <c r="A716" s="46" t="s">
        <v>408</v>
      </c>
      <c r="C716" s="44" t="s">
        <v>409</v>
      </c>
      <c r="D716" s="7" t="s">
        <v>315</v>
      </c>
      <c r="E716" s="26">
        <v>40045</v>
      </c>
      <c r="H716" s="37">
        <f ca="1">IF(AND(B716="",NOT(A716="")),VLOOKUP(A716,TaskPlan!A:M,13,FALSE),"")</f>
        <v>40052</v>
      </c>
      <c r="I716" s="38" t="str">
        <f ca="1">IF(AND(B716="",NOT(A716="")),VLOOKUP(A716,TaskPlan!A:M,12,FALSE),"")</f>
        <v>Closed</v>
      </c>
      <c r="J716" s="39" t="str">
        <f ca="1">IF(AND(B716="",NOT(A716="")),VLOOKUP(A716,TaskPlan!A:L,2,FALSE),"")</f>
        <v>Pramendra</v>
      </c>
      <c r="K716" s="39" t="str">
        <f ca="1">IF(AND(B716="",NOT(A716="")),IF(NOT(LEFT(VLOOKUP(A716,TaskPlan!A:L,3,FALSE),1) = "0"),VLOOKUP(A716,TaskPlan!A:L,3,FALSE),""),"")</f>
        <v/>
      </c>
      <c r="L716" s="55" t="str">
        <f ca="1">IF(AND(B716="",NOT(A716="")),IF(NOT(LEFT(VLOOKUP(A716,TaskPlan!A:L,3,FALSE),1) = "0"),VLOOKUP(A716,TaskPlan!A:M,4,FALSE),""),"")</f>
        <v/>
      </c>
      <c r="M716" s="58" t="str">
        <f ca="1">IF(B716=".",1,IF(AND(B716="",NOT(A716="")),IF(VLOOKUP(A716,TaskPlan!A:L,5,FALSE)&gt;0,VLOOKUP(A716,TaskPlan!A:L,5,FALSE),""),""))</f>
        <v/>
      </c>
      <c r="N716" s="1" t="str">
        <f ca="1">IF(ISNA(VLOOKUP(A716,Projects!B:B,1,FALSE)),"","Yes")</f>
        <v/>
      </c>
    </row>
    <row r="717" spans="1:14" hidden="1" outlineLevel="1">
      <c r="A717" s="46" t="s">
        <v>431</v>
      </c>
      <c r="C717" s="42" t="s">
        <v>432</v>
      </c>
      <c r="D717" s="7" t="s">
        <v>315</v>
      </c>
      <c r="E717" s="26">
        <v>40052</v>
      </c>
      <c r="F717" s="25">
        <v>4</v>
      </c>
      <c r="G717" s="28" t="s">
        <v>1099</v>
      </c>
      <c r="H717" s="37">
        <f ca="1">IF(AND(B717="",NOT(A717="")),VLOOKUP(A717,TaskPlan!A:M,13,FALSE),"")</f>
        <v>40254</v>
      </c>
      <c r="I717" s="38" t="str">
        <f ca="1">IF(AND(B717="",NOT(A717="")),VLOOKUP(A717,TaskPlan!A:M,12,FALSE),"")</f>
        <v>Not Started</v>
      </c>
      <c r="J717" s="39" t="str">
        <f ca="1">IF(AND(B717="",NOT(A717="")),VLOOKUP(A717,TaskPlan!A:L,2,FALSE),"")</f>
        <v>Unassigned</v>
      </c>
      <c r="K717" s="39" t="str">
        <f ca="1">IF(AND(B717="",NOT(A717="")),IF(NOT(LEFT(VLOOKUP(A717,TaskPlan!A:L,3,FALSE),1) = "0"),VLOOKUP(A717,TaskPlan!A:L,3,FALSE),""),"")</f>
        <v>2-LOW</v>
      </c>
      <c r="L717" s="55">
        <f ca="1">IF(AND(B717="",NOT(A717="")),IF(NOT(LEFT(VLOOKUP(A717,TaskPlan!A:L,3,FALSE),1) = "0"),VLOOKUP(A717,TaskPlan!A:M,4,FALSE),""),"")</f>
        <v>0</v>
      </c>
      <c r="M717" s="58" t="str">
        <f ca="1">IF(B717=".",1,IF(AND(B717="",NOT(A717="")),IF(VLOOKUP(A717,TaskPlan!A:L,5,FALSE)&gt;0,VLOOKUP(A717,TaskPlan!A:L,5,FALSE),""),""))</f>
        <v/>
      </c>
      <c r="N717" s="1" t="str">
        <f ca="1">IF(ISNA(VLOOKUP(A717,Projects!B:B,1,FALSE)),"","Yes")</f>
        <v/>
      </c>
    </row>
    <row r="718" spans="1:14" hidden="1" outlineLevel="1">
      <c r="A718" s="46" t="s">
        <v>442</v>
      </c>
      <c r="C718" s="42" t="s">
        <v>443</v>
      </c>
      <c r="D718" s="7" t="s">
        <v>11</v>
      </c>
      <c r="E718" s="26">
        <v>40057</v>
      </c>
      <c r="F718" s="25">
        <v>2</v>
      </c>
      <c r="G718" s="25" t="s">
        <v>1098</v>
      </c>
      <c r="H718" s="37">
        <f ca="1">IF(AND(B718="",NOT(A718="")),VLOOKUP(A718,TaskPlan!A:M,13,FALSE),"")</f>
        <v>40325</v>
      </c>
      <c r="I718" s="38" t="str">
        <f ca="1">IF(AND(B718="",NOT(A718="")),VLOOKUP(A718,TaskPlan!A:M,12,FALSE),"")</f>
        <v>Not Started</v>
      </c>
      <c r="J718" s="39" t="str">
        <f ca="1">IF(AND(B718="",NOT(A718="")),VLOOKUP(A718,TaskPlan!A:L,2,FALSE),"")</f>
        <v>Parth</v>
      </c>
      <c r="K718" s="39" t="str">
        <f ca="1">IF(AND(B718="",NOT(A718="")),IF(NOT(LEFT(VLOOKUP(A718,TaskPlan!A:L,3,FALSE),1) = "0"),VLOOKUP(A718,TaskPlan!A:L,3,FALSE),""),"")</f>
        <v>3-MED</v>
      </c>
      <c r="L718" s="55">
        <f ca="1">IF(AND(B718="",NOT(A718="")),IF(NOT(LEFT(VLOOKUP(A718,TaskPlan!A:L,3,FALSE),1) = "0"),VLOOKUP(A718,TaskPlan!A:M,4,FALSE),""),"")</f>
        <v>0</v>
      </c>
      <c r="M718" s="58" t="str">
        <f ca="1">IF(B718=".",1,IF(AND(B718="",NOT(A718="")),IF(VLOOKUP(A718,TaskPlan!A:L,5,FALSE)&gt;0,VLOOKUP(A718,TaskPlan!A:L,5,FALSE),""),""))</f>
        <v/>
      </c>
      <c r="N718" s="1" t="str">
        <f ca="1">IF(ISNA(VLOOKUP(A718,Projects!B:B,1,FALSE)),"","Yes")</f>
        <v/>
      </c>
    </row>
    <row r="719" spans="1:14" hidden="1" outlineLevel="1">
      <c r="A719" s="46" t="s">
        <v>491</v>
      </c>
      <c r="B719" s="7" t="s">
        <v>15</v>
      </c>
      <c r="C719" s="45" t="s">
        <v>1965</v>
      </c>
      <c r="D719" s="7"/>
      <c r="E719" s="26"/>
      <c r="L719" s="55"/>
    </row>
    <row r="720" spans="1:14" hidden="1" outlineLevel="1">
      <c r="A720" s="43" t="s">
        <v>874</v>
      </c>
      <c r="B720" s="7"/>
      <c r="C720" s="42" t="s">
        <v>492</v>
      </c>
      <c r="D720" s="7" t="s">
        <v>315</v>
      </c>
      <c r="E720" s="26">
        <v>40086</v>
      </c>
      <c r="H720" s="37">
        <f ca="1">IF(AND(B720="",NOT(A720="")),VLOOKUP(A720,TaskPlan!A:M,13,FALSE),"")</f>
        <v>40099</v>
      </c>
      <c r="I720" s="38" t="str">
        <f ca="1">IF(AND(B720="",NOT(A720="")),VLOOKUP(A720,TaskPlan!A:M,12,FALSE),"")</f>
        <v>Closed</v>
      </c>
      <c r="J720" s="39" t="str">
        <f ca="1">IF(AND(B720="",NOT(A720="")),VLOOKUP(A720,TaskPlan!A:L,2,FALSE),"")</f>
        <v>Pramendra</v>
      </c>
      <c r="K720" s="39" t="str">
        <f ca="1">IF(AND(B720="",NOT(A720="")),IF(NOT(LEFT(VLOOKUP(A720,TaskPlan!A:L,3,FALSE),1) = "0"),VLOOKUP(A720,TaskPlan!A:L,3,FALSE),""),"")</f>
        <v/>
      </c>
      <c r="L720" s="55" t="str">
        <f ca="1">IF(AND(B720="",NOT(A720="")),IF(NOT(LEFT(VLOOKUP(A720,TaskPlan!A:L,3,FALSE),1) = "0"),VLOOKUP(A720,TaskPlan!A:M,4,FALSE),""),"")</f>
        <v/>
      </c>
      <c r="M720" s="58" t="str">
        <f ca="1">IF(B720=".",1,IF(AND(B720="",NOT(A720="")),IF(VLOOKUP(A720,TaskPlan!A:L,5,FALSE)&gt;0,VLOOKUP(A720,TaskPlan!A:L,5,FALSE),""),""))</f>
        <v/>
      </c>
      <c r="N720" s="1" t="str">
        <f ca="1">IF(ISNA(VLOOKUP(A720,Projects!B:B,1,FALSE)),"","Yes")</f>
        <v/>
      </c>
    </row>
    <row r="721" spans="1:14" hidden="1" outlineLevel="1">
      <c r="A721" s="43" t="s">
        <v>1687</v>
      </c>
      <c r="C721" s="44" t="s">
        <v>875</v>
      </c>
      <c r="D721" s="7" t="s">
        <v>11</v>
      </c>
      <c r="E721" s="26">
        <v>40210</v>
      </c>
      <c r="F721" s="25">
        <v>3</v>
      </c>
      <c r="G721" s="25" t="s">
        <v>1098</v>
      </c>
      <c r="H721" s="37">
        <f ca="1">IF(AND(B721="",NOT(A721="")),VLOOKUP(A721,TaskPlan!A:M,13,FALSE),"")</f>
        <v>40283</v>
      </c>
      <c r="I721" s="38" t="str">
        <f ca="1">IF(AND(B721="",NOT(A721="")),VLOOKUP(A721,TaskPlan!A:M,12,FALSE),"")</f>
        <v>Not Started</v>
      </c>
      <c r="J721" s="39" t="str">
        <f ca="1">IF(AND(B721="",NOT(A721="")),VLOOKUP(A721,TaskPlan!A:L,2,FALSE),"")</f>
        <v>Unassigned</v>
      </c>
      <c r="K721" s="39" t="str">
        <f ca="1">IF(AND(B721="",NOT(A721="")),IF(NOT(LEFT(VLOOKUP(A721,TaskPlan!A:L,3,FALSE),1) = "0"),VLOOKUP(A721,TaskPlan!A:L,3,FALSE),""),"")</f>
        <v>3-MED</v>
      </c>
      <c r="L721" s="55">
        <f ca="1">IF(AND(B721="",NOT(A721="")),IF(NOT(LEFT(VLOOKUP(A721,TaskPlan!A:L,3,FALSE),1) = "0"),VLOOKUP(A721,TaskPlan!A:M,4,FALSE),""),"")</f>
        <v>0</v>
      </c>
      <c r="M721" s="58" t="str">
        <f ca="1">IF(B721=".",1,IF(AND(B721="",NOT(A721="")),IF(VLOOKUP(A721,TaskPlan!A:L,5,FALSE)&gt;0,VLOOKUP(A721,TaskPlan!A:L,5,FALSE),""),""))</f>
        <v/>
      </c>
      <c r="N721" s="1" t="str">
        <f ca="1">IF(ISNA(VLOOKUP(A721,Projects!B:B,1,FALSE)),"","Yes")</f>
        <v/>
      </c>
    </row>
    <row r="722" spans="1:14" hidden="1" outlineLevel="1">
      <c r="A722" s="43" t="s">
        <v>1964</v>
      </c>
      <c r="C722" s="44" t="s">
        <v>1688</v>
      </c>
      <c r="D722" s="7" t="s">
        <v>315</v>
      </c>
      <c r="E722" s="26">
        <v>40490</v>
      </c>
      <c r="F722" s="25">
        <v>2</v>
      </c>
      <c r="G722" s="25" t="s">
        <v>1098</v>
      </c>
      <c r="H722" s="37">
        <f ca="1">IF(AND(B722="",NOT(A722="")),VLOOKUP(A722,TaskPlan!A:M,13,FALSE),"")</f>
        <v>40498</v>
      </c>
      <c r="I722" s="38" t="str">
        <f ca="1">IF(AND(B722="",NOT(A722="")),VLOOKUP(A722,TaskPlan!A:M,12,FALSE),"")</f>
        <v>Closed</v>
      </c>
      <c r="J722" s="39" t="str">
        <f ca="1">IF(AND(B722="",NOT(A722="")),VLOOKUP(A722,TaskPlan!A:L,2,FALSE),"")</f>
        <v>Ruth</v>
      </c>
      <c r="K722" s="39" t="str">
        <f ca="1">IF(AND(B722="",NOT(A722="")),IF(NOT(LEFT(VLOOKUP(A722,TaskPlan!A:L,3,FALSE),1) = "0"),VLOOKUP(A722,TaskPlan!A:L,3,FALSE),""),"")</f>
        <v/>
      </c>
      <c r="L722" s="55" t="str">
        <f ca="1">IF(AND(B722="",NOT(A722="")),IF(NOT(LEFT(VLOOKUP(A722,TaskPlan!A:L,3,FALSE),1) = "0"),VLOOKUP(A722,TaskPlan!A:M,4,FALSE),""),"")</f>
        <v/>
      </c>
      <c r="M722" s="58" t="str">
        <f ca="1">IF(B722=".",1,IF(AND(B722="",NOT(A722="")),IF(VLOOKUP(A722,TaskPlan!A:L,5,FALSE)&gt;0,VLOOKUP(A722,TaskPlan!A:L,5,FALSE),""),""))</f>
        <v/>
      </c>
      <c r="N722" s="1" t="str">
        <f ca="1">IF(ISNA(VLOOKUP(A722,Projects!B:B,1,FALSE)),"","Yes")</f>
        <v/>
      </c>
    </row>
    <row r="723" spans="1:14" hidden="1" outlineLevel="1">
      <c r="A723" s="46" t="s">
        <v>493</v>
      </c>
      <c r="B723" s="1" t="s">
        <v>15</v>
      </c>
      <c r="C723" s="45" t="s">
        <v>494</v>
      </c>
      <c r="D723" s="7"/>
      <c r="E723" s="26"/>
      <c r="H723" s="37" t="str">
        <f ca="1">IF(AND(B723="",NOT(A723="")),VLOOKUP(A723,TaskPlan!A:M,13,FALSE),"")</f>
        <v/>
      </c>
      <c r="I723" s="38" t="str">
        <f ca="1">IF(AND(B723="",NOT(A723="")),VLOOKUP(A723,TaskPlan!A:M,12,FALSE),"")</f>
        <v/>
      </c>
      <c r="J723" s="39" t="str">
        <f ca="1">IF(AND(B723="",NOT(A723="")),VLOOKUP(A723,TaskPlan!A:L,2,FALSE),"")</f>
        <v/>
      </c>
      <c r="K723" s="39" t="str">
        <f ca="1">IF(AND(B723="",NOT(A723="")),IF(NOT(LEFT(VLOOKUP(A723,TaskPlan!A:L,3,FALSE),1) = "0"),VLOOKUP(A723,TaskPlan!A:L,3,FALSE),""),"")</f>
        <v/>
      </c>
      <c r="L723" s="55" t="str">
        <f ca="1">IF(AND(B723="",NOT(A723="")),IF(NOT(LEFT(VLOOKUP(A723,TaskPlan!A:L,3,FALSE),1) = "0"),VLOOKUP(A723,TaskPlan!A:M,4,FALSE),""),"")</f>
        <v/>
      </c>
      <c r="N723" s="1" t="str">
        <f ca="1">IF(ISNA(VLOOKUP(A723,Projects!B:B,1,FALSE)),"","Yes")</f>
        <v/>
      </c>
    </row>
    <row r="724" spans="1:14" hidden="1" outlineLevel="1">
      <c r="A724" s="43" t="s">
        <v>495</v>
      </c>
      <c r="C724" s="44" t="s">
        <v>500</v>
      </c>
      <c r="D724" s="7" t="s">
        <v>11</v>
      </c>
      <c r="E724" s="26">
        <v>40086</v>
      </c>
      <c r="F724" s="25">
        <v>4</v>
      </c>
      <c r="H724" s="37">
        <f ca="1">IF(AND(B724="",NOT(A724="")),VLOOKUP(A724,TaskPlan!A:M,13,FALSE),"")</f>
        <v>40184</v>
      </c>
      <c r="I724" s="38" t="str">
        <f ca="1">IF(AND(B724="",NOT(A724="")),VLOOKUP(A724,TaskPlan!A:M,12,FALSE),"")</f>
        <v>Closed</v>
      </c>
      <c r="J724" s="39" t="str">
        <f ca="1">IF(AND(B724="",NOT(A724="")),VLOOKUP(A724,TaskPlan!A:L,2,FALSE),"")</f>
        <v>Neil</v>
      </c>
      <c r="K724" s="39" t="str">
        <f ca="1">IF(AND(B724="",NOT(A724="")),IF(NOT(LEFT(VLOOKUP(A724,TaskPlan!A:L,3,FALSE),1) = "0"),VLOOKUP(A724,TaskPlan!A:L,3,FALSE),""),"")</f>
        <v/>
      </c>
      <c r="L724" s="55" t="str">
        <f ca="1">IF(AND(B724="",NOT(A724="")),IF(NOT(LEFT(VLOOKUP(A724,TaskPlan!A:L,3,FALSE),1) = "0"),VLOOKUP(A724,TaskPlan!A:M,4,FALSE),""),"")</f>
        <v/>
      </c>
      <c r="M724" s="58" t="str">
        <f ca="1">IF(B724=".",1,IF(AND(B724="",NOT(A724="")),IF(VLOOKUP(A724,TaskPlan!A:L,5,FALSE)&gt;0,VLOOKUP(A724,TaskPlan!A:L,5,FALSE),""),""))</f>
        <v/>
      </c>
      <c r="N724" s="1" t="str">
        <f ca="1">IF(ISNA(VLOOKUP(A724,Projects!B:B,1,FALSE)),"","Yes")</f>
        <v/>
      </c>
    </row>
    <row r="725" spans="1:14" hidden="1" outlineLevel="1">
      <c r="A725" s="43" t="s">
        <v>496</v>
      </c>
      <c r="C725" s="44" t="s">
        <v>623</v>
      </c>
      <c r="D725" s="7" t="s">
        <v>45</v>
      </c>
      <c r="E725" s="26">
        <v>40109</v>
      </c>
      <c r="F725" s="25">
        <v>2</v>
      </c>
      <c r="H725" s="37">
        <f ca="1">IF(AND(B725="",NOT(A725="")),VLOOKUP(A725,TaskPlan!A:M,13,FALSE),"")</f>
        <v>40157</v>
      </c>
      <c r="I725" s="38" t="str">
        <f ca="1">IF(AND(B725="",NOT(A725="")),VLOOKUP(A725,TaskPlan!A:M,12,FALSE),"")</f>
        <v>Closed</v>
      </c>
      <c r="J725" s="39" t="str">
        <f ca="1">IF(AND(B725="",NOT(A725="")),VLOOKUP(A725,TaskPlan!A:L,2,FALSE),"")</f>
        <v>Neil</v>
      </c>
      <c r="K725" s="39" t="str">
        <f ca="1">IF(AND(B725="",NOT(A725="")),IF(NOT(LEFT(VLOOKUP(A725,TaskPlan!A:L,3,FALSE),1) = "0"),VLOOKUP(A725,TaskPlan!A:L,3,FALSE),""),"")</f>
        <v/>
      </c>
      <c r="L725" s="55" t="str">
        <f ca="1">IF(AND(B725="",NOT(A725="")),IF(NOT(LEFT(VLOOKUP(A725,TaskPlan!A:L,3,FALSE),1) = "0"),VLOOKUP(A725,TaskPlan!A:M,4,FALSE),""),"")</f>
        <v/>
      </c>
      <c r="M725" s="58" t="str">
        <f ca="1">IF(B725=".",1,IF(AND(B725="",NOT(A725="")),IF(VLOOKUP(A725,TaskPlan!A:L,5,FALSE)&gt;0,VLOOKUP(A725,TaskPlan!A:L,5,FALSE),""),""))</f>
        <v/>
      </c>
      <c r="N725" s="1" t="str">
        <f ca="1">IF(ISNA(VLOOKUP(A725,Projects!B:B,1,FALSE)),"","Yes")</f>
        <v/>
      </c>
    </row>
    <row r="726" spans="1:14" hidden="1" outlineLevel="1">
      <c r="A726" s="43" t="s">
        <v>497</v>
      </c>
      <c r="C726" s="44" t="s">
        <v>502</v>
      </c>
      <c r="D726" s="7" t="s">
        <v>45</v>
      </c>
      <c r="E726" s="26">
        <v>40086</v>
      </c>
      <c r="F726" s="25">
        <v>2</v>
      </c>
      <c r="H726" s="37">
        <f ca="1">IF(AND(B726="",NOT(A726="")),VLOOKUP(A726,TaskPlan!A:M,13,FALSE),"")</f>
        <v>40157</v>
      </c>
      <c r="I726" s="38" t="str">
        <f ca="1">IF(AND(B726="",NOT(A726="")),VLOOKUP(A726,TaskPlan!A:M,12,FALSE),"")</f>
        <v>Closed</v>
      </c>
      <c r="J726" s="39" t="str">
        <f ca="1">IF(AND(B726="",NOT(A726="")),VLOOKUP(A726,TaskPlan!A:L,2,FALSE),"")</f>
        <v>Neil</v>
      </c>
      <c r="K726" s="39" t="str">
        <f ca="1">IF(AND(B726="",NOT(A726="")),IF(NOT(LEFT(VLOOKUP(A726,TaskPlan!A:L,3,FALSE),1) = "0"),VLOOKUP(A726,TaskPlan!A:L,3,FALSE),""),"")</f>
        <v/>
      </c>
      <c r="L726" s="55" t="str">
        <f ca="1">IF(AND(B726="",NOT(A726="")),IF(NOT(LEFT(VLOOKUP(A726,TaskPlan!A:L,3,FALSE),1) = "0"),VLOOKUP(A726,TaskPlan!A:M,4,FALSE),""),"")</f>
        <v/>
      </c>
      <c r="M726" s="58" t="str">
        <f ca="1">IF(B726=".",1,IF(AND(B726="",NOT(A726="")),IF(VLOOKUP(A726,TaskPlan!A:L,5,FALSE)&gt;0,VLOOKUP(A726,TaskPlan!A:L,5,FALSE),""),""))</f>
        <v/>
      </c>
      <c r="N726" s="1" t="str">
        <f ca="1">IF(ISNA(VLOOKUP(A726,Projects!B:B,1,FALSE)),"","Yes")</f>
        <v/>
      </c>
    </row>
    <row r="727" spans="1:14" hidden="1" outlineLevel="1">
      <c r="A727" s="43" t="s">
        <v>498</v>
      </c>
      <c r="C727" s="44" t="s">
        <v>747</v>
      </c>
      <c r="D727" s="7" t="s">
        <v>45</v>
      </c>
      <c r="E727" s="26">
        <v>40086</v>
      </c>
      <c r="F727" s="25">
        <v>4</v>
      </c>
      <c r="G727" s="28" t="s">
        <v>1099</v>
      </c>
      <c r="H727" s="37">
        <f ca="1">IF(AND(B727="",NOT(A727="")),VLOOKUP(A727,TaskPlan!A:M,13,FALSE),"")</f>
        <v>40218</v>
      </c>
      <c r="I727" s="38" t="str">
        <f ca="1">IF(AND(B727="",NOT(A727="")),VLOOKUP(A727,TaskPlan!A:M,12,FALSE),"")</f>
        <v>Not Started</v>
      </c>
      <c r="J727" s="39" t="str">
        <f ca="1">IF(AND(B727="",NOT(A727="")),VLOOKUP(A727,TaskPlan!A:L,2,FALSE),"")</f>
        <v>Unassigned</v>
      </c>
      <c r="K727" s="39" t="str">
        <f ca="1">IF(AND(B727="",NOT(A727="")),IF(NOT(LEFT(VLOOKUP(A727,TaskPlan!A:L,3,FALSE),1) = "0"),VLOOKUP(A727,TaskPlan!A:L,3,FALSE),""),"")</f>
        <v>1-LOW</v>
      </c>
      <c r="L727" s="55">
        <f ca="1">IF(AND(B727="",NOT(A727="")),IF(NOT(LEFT(VLOOKUP(A727,TaskPlan!A:L,3,FALSE),1) = "0"),VLOOKUP(A727,TaskPlan!A:M,4,FALSE),""),"")</f>
        <v>0</v>
      </c>
      <c r="M727" s="58" t="str">
        <f ca="1">IF(B727=".",1,IF(AND(B727="",NOT(A727="")),IF(VLOOKUP(A727,TaskPlan!A:L,5,FALSE)&gt;0,VLOOKUP(A727,TaskPlan!A:L,5,FALSE),""),""))</f>
        <v/>
      </c>
      <c r="N727" s="1" t="str">
        <f ca="1">IF(ISNA(VLOOKUP(A727,Projects!B:B,1,FALSE)),"","Yes")</f>
        <v/>
      </c>
    </row>
    <row r="728" spans="1:14" hidden="1" outlineLevel="1">
      <c r="A728" s="43" t="s">
        <v>499</v>
      </c>
      <c r="C728" s="44" t="s">
        <v>503</v>
      </c>
      <c r="D728" s="7" t="s">
        <v>11</v>
      </c>
      <c r="E728" s="26">
        <v>40086</v>
      </c>
      <c r="F728" s="25">
        <v>2</v>
      </c>
      <c r="H728" s="37">
        <f ca="1">IF(AND(B728="",NOT(A728="")),VLOOKUP(A728,TaskPlan!A:M,13,FALSE),"")</f>
        <v>40157</v>
      </c>
      <c r="I728" s="38" t="str">
        <f ca="1">IF(AND(B728="",NOT(A728="")),VLOOKUP(A728,TaskPlan!A:M,12,FALSE),"")</f>
        <v>Closed</v>
      </c>
      <c r="J728" s="39" t="str">
        <f ca="1">IF(AND(B728="",NOT(A728="")),VLOOKUP(A728,TaskPlan!A:L,2,FALSE),"")</f>
        <v>Neil</v>
      </c>
      <c r="K728" s="39" t="str">
        <f ca="1">IF(AND(B728="",NOT(A728="")),IF(NOT(LEFT(VLOOKUP(A728,TaskPlan!A:L,3,FALSE),1) = "0"),VLOOKUP(A728,TaskPlan!A:L,3,FALSE),""),"")</f>
        <v/>
      </c>
      <c r="L728" s="55" t="str">
        <f ca="1">IF(AND(B728="",NOT(A728="")),IF(NOT(LEFT(VLOOKUP(A728,TaskPlan!A:L,3,FALSE),1) = "0"),VLOOKUP(A728,TaskPlan!A:M,4,FALSE),""),"")</f>
        <v/>
      </c>
      <c r="M728" s="58" t="str">
        <f ca="1">IF(B728=".",1,IF(AND(B728="",NOT(A728="")),IF(VLOOKUP(A728,TaskPlan!A:L,5,FALSE)&gt;0,VLOOKUP(A728,TaskPlan!A:L,5,FALSE),""),""))</f>
        <v/>
      </c>
      <c r="N728" s="1" t="str">
        <f ca="1">IF(ISNA(VLOOKUP(A728,Projects!B:B,1,FALSE)),"","Yes")</f>
        <v/>
      </c>
    </row>
    <row r="729" spans="1:14" ht="25.5" hidden="1" outlineLevel="1">
      <c r="A729" s="43" t="s">
        <v>531</v>
      </c>
      <c r="C729" s="44" t="s">
        <v>624</v>
      </c>
      <c r="D729" s="7" t="s">
        <v>532</v>
      </c>
      <c r="E729" s="26">
        <v>40109</v>
      </c>
      <c r="F729" s="25">
        <v>2</v>
      </c>
      <c r="H729" s="37">
        <f ca="1">IF(AND(B729="",NOT(A729="")),VLOOKUP(A729,TaskPlan!A:M,13,FALSE),"")</f>
        <v>40157</v>
      </c>
      <c r="I729" s="38" t="str">
        <f ca="1">IF(AND(B729="",NOT(A729="")),VLOOKUP(A729,TaskPlan!A:M,12,FALSE),"")</f>
        <v>Closed</v>
      </c>
      <c r="J729" s="39" t="str">
        <f ca="1">IF(AND(B729="",NOT(A729="")),VLOOKUP(A729,TaskPlan!A:L,2,FALSE),"")</f>
        <v>Neil</v>
      </c>
      <c r="K729" s="39" t="str">
        <f ca="1">IF(AND(B729="",NOT(A729="")),IF(NOT(LEFT(VLOOKUP(A729,TaskPlan!A:L,3,FALSE),1) = "0"),VLOOKUP(A729,TaskPlan!A:L,3,FALSE),""),"")</f>
        <v/>
      </c>
      <c r="L729" s="55" t="str">
        <f ca="1">IF(AND(B729="",NOT(A729="")),IF(NOT(LEFT(VLOOKUP(A729,TaskPlan!A:L,3,FALSE),1) = "0"),VLOOKUP(A729,TaskPlan!A:M,4,FALSE),""),"")</f>
        <v/>
      </c>
      <c r="M729" s="58" t="str">
        <f ca="1">IF(B729=".",1,IF(AND(B729="",NOT(A729="")),IF(VLOOKUP(A729,TaskPlan!A:L,5,FALSE)&gt;0,VLOOKUP(A729,TaskPlan!A:L,5,FALSE),""),""))</f>
        <v/>
      </c>
      <c r="N729" s="1" t="str">
        <f ca="1">IF(ISNA(VLOOKUP(A729,Projects!B:B,1,FALSE)),"","Yes")</f>
        <v/>
      </c>
    </row>
    <row r="730" spans="1:14" hidden="1" outlineLevel="1">
      <c r="A730" s="43" t="s">
        <v>1193</v>
      </c>
      <c r="C730" s="44" t="s">
        <v>1194</v>
      </c>
      <c r="D730" s="7" t="s">
        <v>11</v>
      </c>
      <c r="E730" s="26">
        <v>40336</v>
      </c>
      <c r="F730" s="25">
        <v>2</v>
      </c>
      <c r="G730" s="28" t="s">
        <v>1213</v>
      </c>
      <c r="H730" s="37">
        <f ca="1">IF(AND(B730="",NOT(A730="")),VLOOKUP(A730,TaskPlan!A:M,13,FALSE),"")</f>
        <v>40568</v>
      </c>
      <c r="I730" s="38" t="str">
        <f ca="1">IF(AND(B730="",NOT(A730="")),VLOOKUP(A730,TaskPlan!A:M,12,FALSE),"")</f>
        <v>Not Started</v>
      </c>
      <c r="J730" s="39" t="str">
        <f ca="1">IF(AND(B730="",NOT(A730="")),VLOOKUP(A730,TaskPlan!A:L,2,FALSE),"")</f>
        <v>Pramendra</v>
      </c>
      <c r="K730" s="39" t="str">
        <f ca="1">IF(AND(B730="",NOT(A730="")),IF(NOT(LEFT(VLOOKUP(A730,TaskPlan!A:L,3,FALSE),1) = "0"),VLOOKUP(A730,TaskPlan!A:L,3,FALSE),""),"")</f>
        <v>2-LOW</v>
      </c>
      <c r="L730" s="55">
        <f ca="1">IF(AND(B730="",NOT(A730="")),IF(NOT(LEFT(VLOOKUP(A730,TaskPlan!A:L,3,FALSE),1) = "0"),VLOOKUP(A730,TaskPlan!A:M,4,FALSE),""),"")</f>
        <v>0</v>
      </c>
      <c r="N730" s="1" t="str">
        <f ca="1">IF(ISNA(VLOOKUP(A730,Projects!B:B,1,FALSE)),"","Yes")</f>
        <v/>
      </c>
    </row>
    <row r="731" spans="1:14" hidden="1" outlineLevel="1">
      <c r="A731" s="43" t="s">
        <v>510</v>
      </c>
      <c r="B731" s="7" t="s">
        <v>15</v>
      </c>
      <c r="C731" s="45" t="s">
        <v>748</v>
      </c>
      <c r="D731" s="7"/>
      <c r="E731" s="26"/>
      <c r="H731" s="37" t="str">
        <f ca="1">IF(AND(B731="",NOT(A731="")),VLOOKUP(A731,TaskPlan!A:M,13,FALSE),"")</f>
        <v/>
      </c>
      <c r="I731" s="38" t="str">
        <f ca="1">IF(AND(B731="",NOT(A731="")),VLOOKUP(A731,TaskPlan!A:M,12,FALSE),"")</f>
        <v/>
      </c>
      <c r="J731" s="39" t="str">
        <f ca="1">IF(AND(B731="",NOT(A731="")),VLOOKUP(A731,TaskPlan!A:L,2,FALSE),"")</f>
        <v/>
      </c>
      <c r="K731" s="39" t="str">
        <f ca="1">IF(AND(B731="",NOT(A731="")),IF(NOT(LEFT(VLOOKUP(A731,TaskPlan!A:L,3,FALSE),1) = "0"),VLOOKUP(A731,TaskPlan!A:L,3,FALSE),""),"")</f>
        <v/>
      </c>
      <c r="L731" s="55" t="str">
        <f ca="1">IF(AND(B731="",NOT(A731="")),IF(NOT(LEFT(VLOOKUP(A731,TaskPlan!A:L,3,FALSE),1) = "0"),VLOOKUP(A731,TaskPlan!A:M,4,FALSE),""),"")</f>
        <v/>
      </c>
      <c r="M731" s="58">
        <f ca="1">IF(B731=".",1,IF(AND(B731="",NOT(A731="")),IF(VLOOKUP(A731,TaskPlan!A:L,5,FALSE)&gt;0,VLOOKUP(A731,TaskPlan!A:L,5,FALSE),""),""))</f>
        <v>1</v>
      </c>
      <c r="N731" s="1" t="str">
        <f ca="1">IF(ISNA(VLOOKUP(A731,Projects!B:B,1,FALSE)),"","Yes")</f>
        <v/>
      </c>
    </row>
    <row r="732" spans="1:14" hidden="1" outlineLevel="1">
      <c r="A732" s="43" t="s">
        <v>509</v>
      </c>
      <c r="C732" s="44" t="s">
        <v>504</v>
      </c>
      <c r="D732" s="7" t="s">
        <v>326</v>
      </c>
      <c r="E732" s="26">
        <v>40086</v>
      </c>
      <c r="F732" s="25">
        <v>7</v>
      </c>
      <c r="H732" s="37">
        <f ca="1">IF(AND(B732="",NOT(A732="")),VLOOKUP(A732,TaskPlan!A:M,13,FALSE),"")</f>
        <v>40157</v>
      </c>
      <c r="I732" s="38" t="str">
        <f ca="1">IF(AND(B732="",NOT(A732="")),VLOOKUP(A732,TaskPlan!A:M,12,FALSE),"")</f>
        <v>Closed</v>
      </c>
      <c r="J732" s="39" t="str">
        <f ca="1">IF(AND(B732="",NOT(A732="")),VLOOKUP(A732,TaskPlan!A:L,2,FALSE),"")</f>
        <v>Paresh</v>
      </c>
      <c r="K732" s="39" t="str">
        <f ca="1">IF(AND(B732="",NOT(A732="")),IF(NOT(LEFT(VLOOKUP(A732,TaskPlan!A:L,3,FALSE),1) = "0"),VLOOKUP(A732,TaskPlan!A:L,3,FALSE),""),"")</f>
        <v/>
      </c>
      <c r="L732" s="55" t="str">
        <f ca="1">IF(AND(B732="",NOT(A732="")),IF(NOT(LEFT(VLOOKUP(A732,TaskPlan!A:L,3,FALSE),1) = "0"),VLOOKUP(A732,TaskPlan!A:M,4,FALSE),""),"")</f>
        <v/>
      </c>
      <c r="M732" s="58" t="str">
        <f ca="1">IF(B732=".",1,IF(AND(B732="",NOT(A732="")),IF(VLOOKUP(A732,TaskPlan!A:L,5,FALSE)&gt;0,VLOOKUP(A732,TaskPlan!A:L,5,FALSE),""),""))</f>
        <v/>
      </c>
      <c r="N732" s="1" t="str">
        <f ca="1">IF(ISNA(VLOOKUP(A732,Projects!B:B,1,FALSE)),"","Yes")</f>
        <v/>
      </c>
    </row>
    <row r="733" spans="1:14" hidden="1" outlineLevel="1">
      <c r="A733" s="43" t="s">
        <v>511</v>
      </c>
      <c r="C733" s="44" t="s">
        <v>514</v>
      </c>
      <c r="D733" s="7" t="s">
        <v>326</v>
      </c>
      <c r="E733" s="26">
        <v>40086</v>
      </c>
      <c r="F733" s="25">
        <v>7</v>
      </c>
      <c r="G733" s="28" t="s">
        <v>1099</v>
      </c>
      <c r="H733" s="37">
        <f ca="1">IF(AND(B733="",NOT(A733="")),VLOOKUP(A733,TaskPlan!A:M,13,FALSE),"")</f>
        <v>40283</v>
      </c>
      <c r="I733" s="38" t="str">
        <f ca="1">IF(AND(B733="",NOT(A733="")),VLOOKUP(A733,TaskPlan!A:M,12,FALSE),"")</f>
        <v>Not Started</v>
      </c>
      <c r="J733" s="39" t="str">
        <f ca="1">IF(AND(B733="",NOT(A733="")),VLOOKUP(A733,TaskPlan!A:L,2,FALSE),"")</f>
        <v>Unassigned</v>
      </c>
      <c r="K733" s="39" t="str">
        <f ca="1">IF(AND(B733="",NOT(A733="")),IF(NOT(LEFT(VLOOKUP(A733,TaskPlan!A:L,3,FALSE),1) = "0"),VLOOKUP(A733,TaskPlan!A:L,3,FALSE),""),"")</f>
        <v>3-MED</v>
      </c>
      <c r="L733" s="55">
        <f ca="1">IF(AND(B733="",NOT(A733="")),IF(NOT(LEFT(VLOOKUP(A733,TaskPlan!A:L,3,FALSE),1) = "0"),VLOOKUP(A733,TaskPlan!A:M,4,FALSE),""),"")</f>
        <v>0</v>
      </c>
      <c r="M733" s="58" t="str">
        <f ca="1">IF(B733=".",1,IF(AND(B733="",NOT(A733="")),IF(VLOOKUP(A733,TaskPlan!A:L,5,FALSE)&gt;0,VLOOKUP(A733,TaskPlan!A:L,5,FALSE),""),""))</f>
        <v/>
      </c>
      <c r="N733" s="1" t="str">
        <f ca="1">IF(ISNA(VLOOKUP(A733,Projects!B:B,1,FALSE)),"","Yes")</f>
        <v/>
      </c>
    </row>
    <row r="734" spans="1:14" hidden="1" outlineLevel="1">
      <c r="A734" s="43" t="s">
        <v>512</v>
      </c>
      <c r="C734" s="44" t="s">
        <v>515</v>
      </c>
      <c r="D734" s="7" t="s">
        <v>756</v>
      </c>
      <c r="E734" s="26">
        <v>40455</v>
      </c>
      <c r="F734" s="25">
        <v>7</v>
      </c>
      <c r="G734" s="28" t="s">
        <v>1099</v>
      </c>
      <c r="H734" s="37">
        <f ca="1">IF(AND(B734="",NOT(A734="")),VLOOKUP(A734,TaskPlan!A:M,13,FALSE),"")</f>
        <v>40456</v>
      </c>
      <c r="I734" s="38" t="str">
        <f ca="1">IF(AND(B734="",NOT(A734="")),VLOOKUP(A734,TaskPlan!A:M,12,FALSE),"")</f>
        <v>Not Started</v>
      </c>
      <c r="J734" s="39" t="str">
        <f ca="1">IF(AND(B734="",NOT(A734="")),VLOOKUP(A734,TaskPlan!A:L,2,FALSE),"")</f>
        <v>Parth</v>
      </c>
      <c r="K734" s="39" t="str">
        <f ca="1">IF(AND(B734="",NOT(A734="")),IF(NOT(LEFT(VLOOKUP(A734,TaskPlan!A:L,3,FALSE),1) = "0"),VLOOKUP(A734,TaskPlan!A:L,3,FALSE),""),"")</f>
        <v>2-LOW</v>
      </c>
      <c r="L734" s="55">
        <f ca="1">IF(AND(B734="",NOT(A734="")),IF(NOT(LEFT(VLOOKUP(A734,TaskPlan!A:L,3,FALSE),1) = "0"),VLOOKUP(A734,TaskPlan!A:M,4,FALSE),""),"")</f>
        <v>0</v>
      </c>
      <c r="M734" s="58" t="str">
        <f ca="1">IF(B734=".",1,IF(AND(B734="",NOT(A734="")),IF(VLOOKUP(A734,TaskPlan!A:L,5,FALSE)&gt;0,VLOOKUP(A734,TaskPlan!A:L,5,FALSE),""),""))</f>
        <v/>
      </c>
      <c r="N734" s="1" t="str">
        <f ca="1">IF(ISNA(VLOOKUP(A734,Projects!B:B,1,FALSE)),"","Yes")</f>
        <v/>
      </c>
    </row>
    <row r="735" spans="1:14" hidden="1" outlineLevel="1">
      <c r="A735" s="43" t="s">
        <v>513</v>
      </c>
      <c r="C735" s="44" t="s">
        <v>793</v>
      </c>
      <c r="D735" s="7" t="s">
        <v>326</v>
      </c>
      <c r="E735" s="26">
        <v>40157</v>
      </c>
      <c r="F735" s="25">
        <v>7</v>
      </c>
      <c r="H735" s="37">
        <f ca="1">IF(AND(B735="",NOT(A735="")),VLOOKUP(A735,TaskPlan!A:M,13,FALSE),"")</f>
        <v>40252</v>
      </c>
      <c r="I735" s="38" t="str">
        <f ca="1">IF(AND(B735="",NOT(A735="")),VLOOKUP(A735,TaskPlan!A:M,12,FALSE),"")</f>
        <v>Closed</v>
      </c>
      <c r="J735" s="39" t="str">
        <f ca="1">IF(AND(B735="",NOT(A735="")),VLOOKUP(A735,TaskPlan!A:L,2,FALSE),"")</f>
        <v>Paresh</v>
      </c>
      <c r="K735" s="39" t="str">
        <f ca="1">IF(AND(B735="",NOT(A735="")),IF(NOT(LEFT(VLOOKUP(A735,TaskPlan!A:L,3,FALSE),1) = "0"),VLOOKUP(A735,TaskPlan!A:L,3,FALSE),""),"")</f>
        <v/>
      </c>
      <c r="L735" s="55" t="str">
        <f ca="1">IF(AND(B735="",NOT(A735="")),IF(NOT(LEFT(VLOOKUP(A735,TaskPlan!A:L,3,FALSE),1) = "0"),VLOOKUP(A735,TaskPlan!A:M,4,FALSE),""),"")</f>
        <v/>
      </c>
      <c r="M735" s="58" t="str">
        <f ca="1">IF(B735=".",1,IF(AND(B735="",NOT(A735="")),IF(VLOOKUP(A735,TaskPlan!A:L,5,FALSE)&gt;0,VLOOKUP(A735,TaskPlan!A:L,5,FALSE),""),""))</f>
        <v/>
      </c>
      <c r="N735" s="1" t="str">
        <f ca="1">IF(ISNA(VLOOKUP(A735,Projects!B:B,1,FALSE)),"","Yes")</f>
        <v/>
      </c>
    </row>
    <row r="736" spans="1:14" hidden="1" outlineLevel="1">
      <c r="A736" s="43" t="s">
        <v>529</v>
      </c>
      <c r="C736" s="44" t="s">
        <v>530</v>
      </c>
      <c r="D736" s="7" t="s">
        <v>32</v>
      </c>
      <c r="E736" s="26">
        <v>40098</v>
      </c>
      <c r="F736" s="25">
        <v>3</v>
      </c>
      <c r="G736" s="25" t="s">
        <v>1098</v>
      </c>
      <c r="H736" s="37">
        <f ca="1">IF(AND(B736="",NOT(A736="")),VLOOKUP(A736,TaskPlan!A:M,13,FALSE),"")</f>
        <v>40239</v>
      </c>
      <c r="I736" s="38" t="str">
        <f ca="1">IF(AND(B736="",NOT(A736="")),VLOOKUP(A736,TaskPlan!A:M,12,FALSE),"")</f>
        <v>Not Started</v>
      </c>
      <c r="J736" s="39" t="str">
        <f ca="1">IF(AND(B736="",NOT(A736="")),VLOOKUP(A736,TaskPlan!A:L,2,FALSE),"")</f>
        <v>Unassigned</v>
      </c>
      <c r="K736" s="39" t="str">
        <f ca="1">IF(AND(B736="",NOT(A736="")),IF(NOT(LEFT(VLOOKUP(A736,TaskPlan!A:L,3,FALSE),1) = "0"),VLOOKUP(A736,TaskPlan!A:L,3,FALSE),""),"")</f>
        <v>1-LOW</v>
      </c>
      <c r="L736" s="55">
        <f ca="1">IF(AND(B736="",NOT(A736="")),IF(NOT(LEFT(VLOOKUP(A736,TaskPlan!A:L,3,FALSE),1) = "0"),VLOOKUP(A736,TaskPlan!A:M,4,FALSE),""),"")</f>
        <v>0</v>
      </c>
      <c r="M736" s="58" t="str">
        <f ca="1">IF(B736=".",1,IF(AND(B736="",NOT(A736="")),IF(VLOOKUP(A736,TaskPlan!A:L,5,FALSE)&gt;0,VLOOKUP(A736,TaskPlan!A:L,5,FALSE),""),""))</f>
        <v/>
      </c>
      <c r="N736" s="1" t="str">
        <f ca="1">IF(ISNA(VLOOKUP(A736,Projects!B:B,1,FALSE)),"","Yes")</f>
        <v/>
      </c>
    </row>
    <row r="737" spans="1:14" hidden="1" outlineLevel="1">
      <c r="A737" s="43" t="s">
        <v>785</v>
      </c>
      <c r="C737" s="44" t="s">
        <v>788</v>
      </c>
      <c r="D737" s="7" t="s">
        <v>315</v>
      </c>
      <c r="E737" s="26">
        <v>40157</v>
      </c>
      <c r="F737" s="25">
        <v>1</v>
      </c>
      <c r="H737" s="37">
        <f ca="1">IF(AND(B737="",NOT(A737="")),VLOOKUP(A737,TaskPlan!A:M,13,FALSE),"")</f>
        <v>40246</v>
      </c>
      <c r="I737" s="38" t="str">
        <f ca="1">IF(AND(B737="",NOT(A737="")),VLOOKUP(A737,TaskPlan!A:M,12,FALSE),"")</f>
        <v>Closed</v>
      </c>
      <c r="J737" s="39" t="str">
        <f ca="1">IF(AND(B737="",NOT(A737="")),VLOOKUP(A737,TaskPlan!A:L,2,FALSE),"")</f>
        <v>Paresh</v>
      </c>
      <c r="K737" s="39" t="str">
        <f ca="1">IF(AND(B737="",NOT(A737="")),IF(NOT(LEFT(VLOOKUP(A737,TaskPlan!A:L,3,FALSE),1) = "0"),VLOOKUP(A737,TaskPlan!A:L,3,FALSE),""),"")</f>
        <v/>
      </c>
      <c r="L737" s="55" t="str">
        <f ca="1">IF(AND(B737="",NOT(A737="")),IF(NOT(LEFT(VLOOKUP(A737,TaskPlan!A:L,3,FALSE),1) = "0"),VLOOKUP(A737,TaskPlan!A:M,4,FALSE),""),"")</f>
        <v/>
      </c>
      <c r="M737" s="58" t="str">
        <f ca="1">IF(B737=".",1,IF(AND(B737="",NOT(A737="")),IF(VLOOKUP(A737,TaskPlan!A:L,5,FALSE)&gt;0,VLOOKUP(A737,TaskPlan!A:L,5,FALSE),""),""))</f>
        <v/>
      </c>
      <c r="N737" s="1" t="str">
        <f ca="1">IF(ISNA(VLOOKUP(A737,Projects!B:B,1,FALSE)),"","Yes")</f>
        <v/>
      </c>
    </row>
    <row r="738" spans="1:14" hidden="1" outlineLevel="1">
      <c r="A738" s="43" t="s">
        <v>787</v>
      </c>
      <c r="C738" s="44" t="s">
        <v>786</v>
      </c>
      <c r="D738" s="7" t="s">
        <v>11</v>
      </c>
      <c r="E738" s="26">
        <v>40157</v>
      </c>
      <c r="F738" s="25">
        <v>2</v>
      </c>
      <c r="H738" s="37">
        <f ca="1">IF(AND(B738="",NOT(A738="")),VLOOKUP(A738,TaskPlan!A:M,13,FALSE),"")</f>
        <v>40247</v>
      </c>
      <c r="I738" s="38" t="str">
        <f ca="1">IF(AND(B738="",NOT(A738="")),VLOOKUP(A738,TaskPlan!A:M,12,FALSE),"")</f>
        <v>Closed</v>
      </c>
      <c r="J738" s="39" t="str">
        <f ca="1">IF(AND(B738="",NOT(A738="")),VLOOKUP(A738,TaskPlan!A:L,2,FALSE),"")</f>
        <v>Paresh</v>
      </c>
      <c r="K738" s="39" t="str">
        <f ca="1">IF(AND(B738="",NOT(A738="")),IF(NOT(LEFT(VLOOKUP(A738,TaskPlan!A:L,3,FALSE),1) = "0"),VLOOKUP(A738,TaskPlan!A:L,3,FALSE),""),"")</f>
        <v/>
      </c>
      <c r="L738" s="55" t="str">
        <f ca="1">IF(AND(B738="",NOT(A738="")),IF(NOT(LEFT(VLOOKUP(A738,TaskPlan!A:L,3,FALSE),1) = "0"),VLOOKUP(A738,TaskPlan!A:M,4,FALSE),""),"")</f>
        <v/>
      </c>
      <c r="M738" s="58" t="str">
        <f ca="1">IF(B738=".",1,IF(AND(B738="",NOT(A738="")),IF(VLOOKUP(A738,TaskPlan!A:L,5,FALSE)&gt;0,VLOOKUP(A738,TaskPlan!A:L,5,FALSE),""),""))</f>
        <v/>
      </c>
      <c r="N738" s="1" t="str">
        <f ca="1">IF(ISNA(VLOOKUP(A738,Projects!B:B,1,FALSE)),"","Yes")</f>
        <v/>
      </c>
    </row>
    <row r="739" spans="1:14" hidden="1" outlineLevel="1">
      <c r="A739" s="43" t="s">
        <v>1278</v>
      </c>
      <c r="C739" s="44" t="s">
        <v>1279</v>
      </c>
      <c r="D739" s="7" t="s">
        <v>37</v>
      </c>
      <c r="E739" s="26">
        <v>40353</v>
      </c>
      <c r="F739" s="25">
        <v>1</v>
      </c>
      <c r="G739" s="25" t="s">
        <v>1213</v>
      </c>
      <c r="H739" s="37">
        <f ca="1">IF(AND(B739="",NOT(A739="")),VLOOKUP(A739,TaskPlan!A:M,13,FALSE),"")</f>
        <v>40400</v>
      </c>
      <c r="I739" s="38" t="str">
        <f ca="1">IF(AND(B739="",NOT(A739="")),VLOOKUP(A739,TaskPlan!A:M,12,FALSE),"")</f>
        <v>Closed</v>
      </c>
      <c r="J739" s="39" t="str">
        <f ca="1">IF(AND(B739="",NOT(A739="")),VLOOKUP(A739,TaskPlan!A:L,2,FALSE),"")</f>
        <v>Paresh</v>
      </c>
      <c r="K739" s="39" t="str">
        <f ca="1">IF(AND(B739="",NOT(A739="")),IF(NOT(LEFT(VLOOKUP(A739,TaskPlan!A:L,3,FALSE),1) = "0"),VLOOKUP(A739,TaskPlan!A:L,3,FALSE),""),"")</f>
        <v/>
      </c>
      <c r="L739" s="55" t="str">
        <f ca="1">IF(AND(B739="",NOT(A739="")),IF(NOT(LEFT(VLOOKUP(A739,TaskPlan!A:L,3,FALSE),1) = "0"),VLOOKUP(A739,TaskPlan!A:M,4,FALSE),""),"")</f>
        <v/>
      </c>
      <c r="N739" s="1" t="str">
        <f ca="1">IF(ISNA(VLOOKUP(A739,Projects!B:B,1,FALSE)),"","Yes")</f>
        <v>Yes</v>
      </c>
    </row>
    <row r="740" spans="1:14" hidden="1" outlineLevel="1">
      <c r="A740" s="43" t="s">
        <v>1729</v>
      </c>
      <c r="C740" s="44" t="s">
        <v>1731</v>
      </c>
      <c r="D740" s="7" t="s">
        <v>11</v>
      </c>
      <c r="E740" s="26">
        <v>40514</v>
      </c>
      <c r="F740" s="25">
        <v>0.2</v>
      </c>
      <c r="G740" s="25" t="s">
        <v>1213</v>
      </c>
      <c r="H740" s="37">
        <f ca="1">IF(AND(B740="",NOT(A740="")),VLOOKUP(A740,TaskPlan!A:M,13,FALSE),"")</f>
        <v>40246</v>
      </c>
      <c r="I740" s="38" t="str">
        <f ca="1">IF(AND(B740="",NOT(A740="")),VLOOKUP(A740,TaskPlan!A:M,12,FALSE),"")</f>
        <v>Not Started</v>
      </c>
      <c r="J740" s="39" t="str">
        <f ca="1">IF(AND(B740="",NOT(A740="")),VLOOKUP(A740,TaskPlan!A:L,2,FALSE),"")</f>
        <v>Pramendra</v>
      </c>
      <c r="K740" s="39" t="str">
        <f ca="1">IF(AND(B740="",NOT(A740="")),IF(NOT(LEFT(VLOOKUP(A740,TaskPlan!A:L,3,FALSE),1) = "0"),VLOOKUP(A740,TaskPlan!A:L,3,FALSE),""),"")</f>
        <v>4-HIGH</v>
      </c>
      <c r="L740" s="55">
        <f ca="1">IF(AND(B740="",NOT(A740="")),IF(NOT(LEFT(VLOOKUP(A740,TaskPlan!A:L,3,FALSE),1) = "0"),VLOOKUP(A740,TaskPlan!A:M,4,FALSE),""),"")</f>
        <v>0</v>
      </c>
      <c r="N740" s="1" t="str">
        <f ca="1">IF(ISNA(VLOOKUP(A740,Projects!B:B,1,FALSE)),"","Yes")</f>
        <v/>
      </c>
    </row>
    <row r="741" spans="1:14" hidden="1" outlineLevel="1">
      <c r="A741" s="43" t="s">
        <v>1730</v>
      </c>
      <c r="C741" s="44" t="s">
        <v>1732</v>
      </c>
      <c r="D741" s="7" t="s">
        <v>11</v>
      </c>
      <c r="E741" s="26">
        <v>40514</v>
      </c>
      <c r="F741" s="25">
        <v>1</v>
      </c>
      <c r="G741" s="25" t="s">
        <v>1098</v>
      </c>
      <c r="H741" s="37">
        <f ca="1">IF(AND(B741="",NOT(A741="")),VLOOKUP(A741,TaskPlan!A:M,13,FALSE),"")</f>
        <v>40246</v>
      </c>
      <c r="I741" s="38" t="str">
        <f ca="1">IF(AND(B741="",NOT(A741="")),VLOOKUP(A741,TaskPlan!A:M,12,FALSE),"")</f>
        <v>Not Started</v>
      </c>
      <c r="J741" s="39" t="str">
        <f ca="1">IF(AND(B741="",NOT(A741="")),VLOOKUP(A741,TaskPlan!A:L,2,FALSE),"")</f>
        <v>Pramendra</v>
      </c>
      <c r="K741" s="39" t="str">
        <f ca="1">IF(AND(B741="",NOT(A741="")),IF(NOT(LEFT(VLOOKUP(A741,TaskPlan!A:L,3,FALSE),1) = "0"),VLOOKUP(A741,TaskPlan!A:L,3,FALSE),""),"")</f>
        <v>4-HIGH</v>
      </c>
      <c r="L741" s="55">
        <f ca="1">IF(AND(B741="",NOT(A741="")),IF(NOT(LEFT(VLOOKUP(A741,TaskPlan!A:L,3,FALSE),1) = "0"),VLOOKUP(A741,TaskPlan!A:M,4,FALSE),""),"")</f>
        <v>0</v>
      </c>
      <c r="N741" s="1" t="str">
        <f ca="1">IF(ISNA(VLOOKUP(A741,Projects!B:B,1,FALSE)),"","Yes")</f>
        <v/>
      </c>
    </row>
    <row r="742" spans="1:14" hidden="1" outlineLevel="1">
      <c r="A742" s="43" t="s">
        <v>769</v>
      </c>
      <c r="B742" s="7" t="s">
        <v>15</v>
      </c>
      <c r="C742" s="45" t="s">
        <v>770</v>
      </c>
      <c r="D742" s="7"/>
      <c r="E742" s="26"/>
      <c r="H742" s="37" t="str">
        <f ca="1">IF(AND(B742="",NOT(A742="")),VLOOKUP(A742,TaskPlan!A:M,13,FALSE),"")</f>
        <v/>
      </c>
      <c r="I742" s="38" t="str">
        <f ca="1">IF(AND(B742="",NOT(A742="")),VLOOKUP(A742,TaskPlan!A:M,12,FALSE),"")</f>
        <v/>
      </c>
      <c r="L742" s="55" t="str">
        <f ca="1">IF(AND(B742="",NOT(A742="")),IF(NOT(LEFT(VLOOKUP(A742,TaskPlan!A:L,3,FALSE),1) = "0"),VLOOKUP(A742,TaskPlan!A:M,4,FALSE),""),"")</f>
        <v/>
      </c>
      <c r="N742" s="1" t="str">
        <f ca="1">IF(ISNA(VLOOKUP(A742,Projects!B:B,1,FALSE)),"","Yes")</f>
        <v/>
      </c>
    </row>
    <row r="743" spans="1:14" hidden="1" outlineLevel="1">
      <c r="A743" s="43" t="s">
        <v>771</v>
      </c>
      <c r="B743" s="7"/>
      <c r="C743" s="44" t="s">
        <v>772</v>
      </c>
      <c r="D743" s="7" t="s">
        <v>315</v>
      </c>
      <c r="E743" s="26">
        <v>40150</v>
      </c>
      <c r="F743" s="25">
        <v>1</v>
      </c>
      <c r="G743" s="28" t="s">
        <v>1099</v>
      </c>
      <c r="H743" s="37">
        <f ca="1">IF(AND(B743="",NOT(A743="")),VLOOKUP(A743,TaskPlan!A:M,13,FALSE),"")</f>
        <v>40218</v>
      </c>
      <c r="I743" s="38" t="str">
        <f ca="1">IF(AND(B743="",NOT(A743="")),VLOOKUP(A743,TaskPlan!A:M,12,FALSE),"")</f>
        <v>Not Started</v>
      </c>
      <c r="J743" s="39" t="str">
        <f ca="1">IF(AND(B743="",NOT(A743="")),VLOOKUP(A743,TaskPlan!A:L,2,FALSE),"")</f>
        <v>Unassigned</v>
      </c>
      <c r="K743" s="39" t="str">
        <f ca="1">IF(AND(B743="",NOT(A743="")),IF(NOT(LEFT(VLOOKUP(A743,TaskPlan!A:L,3,FALSE),1) = "0"),VLOOKUP(A743,TaskPlan!A:L,3,FALSE),""),"")</f>
        <v>2-LOW</v>
      </c>
      <c r="L743" s="55">
        <f ca="1">IF(AND(B743="",NOT(A743="")),IF(NOT(LEFT(VLOOKUP(A743,TaskPlan!A:L,3,FALSE),1) = "0"),VLOOKUP(A743,TaskPlan!A:M,4,FALSE),""),"")</f>
        <v>0</v>
      </c>
      <c r="M743" s="58" t="str">
        <f ca="1">IF(B743=".",1,IF(AND(B743="",NOT(A743="")),IF(VLOOKUP(A743,TaskPlan!A:L,5,FALSE)&gt;0,VLOOKUP(A743,TaskPlan!A:L,5,FALSE),""),""))</f>
        <v/>
      </c>
      <c r="N743" s="1" t="str">
        <f ca="1">IF(ISNA(VLOOKUP(A743,Projects!B:B,1,FALSE)),"","Yes")</f>
        <v/>
      </c>
    </row>
    <row r="744" spans="1:14" hidden="1" outlineLevel="1">
      <c r="A744" s="43" t="s">
        <v>949</v>
      </c>
      <c r="B744" s="7" t="s">
        <v>15</v>
      </c>
      <c r="C744" s="45" t="s">
        <v>950</v>
      </c>
      <c r="D744" s="7"/>
      <c r="E744" s="26"/>
      <c r="H744" s="37" t="str">
        <f ca="1">IF(AND(B744="",NOT(A744="")),VLOOKUP(A744,TaskPlan!A:M,13,FALSE),"")</f>
        <v/>
      </c>
      <c r="I744" s="38" t="str">
        <f ca="1">IF(AND(B744="",NOT(A744="")),VLOOKUP(A744,TaskPlan!A:M,12,FALSE),"")</f>
        <v/>
      </c>
      <c r="L744" s="55" t="str">
        <f ca="1">IF(AND(B744="",NOT(A744="")),IF(NOT(LEFT(VLOOKUP(A744,TaskPlan!A:L,3,FALSE),1) = "0"),VLOOKUP(A744,TaskPlan!A:M,4,FALSE),""),"")</f>
        <v/>
      </c>
      <c r="M744" s="58">
        <f ca="1">IF(B744=".",1,IF(AND(B744="",NOT(A744="")),IF(VLOOKUP(A744,TaskPlan!A:L,5,FALSE)&gt;0,VLOOKUP(A744,TaskPlan!A:L,5,FALSE),""),""))</f>
        <v>1</v>
      </c>
      <c r="N744" s="1" t="str">
        <f ca="1">IF(ISNA(VLOOKUP(A744,Projects!B:B,1,FALSE)),"","Yes")</f>
        <v/>
      </c>
    </row>
    <row r="745" spans="1:14" hidden="1" outlineLevel="1">
      <c r="A745" s="43" t="s">
        <v>951</v>
      </c>
      <c r="B745" s="7"/>
      <c r="C745" s="44" t="s">
        <v>952</v>
      </c>
      <c r="D745" s="7" t="s">
        <v>45</v>
      </c>
      <c r="E745" s="26">
        <v>40240</v>
      </c>
      <c r="F745" s="25">
        <v>2</v>
      </c>
      <c r="H745" s="37">
        <f ca="1">IF(AND(B745="",NOT(A745="")),VLOOKUP(A745,TaskPlan!A:M,13,FALSE),"")</f>
        <v>40240</v>
      </c>
      <c r="I745" s="38" t="str">
        <f ca="1">IF(AND(B745="",NOT(A745="")),VLOOKUP(A745,TaskPlan!A:M,12,FALSE),"")</f>
        <v>Closed</v>
      </c>
      <c r="J745" s="39" t="str">
        <f ca="1">IF(AND(B745="",NOT(A745="")),VLOOKUP(A745,TaskPlan!A:L,2,FALSE),"")</f>
        <v>Pramendra</v>
      </c>
      <c r="K745" s="39" t="str">
        <f ca="1">IF(AND(B745="",NOT(A745="")),IF(NOT(LEFT(VLOOKUP(A745,TaskPlan!A:L,3,FALSE),1) = "0"),VLOOKUP(A745,TaskPlan!A:L,3,FALSE),""),"")</f>
        <v/>
      </c>
      <c r="L745" s="55" t="str">
        <f ca="1">IF(AND(B745="",NOT(A745="")),IF(NOT(LEFT(VLOOKUP(A745,TaskPlan!A:L,3,FALSE),1) = "0"),VLOOKUP(A745,TaskPlan!A:M,4,FALSE),""),"")</f>
        <v/>
      </c>
      <c r="M745" s="58" t="str">
        <f ca="1">IF(B745=".",1,IF(AND(B745="",NOT(A745="")),IF(VLOOKUP(A745,TaskPlan!A:L,5,FALSE)&gt;0,VLOOKUP(A745,TaskPlan!A:L,5,FALSE),""),""))</f>
        <v/>
      </c>
      <c r="N745" s="1" t="str">
        <f ca="1">IF(ISNA(VLOOKUP(A745,Projects!B:B,1,FALSE)),"","Yes")</f>
        <v/>
      </c>
    </row>
    <row r="746" spans="1:14" hidden="1" outlineLevel="1">
      <c r="A746" s="43" t="s">
        <v>1708</v>
      </c>
      <c r="B746" s="7"/>
      <c r="C746" s="44" t="s">
        <v>1709</v>
      </c>
      <c r="D746" s="7" t="s">
        <v>45</v>
      </c>
      <c r="E746" s="26">
        <v>40505</v>
      </c>
      <c r="F746" s="25">
        <v>3</v>
      </c>
      <c r="G746" s="28" t="s">
        <v>1213</v>
      </c>
      <c r="H746" s="37">
        <f ca="1">IF(AND(B746="",NOT(A746="")),VLOOKUP(A746,TaskPlan!A:M,13,FALSE),"")</f>
        <v>40239</v>
      </c>
      <c r="I746" s="38" t="str">
        <f ca="1">IF(AND(B746="",NOT(A746="")),VLOOKUP(A746,TaskPlan!A:M,12,FALSE),"")</f>
        <v>Not Started</v>
      </c>
      <c r="J746" s="39" t="str">
        <f ca="1">IF(AND(B746="",NOT(A746="")),VLOOKUP(A746,TaskPlan!A:L,2,FALSE),"")</f>
        <v>Unassigned</v>
      </c>
      <c r="K746" s="39" t="str">
        <f ca="1">IF(AND(B746="",NOT(A746="")),IF(NOT(LEFT(VLOOKUP(A746,TaskPlan!A:L,3,FALSE),1) = "0"),VLOOKUP(A746,TaskPlan!A:L,3,FALSE),""),"")</f>
        <v>4-HIGH</v>
      </c>
      <c r="L746" s="55">
        <f ca="1">IF(AND(B746="",NOT(A746="")),IF(NOT(LEFT(VLOOKUP(A746,TaskPlan!A:L,3,FALSE),1) = "0"),VLOOKUP(A746,TaskPlan!A:M,4,FALSE),""),"")</f>
        <v>0</v>
      </c>
      <c r="M746" s="58" t="str">
        <f ca="1">IF(B746=".",1,IF(AND(B746="",NOT(A746="")),IF(VLOOKUP(A746,TaskPlan!A:L,5,FALSE)&gt;0,VLOOKUP(A746,TaskPlan!A:L,5,FALSE),""),""))</f>
        <v/>
      </c>
      <c r="N746" s="1" t="str">
        <f ca="1">IF(ISNA(VLOOKUP(A746,Projects!B:B,1,FALSE)),"","Yes")</f>
        <v/>
      </c>
    </row>
    <row r="747" spans="1:14" hidden="1" outlineLevel="1">
      <c r="A747" s="43" t="s">
        <v>1014</v>
      </c>
      <c r="B747" s="7" t="s">
        <v>15</v>
      </c>
      <c r="C747" s="45" t="s">
        <v>1015</v>
      </c>
      <c r="D747" s="7"/>
      <c r="E747" s="26"/>
      <c r="H747" s="37" t="str">
        <f ca="1">IF(AND(B747="",NOT(A747="")),VLOOKUP(A747,TaskPlan!A:M,13,FALSE),"")</f>
        <v/>
      </c>
      <c r="I747" s="38" t="str">
        <f ca="1">IF(AND(B747="",NOT(A747="")),VLOOKUP(A747,TaskPlan!A:M,12,FALSE),"")</f>
        <v/>
      </c>
      <c r="L747" s="55" t="str">
        <f ca="1">IF(AND(B747="",NOT(A747="")),IF(NOT(LEFT(VLOOKUP(A747,TaskPlan!A:L,3,FALSE),1) = "0"),VLOOKUP(A747,TaskPlan!A:M,4,FALSE),""),"")</f>
        <v/>
      </c>
      <c r="N747" s="1" t="str">
        <f ca="1">IF(ISNA(VLOOKUP(A747,Projects!B:B,1,FALSE)),"","Yes")</f>
        <v/>
      </c>
    </row>
    <row r="748" spans="1:14" hidden="1" outlineLevel="1">
      <c r="A748" s="43" t="s">
        <v>1013</v>
      </c>
      <c r="C748" s="44" t="s">
        <v>1018</v>
      </c>
      <c r="D748" s="7" t="s">
        <v>11</v>
      </c>
      <c r="E748" s="26">
        <v>40267</v>
      </c>
      <c r="F748" s="25">
        <v>0.5</v>
      </c>
      <c r="H748" s="37">
        <f ca="1">IF(AND(B748="",NOT(A748="")),VLOOKUP(A748,TaskPlan!A:M,13,FALSE),"")</f>
        <v>40268</v>
      </c>
      <c r="I748" s="38" t="str">
        <f ca="1">IF(AND(B748="",NOT(A748="")),VLOOKUP(A748,TaskPlan!A:M,12,FALSE),"")</f>
        <v>Closed</v>
      </c>
      <c r="J748" s="39" t="str">
        <f ca="1">IF(AND(B748="",NOT(A748="")),VLOOKUP(A748,TaskPlan!A:L,2,FALSE),"")</f>
        <v>Neil</v>
      </c>
      <c r="K748" s="39" t="str">
        <f ca="1">IF(AND(B748="",NOT(A748="")),IF(NOT(LEFT(VLOOKUP(A748,TaskPlan!A:L,3,FALSE),1) = "0"),VLOOKUP(A748,TaskPlan!A:L,3,FALSE),""),"")</f>
        <v/>
      </c>
      <c r="L748" s="55" t="str">
        <f ca="1">IF(AND(B748="",NOT(A748="")),IF(NOT(LEFT(VLOOKUP(A748,TaskPlan!A:L,3,FALSE),1) = "0"),VLOOKUP(A748,TaskPlan!A:M,4,FALSE),""),"")</f>
        <v/>
      </c>
      <c r="M748" s="58" t="str">
        <f ca="1">IF(B748=".",1,IF(AND(B748="",NOT(A748="")),IF(VLOOKUP(A748,TaskPlan!A:L,5,FALSE)&gt;0,VLOOKUP(A748,TaskPlan!A:L,5,FALSE),""),""))</f>
        <v/>
      </c>
      <c r="N748" s="1" t="str">
        <f ca="1">IF(ISNA(VLOOKUP(A748,Projects!B:B,1,FALSE)),"","Yes")</f>
        <v/>
      </c>
    </row>
    <row r="749" spans="1:14" hidden="1" outlineLevel="1">
      <c r="A749" s="43" t="s">
        <v>1017</v>
      </c>
      <c r="C749" s="44" t="s">
        <v>1016</v>
      </c>
      <c r="D749" s="7" t="s">
        <v>11</v>
      </c>
      <c r="E749" s="26">
        <v>40268</v>
      </c>
      <c r="F749" s="25">
        <v>2</v>
      </c>
      <c r="G749" s="28" t="s">
        <v>1213</v>
      </c>
      <c r="H749" s="37">
        <f ca="1">IF(AND(B749="",NOT(A749="")),VLOOKUP(A749,TaskPlan!A:M,13,FALSE),"")</f>
        <v>40296</v>
      </c>
      <c r="I749" s="38" t="str">
        <f ca="1">IF(AND(B749="",NOT(A749="")),VLOOKUP(A749,TaskPlan!A:M,12,FALSE),"")</f>
        <v>Closed</v>
      </c>
      <c r="J749" s="39" t="str">
        <f ca="1">IF(AND(B749="",NOT(A749="")),VLOOKUP(A749,TaskPlan!A:L,2,FALSE),"")</f>
        <v>Pramendra</v>
      </c>
      <c r="K749" s="39" t="str">
        <f ca="1">IF(AND(B749="",NOT(A749="")),IF(NOT(LEFT(VLOOKUP(A749,TaskPlan!A:L,3,FALSE),1) = "0"),VLOOKUP(A749,TaskPlan!A:L,3,FALSE),""),"")</f>
        <v/>
      </c>
      <c r="L749" s="55" t="str">
        <f ca="1">IF(AND(B749="",NOT(A749="")),IF(NOT(LEFT(VLOOKUP(A749,TaskPlan!A:L,3,FALSE),1) = "0"),VLOOKUP(A749,TaskPlan!A:M,4,FALSE),""),"")</f>
        <v/>
      </c>
      <c r="M749" s="58" t="str">
        <f ca="1">IF(B749=".",1,IF(AND(B749="",NOT(A749="")),IF(VLOOKUP(A749,TaskPlan!A:L,5,FALSE)&gt;0,VLOOKUP(A749,TaskPlan!A:L,5,FALSE),""),""))</f>
        <v/>
      </c>
      <c r="N749" s="1" t="str">
        <f ca="1">IF(ISNA(VLOOKUP(A749,Projects!B:B,1,FALSE)),"","Yes")</f>
        <v/>
      </c>
    </row>
    <row r="750" spans="1:14" hidden="1" outlineLevel="1">
      <c r="A750" s="43" t="s">
        <v>1019</v>
      </c>
      <c r="C750" s="44" t="s">
        <v>1022</v>
      </c>
      <c r="D750" s="7" t="s">
        <v>11</v>
      </c>
      <c r="E750" s="26">
        <v>40268</v>
      </c>
      <c r="F750" s="25">
        <v>2</v>
      </c>
      <c r="G750" s="28" t="s">
        <v>1213</v>
      </c>
      <c r="H750" s="37">
        <f ca="1">IF(AND(B750="",NOT(A750="")),VLOOKUP(A750,TaskPlan!A:M,13,FALSE),"")</f>
        <v>40303</v>
      </c>
      <c r="I750" s="38" t="str">
        <f ca="1">IF(AND(B750="",NOT(A750="")),VLOOKUP(A750,TaskPlan!A:M,12,FALSE),"")</f>
        <v>Closed</v>
      </c>
      <c r="J750" s="39" t="str">
        <f ca="1">IF(AND(B750="",NOT(A750="")),VLOOKUP(A750,TaskPlan!A:L,2,FALSE),"")</f>
        <v>Pramendra</v>
      </c>
      <c r="K750" s="39" t="str">
        <f ca="1">IF(AND(B750="",NOT(A750="")),IF(NOT(LEFT(VLOOKUP(A750,TaskPlan!A:L,3,FALSE),1) = "0"),VLOOKUP(A750,TaskPlan!A:L,3,FALSE),""),"")</f>
        <v/>
      </c>
      <c r="L750" s="55" t="str">
        <f ca="1">IF(AND(B750="",NOT(A750="")),IF(NOT(LEFT(VLOOKUP(A750,TaskPlan!A:L,3,FALSE),1) = "0"),VLOOKUP(A750,TaskPlan!A:M,4,FALSE),""),"")</f>
        <v/>
      </c>
      <c r="M750" s="58" t="str">
        <f ca="1">IF(B750=".",1,IF(AND(B750="",NOT(A750="")),IF(VLOOKUP(A750,TaskPlan!A:L,5,FALSE)&gt;0,VLOOKUP(A750,TaskPlan!A:L,5,FALSE),""),""))</f>
        <v/>
      </c>
      <c r="N750" s="1" t="str">
        <f ca="1">IF(ISNA(VLOOKUP(A750,Projects!B:B,1,FALSE)),"","Yes")</f>
        <v/>
      </c>
    </row>
    <row r="751" spans="1:14" hidden="1" outlineLevel="1">
      <c r="A751" s="43" t="s">
        <v>1020</v>
      </c>
      <c r="C751" s="44" t="s">
        <v>1023</v>
      </c>
      <c r="D751" s="7" t="s">
        <v>11</v>
      </c>
      <c r="E751" s="26">
        <v>40268</v>
      </c>
      <c r="F751" s="25">
        <v>2</v>
      </c>
      <c r="G751" s="28" t="s">
        <v>1213</v>
      </c>
      <c r="H751" s="37">
        <f ca="1">IF(AND(B751="",NOT(A751="")),VLOOKUP(A751,TaskPlan!A:M,13,FALSE),"")</f>
        <v>40322</v>
      </c>
      <c r="I751" s="38" t="str">
        <f ca="1">IF(AND(B751="",NOT(A751="")),VLOOKUP(A751,TaskPlan!A:M,12,FALSE),"")</f>
        <v>Closed</v>
      </c>
      <c r="J751" s="39" t="str">
        <f ca="1">IF(AND(B751="",NOT(A751="")),VLOOKUP(A751,TaskPlan!A:L,2,FALSE),"")</f>
        <v>Paresh</v>
      </c>
      <c r="K751" s="39" t="str">
        <f ca="1">IF(AND(B751="",NOT(A751="")),IF(NOT(LEFT(VLOOKUP(A751,TaskPlan!A:L,3,FALSE),1) = "0"),VLOOKUP(A751,TaskPlan!A:L,3,FALSE),""),"")</f>
        <v/>
      </c>
      <c r="L751" s="55" t="str">
        <f ca="1">IF(AND(B751="",NOT(A751="")),IF(NOT(LEFT(VLOOKUP(A751,TaskPlan!A:L,3,FALSE),1) = "0"),VLOOKUP(A751,TaskPlan!A:M,4,FALSE),""),"")</f>
        <v/>
      </c>
      <c r="M751" s="58" t="str">
        <f ca="1">IF(B751=".",1,IF(AND(B751="",NOT(A751="")),IF(VLOOKUP(A751,TaskPlan!A:L,5,FALSE)&gt;0,VLOOKUP(A751,TaskPlan!A:L,5,FALSE),""),""))</f>
        <v/>
      </c>
      <c r="N751" s="1" t="str">
        <f ca="1">IF(ISNA(VLOOKUP(A751,Projects!B:B,1,FALSE)),"","Yes")</f>
        <v/>
      </c>
    </row>
    <row r="752" spans="1:14" hidden="1" outlineLevel="1">
      <c r="A752" s="43" t="s">
        <v>1021</v>
      </c>
      <c r="C752" s="44" t="s">
        <v>1024</v>
      </c>
      <c r="D752" s="7" t="s">
        <v>11</v>
      </c>
      <c r="E752" s="26">
        <v>40268</v>
      </c>
      <c r="F752" s="25">
        <v>2</v>
      </c>
      <c r="G752" s="28" t="s">
        <v>1213</v>
      </c>
      <c r="H752" s="37">
        <f ca="1">IF(AND(B752="",NOT(A752="")),VLOOKUP(A752,TaskPlan!A:M,13,FALSE),"")</f>
        <v>40322</v>
      </c>
      <c r="I752" s="38" t="str">
        <f ca="1">IF(AND(B752="",NOT(A752="")),VLOOKUP(A752,TaskPlan!A:M,12,FALSE),"")</f>
        <v>Closed</v>
      </c>
      <c r="J752" s="39" t="str">
        <f ca="1">IF(AND(B752="",NOT(A752="")),VLOOKUP(A752,TaskPlan!A:L,2,FALSE),"")</f>
        <v>Paresh</v>
      </c>
      <c r="K752" s="39" t="str">
        <f ca="1">IF(AND(B752="",NOT(A752="")),IF(NOT(LEFT(VLOOKUP(A752,TaskPlan!A:L,3,FALSE),1) = "0"),VLOOKUP(A752,TaskPlan!A:L,3,FALSE),""),"")</f>
        <v/>
      </c>
      <c r="L752" s="55" t="str">
        <f ca="1">IF(AND(B752="",NOT(A752="")),IF(NOT(LEFT(VLOOKUP(A752,TaskPlan!A:L,3,FALSE),1) = "0"),VLOOKUP(A752,TaskPlan!A:M,4,FALSE),""),"")</f>
        <v/>
      </c>
      <c r="M752" s="58" t="str">
        <f ca="1">IF(B752=".",1,IF(AND(B752="",NOT(A752="")),IF(VLOOKUP(A752,TaskPlan!A:L,5,FALSE)&gt;0,VLOOKUP(A752,TaskPlan!A:L,5,FALSE),""),""))</f>
        <v/>
      </c>
      <c r="N752" s="1" t="str">
        <f ca="1">IF(ISNA(VLOOKUP(A752,Projects!B:B,1,FALSE)),"","Yes")</f>
        <v/>
      </c>
    </row>
    <row r="753" spans="1:14" hidden="1" outlineLevel="1">
      <c r="A753" s="43" t="s">
        <v>1110</v>
      </c>
      <c r="C753" s="44" t="s">
        <v>1112</v>
      </c>
      <c r="D753" s="7" t="s">
        <v>32</v>
      </c>
      <c r="E753" s="26">
        <v>40303</v>
      </c>
      <c r="F753" s="25">
        <v>2</v>
      </c>
      <c r="G753" s="28" t="s">
        <v>1213</v>
      </c>
      <c r="H753" s="37">
        <f ca="1">IF(AND(B753="",NOT(A753="")),VLOOKUP(A753,TaskPlan!A:M,13,FALSE),"")</f>
        <v>40410</v>
      </c>
      <c r="I753" s="38" t="str">
        <f ca="1">IF(AND(B753="",NOT(A753="")),VLOOKUP(A753,TaskPlan!A:M,12,FALSE),"")</f>
        <v>Not Started</v>
      </c>
      <c r="J753" s="39" t="str">
        <f ca="1">IF(AND(B753="",NOT(A753="")),VLOOKUP(A753,TaskPlan!A:L,2,FALSE),"")</f>
        <v>Ruth</v>
      </c>
      <c r="K753" s="39" t="str">
        <f ca="1">IF(AND(B753="",NOT(A753="")),IF(NOT(LEFT(VLOOKUP(A753,TaskPlan!A:L,3,FALSE),1) = "0"),VLOOKUP(A753,TaskPlan!A:L,3,FALSE),""),"")</f>
        <v>3-MED</v>
      </c>
      <c r="L753" s="55">
        <f ca="1">IF(AND(B753="",NOT(A753="")),IF(NOT(LEFT(VLOOKUP(A753,TaskPlan!A:L,3,FALSE),1) = "0"),VLOOKUP(A753,TaskPlan!A:M,4,FALSE),""),"")</f>
        <v>0</v>
      </c>
      <c r="N753" s="1" t="str">
        <f ca="1">IF(ISNA(VLOOKUP(A753,Projects!B:B,1,FALSE)),"","Yes")</f>
        <v/>
      </c>
    </row>
    <row r="754" spans="1:14" hidden="1" outlineLevel="1">
      <c r="A754" s="43" t="s">
        <v>1111</v>
      </c>
      <c r="C754" s="44" t="s">
        <v>1113</v>
      </c>
      <c r="D754" s="7" t="s">
        <v>32</v>
      </c>
      <c r="E754" s="26">
        <v>40303</v>
      </c>
      <c r="F754" s="25">
        <v>2</v>
      </c>
      <c r="G754" s="28" t="s">
        <v>1213</v>
      </c>
      <c r="H754" s="37">
        <f ca="1">IF(AND(B754="",NOT(A754="")),VLOOKUP(A754,TaskPlan!A:M,13,FALSE),"")</f>
        <v>40410</v>
      </c>
      <c r="I754" s="38" t="str">
        <f ca="1">IF(AND(B754="",NOT(A754="")),VLOOKUP(A754,TaskPlan!A:M,12,FALSE),"")</f>
        <v>Not Started</v>
      </c>
      <c r="J754" s="39" t="str">
        <f ca="1">IF(AND(B754="",NOT(A754="")),VLOOKUP(A754,TaskPlan!A:L,2,FALSE),"")</f>
        <v>Ruth</v>
      </c>
      <c r="K754" s="39" t="str">
        <f ca="1">IF(AND(B754="",NOT(A754="")),IF(NOT(LEFT(VLOOKUP(A754,TaskPlan!A:L,3,FALSE),1) = "0"),VLOOKUP(A754,TaskPlan!A:L,3,FALSE),""),"")</f>
        <v>3-MED</v>
      </c>
      <c r="L754" s="55">
        <f ca="1">IF(AND(B754="",NOT(A754="")),IF(NOT(LEFT(VLOOKUP(A754,TaskPlan!A:L,3,FALSE),1) = "0"),VLOOKUP(A754,TaskPlan!A:M,4,FALSE),""),"")</f>
        <v>0</v>
      </c>
      <c r="N754" s="1" t="str">
        <f ca="1">IF(ISNA(VLOOKUP(A754,Projects!B:B,1,FALSE)),"","Yes")</f>
        <v/>
      </c>
    </row>
    <row r="755" spans="1:14" hidden="1" outlineLevel="1">
      <c r="A755" s="43" t="s">
        <v>1336</v>
      </c>
      <c r="B755" s="1" t="s">
        <v>15</v>
      </c>
      <c r="C755" s="45" t="s">
        <v>1337</v>
      </c>
      <c r="D755" s="7"/>
      <c r="E755" s="26"/>
      <c r="G755" s="28"/>
      <c r="L755" s="55"/>
      <c r="N755" s="1" t="str">
        <f ca="1">IF(ISNA(VLOOKUP(A755,Projects!B:B,1,FALSE)),"","Yes")</f>
        <v/>
      </c>
    </row>
    <row r="756" spans="1:14" ht="25.5" hidden="1" outlineLevel="1">
      <c r="A756" s="43" t="s">
        <v>1338</v>
      </c>
      <c r="C756" s="44" t="s">
        <v>1383</v>
      </c>
      <c r="D756" s="7" t="s">
        <v>45</v>
      </c>
      <c r="E756" s="26">
        <v>40388</v>
      </c>
      <c r="F756" s="25">
        <v>1</v>
      </c>
      <c r="G756" s="28" t="s">
        <v>1099</v>
      </c>
      <c r="H756" s="37">
        <f ca="1">IF(AND(B756="",NOT(A756="")),VLOOKUP(A756,TaskPlan!A:M,13,FALSE),"")</f>
        <v>40364</v>
      </c>
      <c r="I756" s="38" t="str">
        <f ca="1">IF(AND(B756="",NOT(A756="")),VLOOKUP(A756,TaskPlan!A:M,12,FALSE),"")</f>
        <v>Closed</v>
      </c>
      <c r="J756" s="39" t="str">
        <f ca="1">IF(AND(B756="",NOT(A756="")),VLOOKUP(A756,TaskPlan!A:L,2,FALSE),"")</f>
        <v>Neil</v>
      </c>
      <c r="K756" s="39" t="str">
        <f ca="1">IF(AND(B756="",NOT(A756="")),IF(NOT(LEFT(VLOOKUP(A756,TaskPlan!A:L,3,FALSE),1) = "0"),VLOOKUP(A756,TaskPlan!A:L,3,FALSE),""),"")</f>
        <v/>
      </c>
      <c r="L756" s="55" t="str">
        <f ca="1">IF(AND(B756="",NOT(A756="")),IF(NOT(LEFT(VLOOKUP(A756,TaskPlan!A:L,3,FALSE),1) = "0"),VLOOKUP(A756,TaskPlan!A:M,4,FALSE),""),"")</f>
        <v/>
      </c>
      <c r="N756" s="1" t="str">
        <f ca="1">IF(ISNA(VLOOKUP(A756,Projects!B:B,1,FALSE)),"","Yes")</f>
        <v>Yes</v>
      </c>
    </row>
    <row r="757" spans="1:14" hidden="1" outlineLevel="1">
      <c r="A757" s="43" t="s">
        <v>1339</v>
      </c>
      <c r="C757" s="44" t="s">
        <v>1341</v>
      </c>
      <c r="D757" s="7" t="s">
        <v>45</v>
      </c>
      <c r="E757" s="26">
        <v>40364</v>
      </c>
      <c r="F757" s="25">
        <v>1</v>
      </c>
      <c r="G757" s="28" t="s">
        <v>1099</v>
      </c>
      <c r="H757" s="37">
        <f ca="1">IF(AND(B757="",NOT(A757="")),VLOOKUP(A757,TaskPlan!A:M,13,FALSE),"")</f>
        <v>40400</v>
      </c>
      <c r="I757" s="38" t="str">
        <f ca="1">IF(AND(B757="",NOT(A757="")),VLOOKUP(A757,TaskPlan!A:M,12,FALSE),"")</f>
        <v>Not Started</v>
      </c>
      <c r="J757" s="39" t="str">
        <f ca="1">IF(AND(B757="",NOT(A757="")),VLOOKUP(A757,TaskPlan!A:L,2,FALSE),"")</f>
        <v>Unassigned</v>
      </c>
      <c r="K757" s="39" t="str">
        <f ca="1">IF(AND(B757="",NOT(A757="")),IF(NOT(LEFT(VLOOKUP(A757,TaskPlan!A:L,3,FALSE),1) = "0"),VLOOKUP(A757,TaskPlan!A:L,3,FALSE),""),"")</f>
        <v>2-LOW</v>
      </c>
      <c r="L757" s="55">
        <f ca="1">IF(AND(B757="",NOT(A757="")),IF(NOT(LEFT(VLOOKUP(A757,TaskPlan!A:L,3,FALSE),1) = "0"),VLOOKUP(A757,TaskPlan!A:M,4,FALSE),""),"")</f>
        <v>0</v>
      </c>
      <c r="N757" s="1" t="str">
        <f ca="1">IF(ISNA(VLOOKUP(A757,Projects!B:B,1,FALSE)),"","Yes")</f>
        <v>Yes</v>
      </c>
    </row>
    <row r="758" spans="1:14" hidden="1" outlineLevel="1">
      <c r="A758" s="43" t="s">
        <v>1340</v>
      </c>
      <c r="C758" s="44" t="s">
        <v>1342</v>
      </c>
      <c r="D758" s="7" t="s">
        <v>45</v>
      </c>
      <c r="E758" s="26">
        <v>40364</v>
      </c>
      <c r="F758" s="25">
        <v>4</v>
      </c>
      <c r="G758" s="28" t="s">
        <v>1099</v>
      </c>
      <c r="H758" s="37">
        <f ca="1">IF(AND(B758="",NOT(A758="")),VLOOKUP(A758,TaskPlan!A:M,13,FALSE),"")</f>
        <v>40400</v>
      </c>
      <c r="I758" s="38" t="str">
        <f ca="1">IF(AND(B758="",NOT(A758="")),VLOOKUP(A758,TaskPlan!A:M,12,FALSE),"")</f>
        <v>Not Started</v>
      </c>
      <c r="J758" s="39" t="str">
        <f ca="1">IF(AND(B758="",NOT(A758="")),VLOOKUP(A758,TaskPlan!A:L,2,FALSE),"")</f>
        <v>Unassigned</v>
      </c>
      <c r="K758" s="39" t="str">
        <f ca="1">IF(AND(B758="",NOT(A758="")),IF(NOT(LEFT(VLOOKUP(A758,TaskPlan!A:L,3,FALSE),1) = "0"),VLOOKUP(A758,TaskPlan!A:L,3,FALSE),""),"")</f>
        <v>2-LOW</v>
      </c>
      <c r="L758" s="55">
        <f ca="1">IF(AND(B758="",NOT(A758="")),IF(NOT(LEFT(VLOOKUP(A758,TaskPlan!A:L,3,FALSE),1) = "0"),VLOOKUP(A758,TaskPlan!A:M,4,FALSE),""),"")</f>
        <v>0</v>
      </c>
      <c r="N758" s="1" t="str">
        <f ca="1">IF(ISNA(VLOOKUP(A758,Projects!B:B,1,FALSE)),"","Yes")</f>
        <v>Yes</v>
      </c>
    </row>
    <row r="759" spans="1:14" hidden="1" outlineLevel="1">
      <c r="A759" s="43" t="s">
        <v>1343</v>
      </c>
      <c r="C759" s="44" t="s">
        <v>1344</v>
      </c>
      <c r="D759" s="7" t="s">
        <v>45</v>
      </c>
      <c r="E759" s="26">
        <v>40364</v>
      </c>
      <c r="F759" s="25">
        <v>1</v>
      </c>
      <c r="G759" s="28" t="s">
        <v>1099</v>
      </c>
      <c r="H759" s="37">
        <f ca="1">IF(AND(B759="",NOT(A759="")),VLOOKUP(A759,TaskPlan!A:M,13,FALSE),"")</f>
        <v>40364</v>
      </c>
      <c r="I759" s="38" t="str">
        <f ca="1">IF(AND(B759="",NOT(A759="")),VLOOKUP(A759,TaskPlan!A:M,12,FALSE),"")</f>
        <v>Not Started</v>
      </c>
      <c r="J759" s="39" t="str">
        <f ca="1">IF(AND(B759="",NOT(A759="")),VLOOKUP(A759,TaskPlan!A:L,2,FALSE),"")</f>
        <v>Unassigned</v>
      </c>
      <c r="K759" s="39" t="str">
        <f ca="1">IF(AND(B759="",NOT(A759="")),IF(NOT(LEFT(VLOOKUP(A759,TaskPlan!A:L,3,FALSE),1) = "0"),VLOOKUP(A759,TaskPlan!A:L,3,FALSE),""),"")</f>
        <v>3-MED</v>
      </c>
      <c r="L759" s="55">
        <f ca="1">IF(AND(B759="",NOT(A759="")),IF(NOT(LEFT(VLOOKUP(A759,TaskPlan!A:L,3,FALSE),1) = "0"),VLOOKUP(A759,TaskPlan!A:M,4,FALSE),""),"")</f>
        <v>0</v>
      </c>
      <c r="N759" s="1" t="str">
        <f ca="1">IF(ISNA(VLOOKUP(A759,Projects!B:B,1,FALSE)),"","Yes")</f>
        <v>Yes</v>
      </c>
    </row>
    <row r="760" spans="1:14" hidden="1" outlineLevel="1">
      <c r="A760" s="43" t="s">
        <v>1345</v>
      </c>
      <c r="C760" s="44" t="s">
        <v>1346</v>
      </c>
      <c r="D760" s="7" t="s">
        <v>45</v>
      </c>
      <c r="E760" s="26">
        <v>40364</v>
      </c>
      <c r="F760" s="25">
        <v>1</v>
      </c>
      <c r="G760" s="28" t="s">
        <v>1099</v>
      </c>
      <c r="H760" s="37">
        <f ca="1">IF(AND(B760="",NOT(A760="")),VLOOKUP(A760,TaskPlan!A:M,13,FALSE),"")</f>
        <v>40364</v>
      </c>
      <c r="I760" s="38" t="str">
        <f ca="1">IF(AND(B760="",NOT(A760="")),VLOOKUP(A760,TaskPlan!A:M,12,FALSE),"")</f>
        <v>Not Started</v>
      </c>
      <c r="J760" s="39" t="str">
        <f ca="1">IF(AND(B760="",NOT(A760="")),VLOOKUP(A760,TaskPlan!A:L,2,FALSE),"")</f>
        <v>Unassigned</v>
      </c>
      <c r="K760" s="39" t="str">
        <f ca="1">IF(AND(B760="",NOT(A760="")),IF(NOT(LEFT(VLOOKUP(A760,TaskPlan!A:L,3,FALSE),1) = "0"),VLOOKUP(A760,TaskPlan!A:L,3,FALSE),""),"")</f>
        <v>3-MED</v>
      </c>
      <c r="L760" s="55">
        <f ca="1">IF(AND(B760="",NOT(A760="")),IF(NOT(LEFT(VLOOKUP(A760,TaskPlan!A:L,3,FALSE),1) = "0"),VLOOKUP(A760,TaskPlan!A:M,4,FALSE),""),"")</f>
        <v>0</v>
      </c>
      <c r="N760" s="1" t="str">
        <f ca="1">IF(ISNA(VLOOKUP(A760,Projects!B:B,1,FALSE)),"","Yes")</f>
        <v>Yes</v>
      </c>
    </row>
    <row r="761" spans="1:14" hidden="1" outlineLevel="1">
      <c r="A761" s="43" t="s">
        <v>1417</v>
      </c>
      <c r="B761" s="7" t="s">
        <v>15</v>
      </c>
      <c r="C761" s="45" t="s">
        <v>1418</v>
      </c>
      <c r="D761" s="7"/>
      <c r="E761" s="26"/>
      <c r="G761" s="28"/>
      <c r="L761" s="55"/>
    </row>
    <row r="762" spans="1:14" hidden="1" outlineLevel="1">
      <c r="A762" s="43" t="s">
        <v>1419</v>
      </c>
      <c r="C762" s="44" t="s">
        <v>1420</v>
      </c>
      <c r="D762" s="7" t="s">
        <v>11</v>
      </c>
      <c r="E762" s="26">
        <v>40483</v>
      </c>
      <c r="F762" s="25">
        <v>4</v>
      </c>
      <c r="G762" s="28" t="s">
        <v>1099</v>
      </c>
      <c r="H762" s="37">
        <f ca="1">IF(AND(B762="",NOT(A762="")),VLOOKUP(A762,TaskPlan!A:M,13,FALSE),"")</f>
        <v>40483</v>
      </c>
      <c r="I762" s="38" t="str">
        <f ca="1">IF(AND(B762="",NOT(A762="")),VLOOKUP(A762,TaskPlan!A:M,12,FALSE),"")</f>
        <v>Closed</v>
      </c>
      <c r="J762" s="39" t="str">
        <f ca="1">IF(AND(B762="",NOT(A762="")),VLOOKUP(A762,TaskPlan!A:L,2,FALSE),"")</f>
        <v>Sreevani</v>
      </c>
      <c r="K762" s="39" t="str">
        <f ca="1">IF(AND(B762="",NOT(A762="")),IF(NOT(LEFT(VLOOKUP(A762,TaskPlan!A:L,3,FALSE),1) = "0"),VLOOKUP(A762,TaskPlan!A:L,3,FALSE),""),"")</f>
        <v/>
      </c>
      <c r="L762" s="55" t="str">
        <f ca="1">IF(AND(B762="",NOT(A762="")),IF(NOT(LEFT(VLOOKUP(A762,TaskPlan!A:L,3,FALSE),1) = "0"),VLOOKUP(A762,TaskPlan!A:M,4,FALSE),""),"")</f>
        <v/>
      </c>
      <c r="N762" s="1" t="str">
        <f ca="1">IF(ISNA(VLOOKUP(A762,Projects!B:B,1,FALSE)),"","Yes")</f>
        <v>Yes</v>
      </c>
    </row>
    <row r="763" spans="1:14" hidden="1" outlineLevel="1">
      <c r="A763" s="43" t="s">
        <v>1643</v>
      </c>
      <c r="C763" s="44" t="s">
        <v>1646</v>
      </c>
      <c r="D763" s="7" t="s">
        <v>11</v>
      </c>
      <c r="E763" s="26">
        <v>40483</v>
      </c>
      <c r="F763" s="25">
        <v>5</v>
      </c>
      <c r="G763" s="28" t="s">
        <v>1099</v>
      </c>
      <c r="H763" s="37">
        <f ca="1">IF(AND(B763="",NOT(A763="")),VLOOKUP(A763,TaskPlan!A:M,13,FALSE),"")</f>
        <v>40483</v>
      </c>
      <c r="I763" s="38" t="str">
        <f ca="1">IF(AND(B763="",NOT(A763="")),VLOOKUP(A763,TaskPlan!A:M,12,FALSE),"")</f>
        <v>Closed</v>
      </c>
      <c r="J763" s="39" t="str">
        <f ca="1">IF(AND(B763="",NOT(A763="")),VLOOKUP(A763,TaskPlan!A:L,2,FALSE),"")</f>
        <v>Sreevani</v>
      </c>
      <c r="K763" s="39" t="str">
        <f ca="1">IF(AND(B763="",NOT(A763="")),IF(NOT(LEFT(VLOOKUP(A763,TaskPlan!A:L,3,FALSE),1) = "0"),VLOOKUP(A763,TaskPlan!A:L,3,FALSE),""),"")</f>
        <v/>
      </c>
      <c r="L763" s="55" t="str">
        <f ca="1">IF(AND(B763="",NOT(A763="")),IF(NOT(LEFT(VLOOKUP(A763,TaskPlan!A:L,3,FALSE),1) = "0"),VLOOKUP(A763,TaskPlan!A:M,4,FALSE),""),"")</f>
        <v/>
      </c>
      <c r="N763" s="1" t="str">
        <f ca="1">IF(ISNA(VLOOKUP(A763,Projects!B:B,1,FALSE)),"","Yes")</f>
        <v>Yes</v>
      </c>
    </row>
    <row r="764" spans="1:14" hidden="1" outlineLevel="1">
      <c r="A764" s="43" t="s">
        <v>1644</v>
      </c>
      <c r="C764" s="44" t="s">
        <v>1647</v>
      </c>
      <c r="D764" s="7" t="s">
        <v>11</v>
      </c>
      <c r="E764" s="26">
        <v>40483</v>
      </c>
      <c r="F764" s="25">
        <v>1</v>
      </c>
      <c r="G764" s="28" t="s">
        <v>1099</v>
      </c>
      <c r="H764" s="37">
        <f ca="1">IF(AND(B764="",NOT(A764="")),VLOOKUP(A764,TaskPlan!A:M,13,FALSE),"")</f>
        <v>40483</v>
      </c>
      <c r="I764" s="38" t="str">
        <f ca="1">IF(AND(B764="",NOT(A764="")),VLOOKUP(A764,TaskPlan!A:M,12,FALSE),"")</f>
        <v>Closed</v>
      </c>
      <c r="J764" s="39" t="str">
        <f ca="1">IF(AND(B764="",NOT(A764="")),VLOOKUP(A764,TaskPlan!A:L,2,FALSE),"")</f>
        <v>Sreevani</v>
      </c>
      <c r="K764" s="39" t="str">
        <f ca="1">IF(AND(B764="",NOT(A764="")),IF(NOT(LEFT(VLOOKUP(A764,TaskPlan!A:L,3,FALSE),1) = "0"),VLOOKUP(A764,TaskPlan!A:L,3,FALSE),""),"")</f>
        <v/>
      </c>
      <c r="L764" s="55" t="str">
        <f ca="1">IF(AND(B764="",NOT(A764="")),IF(NOT(LEFT(VLOOKUP(A764,TaskPlan!A:L,3,FALSE),1) = "0"),VLOOKUP(A764,TaskPlan!A:M,4,FALSE),""),"")</f>
        <v/>
      </c>
      <c r="N764" s="1" t="str">
        <f ca="1">IF(ISNA(VLOOKUP(A764,Projects!B:B,1,FALSE)),"","Yes")</f>
        <v>Yes</v>
      </c>
    </row>
    <row r="765" spans="1:14" hidden="1" outlineLevel="1">
      <c r="A765" s="43" t="s">
        <v>1650</v>
      </c>
      <c r="C765" s="44" t="s">
        <v>1649</v>
      </c>
      <c r="D765" s="7" t="s">
        <v>11</v>
      </c>
      <c r="E765" s="26">
        <v>40483</v>
      </c>
      <c r="F765" s="25">
        <v>2</v>
      </c>
      <c r="G765" s="28" t="s">
        <v>1099</v>
      </c>
      <c r="H765" s="37">
        <f ca="1">IF(AND(B765="",NOT(A765="")),VLOOKUP(A765,TaskPlan!A:M,13,FALSE),"")</f>
        <v>40553</v>
      </c>
      <c r="I765" s="38" t="str">
        <f ca="1">IF(AND(B765="",NOT(A765="")),VLOOKUP(A765,TaskPlan!A:M,12,FALSE),"")</f>
        <v>Closed</v>
      </c>
      <c r="J765" s="39" t="str">
        <f ca="1">IF(AND(B765="",NOT(A765="")),VLOOKUP(A765,TaskPlan!A:L,2,FALSE),"")</f>
        <v>Sreevani</v>
      </c>
      <c r="K765" s="39" t="str">
        <f ca="1">IF(AND(B765="",NOT(A765="")),IF(NOT(LEFT(VLOOKUP(A765,TaskPlan!A:L,3,FALSE),1) = "0"),VLOOKUP(A765,TaskPlan!A:L,3,FALSE),""),"")</f>
        <v/>
      </c>
      <c r="L765" s="55" t="str">
        <f ca="1">IF(AND(B765="",NOT(A765="")),IF(NOT(LEFT(VLOOKUP(A765,TaskPlan!A:L,3,FALSE),1) = "0"),VLOOKUP(A765,TaskPlan!A:M,4,FALSE),""),"")</f>
        <v/>
      </c>
      <c r="N765" s="1" t="str">
        <f ca="1">IF(ISNA(VLOOKUP(A765,Projects!B:B,1,FALSE)),"","Yes")</f>
        <v>Yes</v>
      </c>
    </row>
    <row r="766" spans="1:14" hidden="1" outlineLevel="1">
      <c r="A766" s="43" t="s">
        <v>1645</v>
      </c>
      <c r="C766" s="44" t="s">
        <v>1648</v>
      </c>
      <c r="D766" s="7" t="s">
        <v>11</v>
      </c>
      <c r="E766" s="26">
        <v>40483</v>
      </c>
      <c r="F766" s="25">
        <v>1</v>
      </c>
      <c r="G766" s="28" t="s">
        <v>1099</v>
      </c>
      <c r="H766" s="37">
        <f ca="1">IF(AND(B766="",NOT(A766="")),VLOOKUP(A766,TaskPlan!A:M,13,FALSE),"")</f>
        <v>40553</v>
      </c>
      <c r="I766" s="38" t="str">
        <f ca="1">IF(AND(B766="",NOT(A766="")),VLOOKUP(A766,TaskPlan!A:M,12,FALSE),"")</f>
        <v>Closed</v>
      </c>
      <c r="J766" s="39" t="str">
        <f ca="1">IF(AND(B766="",NOT(A766="")),VLOOKUP(A766,TaskPlan!A:L,2,FALSE),"")</f>
        <v>Sreevani</v>
      </c>
      <c r="K766" s="39" t="str">
        <f ca="1">IF(AND(B766="",NOT(A766="")),IF(NOT(LEFT(VLOOKUP(A766,TaskPlan!A:L,3,FALSE),1) = "0"),VLOOKUP(A766,TaskPlan!A:L,3,FALSE),""),"")</f>
        <v/>
      </c>
      <c r="L766" s="55" t="str">
        <f ca="1">IF(AND(B766="",NOT(A766="")),IF(NOT(LEFT(VLOOKUP(A766,TaskPlan!A:L,3,FALSE),1) = "0"),VLOOKUP(A766,TaskPlan!A:M,4,FALSE),""),"")</f>
        <v/>
      </c>
      <c r="N766" s="1" t="str">
        <f ca="1">IF(ISNA(VLOOKUP(A766,Projects!B:B,1,FALSE)),"","Yes")</f>
        <v>Yes</v>
      </c>
    </row>
    <row r="767" spans="1:14" collapsed="1">
      <c r="A767" s="43"/>
      <c r="C767" s="45"/>
      <c r="E767" s="26"/>
      <c r="H767" s="37" t="str">
        <f ca="1">IF(AND(B767="",NOT(A767="")),VLOOKUP(A767,TaskPlan!A:M,13,FALSE),"")</f>
        <v/>
      </c>
      <c r="I767" s="38" t="str">
        <f ca="1">IF(AND(B767="",NOT(A767="")),VLOOKUP(A767,TaskPlan!A:M,12,FALSE),"")</f>
        <v/>
      </c>
      <c r="J767" s="39" t="str">
        <f ca="1">IF(AND(B767="",NOT(A767="")),VLOOKUP(A767,TaskPlan!A:L,2,FALSE),"")</f>
        <v/>
      </c>
      <c r="K767" s="39" t="str">
        <f ca="1">IF(AND(B767="",NOT(A767="")),IF(NOT(LEFT(VLOOKUP(A767,TaskPlan!A:L,3,FALSE),1) = "0"),VLOOKUP(A767,TaskPlan!A:L,3,FALSE),""),"")</f>
        <v/>
      </c>
      <c r="L767" s="55" t="str">
        <f ca="1">IF(AND(B767="",NOT(A767="")),IF(NOT(LEFT(VLOOKUP(A767,TaskPlan!A:L,3,FALSE),1) = "0"),VLOOKUP(A767,TaskPlan!A:M,4,FALSE),""),"")</f>
        <v/>
      </c>
      <c r="M767" s="58" t="str">
        <f ca="1">IF(B767=".",1,IF(AND(B767="",NOT(A767="")),IF(VLOOKUP(A767,TaskPlan!A:L,5,FALSE)&gt;0,VLOOKUP(A767,TaskPlan!A:L,5,FALSE),""),""))</f>
        <v/>
      </c>
      <c r="N767" s="1" t="str">
        <f ca="1">IF(ISNA(VLOOKUP(A767,Projects!B:B,1,FALSE)),"","Yes")</f>
        <v/>
      </c>
    </row>
    <row r="768" spans="1:14" ht="15.75">
      <c r="A768" s="43" t="s">
        <v>444</v>
      </c>
      <c r="B768" s="7" t="s">
        <v>15</v>
      </c>
      <c r="C768" s="36" t="s">
        <v>618</v>
      </c>
      <c r="E768" s="26"/>
      <c r="H768" s="37" t="str">
        <f ca="1">IF(AND(B768="",NOT(A768="")),VLOOKUP(A768,TaskPlan!A:M,13,FALSE),"")</f>
        <v/>
      </c>
      <c r="I768" s="38" t="str">
        <f ca="1">IF(AND(B768="",NOT(A768="")),VLOOKUP(A768,TaskPlan!A:M,12,FALSE),"")</f>
        <v/>
      </c>
      <c r="J768" s="39" t="str">
        <f ca="1">IF(AND(B768="",NOT(A768="")),VLOOKUP(A768,TaskPlan!A:L,2,FALSE),"")</f>
        <v/>
      </c>
      <c r="K768" s="39" t="str">
        <f ca="1">IF(AND(B768="",NOT(A768="")),IF(NOT(LEFT(VLOOKUP(A768,TaskPlan!A:L,3,FALSE),1) = "0"),VLOOKUP(A768,TaskPlan!A:L,3,FALSE),""),"")</f>
        <v/>
      </c>
      <c r="L768" s="55" t="str">
        <f ca="1">IF(AND(B768="",NOT(A768="")),IF(NOT(LEFT(VLOOKUP(A768,TaskPlan!A:L,3,FALSE),1) = "0"),VLOOKUP(A768,TaskPlan!A:M,4,FALSE),""),"")</f>
        <v/>
      </c>
      <c r="M768" s="58">
        <f ca="1">IF(B768=".",1,IF(AND(B768="",NOT(A768="")),IF(VLOOKUP(A768,TaskPlan!A:L,5,FALSE)&gt;0,VLOOKUP(A768,TaskPlan!A:L,5,FALSE),""),""))</f>
        <v>1</v>
      </c>
      <c r="N768" s="1" t="str">
        <f ca="1">IF(ISNA(VLOOKUP(A768,Projects!B:B,1,FALSE)),"","Yes")</f>
        <v/>
      </c>
    </row>
    <row r="769" spans="1:14" hidden="1" outlineLevel="1">
      <c r="A769" s="43" t="s">
        <v>619</v>
      </c>
      <c r="B769" s="7"/>
      <c r="C769" s="44" t="s">
        <v>620</v>
      </c>
      <c r="D769" s="7" t="s">
        <v>315</v>
      </c>
      <c r="E769" s="26">
        <v>40107</v>
      </c>
      <c r="F769" s="25">
        <v>3</v>
      </c>
      <c r="H769" s="37">
        <f ca="1">IF(AND(B769="",NOT(A769="")),VLOOKUP(A769,TaskPlan!A:M,13,FALSE),"")</f>
        <v>40150</v>
      </c>
      <c r="I769" s="38" t="str">
        <f ca="1">IF(AND(B769="",NOT(A769="")),VLOOKUP(A769,TaskPlan!A:M,12,FALSE),"")</f>
        <v>Closed</v>
      </c>
      <c r="J769" s="39" t="str">
        <f ca="1">IF(AND(B769="",NOT(A769="")),VLOOKUP(A769,TaskPlan!A:L,2,FALSE),"")</f>
        <v>Paresh</v>
      </c>
      <c r="K769" s="39" t="str">
        <f ca="1">IF(AND(B769="",NOT(A769="")),IF(NOT(LEFT(VLOOKUP(A769,TaskPlan!A:L,3,FALSE),1) = "0"),VLOOKUP(A769,TaskPlan!A:L,3,FALSE),""),"")</f>
        <v/>
      </c>
      <c r="L769" s="55" t="str">
        <f ca="1">IF(AND(B769="",NOT(A769="")),IF(NOT(LEFT(VLOOKUP(A769,TaskPlan!A:L,3,FALSE),1) = "0"),VLOOKUP(A769,TaskPlan!A:M,4,FALSE),""),"")</f>
        <v/>
      </c>
      <c r="M769" s="58" t="str">
        <f ca="1">IF(B769=".",1,IF(AND(B769="",NOT(A769="")),IF(VLOOKUP(A769,TaskPlan!A:L,5,FALSE)&gt;0,VLOOKUP(A769,TaskPlan!A:L,5,FALSE),""),""))</f>
        <v/>
      </c>
      <c r="N769" s="1" t="str">
        <f ca="1">IF(ISNA(VLOOKUP(A769,Projects!B:B,1,FALSE)),"","Yes")</f>
        <v/>
      </c>
    </row>
    <row r="770" spans="1:14" hidden="1" outlineLevel="1">
      <c r="A770" s="43" t="s">
        <v>682</v>
      </c>
      <c r="B770" s="7"/>
      <c r="C770" s="44" t="s">
        <v>683</v>
      </c>
      <c r="D770" s="7" t="s">
        <v>11</v>
      </c>
      <c r="E770" s="26">
        <v>40133</v>
      </c>
      <c r="F770" s="25">
        <v>5</v>
      </c>
      <c r="H770" s="37">
        <f ca="1">IF(AND(B770="",NOT(A770="")),VLOOKUP(A770,TaskPlan!A:M,13,FALSE),"")</f>
        <v>40232</v>
      </c>
      <c r="I770" s="38" t="str">
        <f ca="1">IF(AND(B770="",NOT(A770="")),VLOOKUP(A770,TaskPlan!A:M,12,FALSE),"")</f>
        <v>Closed</v>
      </c>
      <c r="J770" s="39" t="str">
        <f ca="1">IF(AND(B770="",NOT(A770="")),VLOOKUP(A770,TaskPlan!A:L,2,FALSE),"")</f>
        <v>Paresh</v>
      </c>
      <c r="K770" s="39" t="str">
        <f ca="1">IF(AND(B770="",NOT(A770="")),IF(NOT(LEFT(VLOOKUP(A770,TaskPlan!A:L,3,FALSE),1) = "0"),VLOOKUP(A770,TaskPlan!A:L,3,FALSE),""),"")</f>
        <v/>
      </c>
      <c r="L770" s="55" t="str">
        <f ca="1">IF(AND(B770="",NOT(A770="")),IF(NOT(LEFT(VLOOKUP(A770,TaskPlan!A:L,3,FALSE),1) = "0"),VLOOKUP(A770,TaskPlan!A:M,4,FALSE),""),"")</f>
        <v/>
      </c>
      <c r="M770" s="58" t="str">
        <f ca="1">IF(B770=".",1,IF(AND(B770="",NOT(A770="")),IF(VLOOKUP(A770,TaskPlan!A:L,5,FALSE)&gt;0,VLOOKUP(A770,TaskPlan!A:L,5,FALSE),""),""))</f>
        <v/>
      </c>
      <c r="N770" s="1" t="str">
        <f ca="1">IF(ISNA(VLOOKUP(A770,Projects!B:B,1,FALSE)),"","Yes")</f>
        <v/>
      </c>
    </row>
    <row r="771" spans="1:14" hidden="1" outlineLevel="1">
      <c r="A771" s="43" t="s">
        <v>697</v>
      </c>
      <c r="B771" s="7"/>
      <c r="C771" s="44" t="s">
        <v>762</v>
      </c>
      <c r="D771" s="7" t="s">
        <v>315</v>
      </c>
      <c r="E771" s="26">
        <v>40150</v>
      </c>
      <c r="F771" s="25">
        <v>15</v>
      </c>
      <c r="H771" s="37">
        <f ca="1">IF(AND(B771="",NOT(A771="")),VLOOKUP(A771,TaskPlan!A:M,13,FALSE),"")</f>
        <v>40232</v>
      </c>
      <c r="I771" s="38" t="str">
        <f ca="1">IF(AND(B771="",NOT(A771="")),VLOOKUP(A771,TaskPlan!A:M,12,FALSE),"")</f>
        <v>Closed</v>
      </c>
      <c r="J771" s="39" t="str">
        <f ca="1">IF(AND(B771="",NOT(A771="")),VLOOKUP(A771,TaskPlan!A:L,2,FALSE),"")</f>
        <v>Paresh</v>
      </c>
      <c r="K771" s="39" t="str">
        <f ca="1">IF(AND(B771="",NOT(A771="")),IF(NOT(LEFT(VLOOKUP(A771,TaskPlan!A:L,3,FALSE),1) = "0"),VLOOKUP(A771,TaskPlan!A:L,3,FALSE),""),"")</f>
        <v/>
      </c>
      <c r="L771" s="55" t="str">
        <f ca="1">IF(AND(B771="",NOT(A771="")),IF(NOT(LEFT(VLOOKUP(A771,TaskPlan!A:L,3,FALSE),1) = "0"),VLOOKUP(A771,TaskPlan!A:M,4,FALSE),""),"")</f>
        <v/>
      </c>
      <c r="M771" s="58" t="str">
        <f ca="1">IF(B771=".",1,IF(AND(B771="",NOT(A771="")),IF(VLOOKUP(A771,TaskPlan!A:L,5,FALSE)&gt;0,VLOOKUP(A771,TaskPlan!A:L,5,FALSE),""),""))</f>
        <v/>
      </c>
      <c r="N771" s="1" t="str">
        <f ca="1">IF(ISNA(VLOOKUP(A771,Projects!B:B,1,FALSE)),"","Yes")</f>
        <v/>
      </c>
    </row>
    <row r="772" spans="1:14" hidden="1" outlineLevel="1">
      <c r="A772" s="43" t="s">
        <v>763</v>
      </c>
      <c r="B772" s="7"/>
      <c r="C772" s="44" t="s">
        <v>764</v>
      </c>
      <c r="D772" s="7" t="s">
        <v>315</v>
      </c>
      <c r="E772" s="26">
        <v>40163</v>
      </c>
      <c r="F772" s="25">
        <v>10</v>
      </c>
      <c r="H772" s="37">
        <f ca="1">IF(AND(B772="",NOT(A772="")),VLOOKUP(A772,TaskPlan!A:M,13,FALSE),"")</f>
        <v>40232</v>
      </c>
      <c r="I772" s="38" t="str">
        <f ca="1">IF(AND(B772="",NOT(A772="")),VLOOKUP(A772,TaskPlan!A:M,12,FALSE),"")</f>
        <v>Closed</v>
      </c>
      <c r="J772" s="39" t="str">
        <f ca="1">IF(AND(B772="",NOT(A772="")),VLOOKUP(A772,TaskPlan!A:L,2,FALSE),"")</f>
        <v>Paresh</v>
      </c>
      <c r="K772" s="39" t="str">
        <f ca="1">IF(AND(B772="",NOT(A772="")),IF(NOT(LEFT(VLOOKUP(A772,TaskPlan!A:L,3,FALSE),1) = "0"),VLOOKUP(A772,TaskPlan!A:L,3,FALSE),""),"")</f>
        <v/>
      </c>
      <c r="L772" s="55" t="str">
        <f ca="1">IF(AND(B772="",NOT(A772="")),IF(NOT(LEFT(VLOOKUP(A772,TaskPlan!A:L,3,FALSE),1) = "0"),VLOOKUP(A772,TaskPlan!A:M,4,FALSE),""),"")</f>
        <v/>
      </c>
      <c r="M772" s="58" t="str">
        <f ca="1">IF(B772=".",1,IF(AND(B772="",NOT(A772="")),IF(VLOOKUP(A772,TaskPlan!A:L,5,FALSE)&gt;0,VLOOKUP(A772,TaskPlan!A:L,5,FALSE),""),""))</f>
        <v/>
      </c>
      <c r="N772" s="1" t="str">
        <f ca="1">IF(ISNA(VLOOKUP(A772,Projects!B:B,1,FALSE)),"","Yes")</f>
        <v/>
      </c>
    </row>
    <row r="773" spans="1:14" hidden="1" outlineLevel="1">
      <c r="A773" s="43" t="s">
        <v>765</v>
      </c>
      <c r="B773" s="7"/>
      <c r="C773" s="44" t="s">
        <v>766</v>
      </c>
      <c r="D773" s="7" t="s">
        <v>315</v>
      </c>
      <c r="E773" s="26">
        <v>40150</v>
      </c>
      <c r="F773" s="25">
        <v>10</v>
      </c>
      <c r="H773" s="37">
        <f ca="1">IF(AND(B773="",NOT(A773="")),VLOOKUP(A773,TaskPlan!A:M,13,FALSE),"")</f>
        <v>40232</v>
      </c>
      <c r="I773" s="38" t="str">
        <f ca="1">IF(AND(B773="",NOT(A773="")),VLOOKUP(A773,TaskPlan!A:M,12,FALSE),"")</f>
        <v>Closed</v>
      </c>
      <c r="J773" s="39" t="str">
        <f ca="1">IF(AND(B773="",NOT(A773="")),VLOOKUP(A773,TaskPlan!A:L,2,FALSE),"")</f>
        <v>Paresh</v>
      </c>
      <c r="K773" s="39" t="str">
        <f ca="1">IF(AND(B773="",NOT(A773="")),IF(NOT(LEFT(VLOOKUP(A773,TaskPlan!A:L,3,FALSE),1) = "0"),VLOOKUP(A773,TaskPlan!A:L,3,FALSE),""),"")</f>
        <v/>
      </c>
      <c r="L773" s="55" t="str">
        <f ca="1">IF(AND(B773="",NOT(A773="")),IF(NOT(LEFT(VLOOKUP(A773,TaskPlan!A:L,3,FALSE),1) = "0"),VLOOKUP(A773,TaskPlan!A:M,4,FALSE),""),"")</f>
        <v/>
      </c>
      <c r="M773" s="58" t="str">
        <f ca="1">IF(B773=".",1,IF(AND(B773="",NOT(A773="")),IF(VLOOKUP(A773,TaskPlan!A:L,5,FALSE)&gt;0,VLOOKUP(A773,TaskPlan!A:L,5,FALSE),""),""))</f>
        <v/>
      </c>
      <c r="N773" s="1" t="str">
        <f ca="1">IF(ISNA(VLOOKUP(A773,Projects!B:B,1,FALSE)),"","Yes")</f>
        <v/>
      </c>
    </row>
    <row r="774" spans="1:14" hidden="1" outlineLevel="1">
      <c r="A774" s="43" t="s">
        <v>927</v>
      </c>
      <c r="B774" s="7"/>
      <c r="C774" s="44" t="s">
        <v>928</v>
      </c>
      <c r="D774" s="7" t="s">
        <v>32</v>
      </c>
      <c r="E774" s="26">
        <v>40233</v>
      </c>
      <c r="F774" s="25">
        <v>2</v>
      </c>
      <c r="G774" s="28" t="s">
        <v>1099</v>
      </c>
      <c r="H774" s="37">
        <f ca="1">IF(AND(B774="",NOT(A774="")),VLOOKUP(A774,TaskPlan!A:M,13,FALSE),"")</f>
        <v>40553</v>
      </c>
      <c r="I774" s="38" t="str">
        <f ca="1">IF(AND(B774="",NOT(A774="")),VLOOKUP(A774,TaskPlan!A:M,12,FALSE),"")</f>
        <v>Not Started</v>
      </c>
      <c r="J774" s="39" t="str">
        <f ca="1">IF(AND(B774="",NOT(A774="")),VLOOKUP(A774,TaskPlan!A:L,2,FALSE),"")</f>
        <v>Sreevani</v>
      </c>
      <c r="K774" s="39" t="str">
        <f ca="1">IF(AND(B774="",NOT(A774="")),IF(NOT(LEFT(VLOOKUP(A774,TaskPlan!A:L,3,FALSE),1) = "0"),VLOOKUP(A774,TaskPlan!A:L,3,FALSE),""),"")</f>
        <v>4-HIGH</v>
      </c>
      <c r="L774" s="55">
        <f ca="1">IF(AND(B774="",NOT(A774="")),IF(NOT(LEFT(VLOOKUP(A774,TaskPlan!A:L,3,FALSE),1) = "0"),VLOOKUP(A774,TaskPlan!A:M,4,FALSE),""),"")</f>
        <v>0</v>
      </c>
      <c r="M774" s="58" t="str">
        <f ca="1">IF(B774=".",1,IF(AND(B774="",NOT(A774="")),IF(VLOOKUP(A774,TaskPlan!A:L,5,FALSE)&gt;0,VLOOKUP(A774,TaskPlan!A:L,5,FALSE),""),""))</f>
        <v/>
      </c>
      <c r="N774" s="1" t="str">
        <f ca="1">IF(ISNA(VLOOKUP(A774,Projects!B:B,1,FALSE)),"","Yes")</f>
        <v/>
      </c>
    </row>
    <row r="775" spans="1:14" hidden="1" outlineLevel="1">
      <c r="A775" s="43" t="s">
        <v>981</v>
      </c>
      <c r="B775" s="7" t="s">
        <v>15</v>
      </c>
      <c r="C775" s="45" t="s">
        <v>982</v>
      </c>
      <c r="D775" s="7"/>
      <c r="E775" s="26"/>
      <c r="G775" s="28"/>
      <c r="H775" s="37" t="str">
        <f ca="1">IF(AND(B775="",NOT(A775="")),VLOOKUP(A775,TaskPlan!A:M,13,FALSE),"")</f>
        <v/>
      </c>
      <c r="I775" s="38" t="str">
        <f ca="1">IF(AND(B775="",NOT(A775="")),VLOOKUP(A775,TaskPlan!A:M,12,FALSE),"")</f>
        <v/>
      </c>
      <c r="J775" s="39" t="str">
        <f ca="1">IF(AND(B775="",NOT(A775="")),VLOOKUP(A775,TaskPlan!A:L,2,FALSE),"")</f>
        <v/>
      </c>
      <c r="K775" s="39" t="str">
        <f ca="1">IF(AND(B775="",NOT(A775="")),IF(NOT(LEFT(VLOOKUP(A775,TaskPlan!A:L,3,FALSE),1) = "0"),VLOOKUP(A775,TaskPlan!A:L,3,FALSE),""),"")</f>
        <v/>
      </c>
      <c r="L775" s="55" t="str">
        <f ca="1">IF(AND(B775="",NOT(A775="")),IF(NOT(LEFT(VLOOKUP(A775,TaskPlan!A:L,3,FALSE),1) = "0"),VLOOKUP(A775,TaskPlan!A:M,4,FALSE),""),"")</f>
        <v/>
      </c>
      <c r="M775" s="58">
        <f ca="1">IF(B775=".",1,IF(AND(B775="",NOT(A775="")),IF(VLOOKUP(A775,TaskPlan!A:L,5,FALSE)&gt;0,VLOOKUP(A775,TaskPlan!A:L,5,FALSE),""),""))</f>
        <v>1</v>
      </c>
      <c r="N775" s="1" t="str">
        <f ca="1">IF(ISNA(VLOOKUP(A775,Projects!B:B,1,FALSE)),"","Yes")</f>
        <v/>
      </c>
    </row>
    <row r="776" spans="1:14" hidden="1" outlineLevel="1">
      <c r="A776" s="43" t="s">
        <v>1251</v>
      </c>
      <c r="B776" s="7"/>
      <c r="C776" s="44" t="s">
        <v>1252</v>
      </c>
      <c r="D776" s="7" t="s">
        <v>11</v>
      </c>
      <c r="E776" s="26">
        <v>40353</v>
      </c>
      <c r="F776" s="25">
        <v>0.5</v>
      </c>
      <c r="G776" s="28" t="s">
        <v>1099</v>
      </c>
      <c r="H776" s="37">
        <f ca="1">IF(AND(B776="",NOT(A776="")),VLOOKUP(A776,TaskPlan!A:M,13,FALSE),"")</f>
        <v>40353</v>
      </c>
      <c r="I776" s="38" t="str">
        <f ca="1">IF(AND(B776="",NOT(A776="")),VLOOKUP(A776,TaskPlan!A:M,12,FALSE),"")</f>
        <v>Closed</v>
      </c>
      <c r="J776" s="39" t="str">
        <f ca="1">IF(AND(B776="",NOT(A776="")),VLOOKUP(A776,TaskPlan!A:L,2,FALSE),"")</f>
        <v>Sachin</v>
      </c>
      <c r="K776" s="39" t="str">
        <f ca="1">IF(AND(B776="",NOT(A776="")),IF(NOT(LEFT(VLOOKUP(A776,TaskPlan!A:L,3,FALSE),1) = "0"),VLOOKUP(A776,TaskPlan!A:L,3,FALSE),""),"")</f>
        <v/>
      </c>
      <c r="L776" s="55" t="str">
        <f ca="1">IF(AND(B776="",NOT(A776="")),IF(NOT(LEFT(VLOOKUP(A776,TaskPlan!A:L,3,FALSE),1) = "0"),VLOOKUP(A776,TaskPlan!A:M,4,FALSE),""),"")</f>
        <v/>
      </c>
      <c r="N776" s="1" t="str">
        <f ca="1">IF(ISNA(VLOOKUP(A776,Projects!B:B,1,FALSE)),"","Yes")</f>
        <v>Yes</v>
      </c>
    </row>
    <row r="777" spans="1:14" hidden="1" outlineLevel="1">
      <c r="A777" s="43" t="s">
        <v>1253</v>
      </c>
      <c r="B777" s="7"/>
      <c r="C777" s="44" t="s">
        <v>1255</v>
      </c>
      <c r="D777" s="7" t="s">
        <v>11</v>
      </c>
      <c r="E777" s="26">
        <v>40353</v>
      </c>
      <c r="F777" s="25">
        <v>6</v>
      </c>
      <c r="G777" s="28" t="s">
        <v>1099</v>
      </c>
      <c r="H777" s="37">
        <f ca="1">IF(AND(B777="",NOT(A777="")),VLOOKUP(A777,TaskPlan!A:M,13,FALSE),"")</f>
        <v>40373</v>
      </c>
      <c r="I777" s="38" t="str">
        <f ca="1">IF(AND(B777="",NOT(A777="")),VLOOKUP(A777,TaskPlan!A:M,12,FALSE),"")</f>
        <v>Closed</v>
      </c>
      <c r="J777" s="39" t="str">
        <f ca="1">IF(AND(B777="",NOT(A777="")),VLOOKUP(A777,TaskPlan!A:L,2,FALSE),"")</f>
        <v>Sachin</v>
      </c>
      <c r="K777" s="39" t="str">
        <f ca="1">IF(AND(B777="",NOT(A777="")),IF(NOT(LEFT(VLOOKUP(A777,TaskPlan!A:L,3,FALSE),1) = "0"),VLOOKUP(A777,TaskPlan!A:L,3,FALSE),""),"")</f>
        <v/>
      </c>
      <c r="L777" s="55" t="str">
        <f ca="1">IF(AND(B777="",NOT(A777="")),IF(NOT(LEFT(VLOOKUP(A777,TaskPlan!A:L,3,FALSE),1) = "0"),VLOOKUP(A777,TaskPlan!A:M,4,FALSE),""),"")</f>
        <v/>
      </c>
      <c r="N777" s="1" t="str">
        <f ca="1">IF(ISNA(VLOOKUP(A777,Projects!B:B,1,FALSE)),"","Yes")</f>
        <v>Yes</v>
      </c>
    </row>
    <row r="778" spans="1:14" hidden="1" outlineLevel="1">
      <c r="A778" s="43" t="s">
        <v>1254</v>
      </c>
      <c r="B778" s="7"/>
      <c r="C778" s="44" t="s">
        <v>1256</v>
      </c>
      <c r="D778" s="7" t="s">
        <v>11</v>
      </c>
      <c r="E778" s="26">
        <v>40353</v>
      </c>
      <c r="F778" s="25">
        <v>0.5</v>
      </c>
      <c r="G778" s="28" t="s">
        <v>1099</v>
      </c>
      <c r="H778" s="37">
        <f ca="1">IF(AND(B778="",NOT(A778="")),VLOOKUP(A778,TaskPlan!A:M,13,FALSE),"")</f>
        <v>40373</v>
      </c>
      <c r="I778" s="38" t="str">
        <f ca="1">IF(AND(B778="",NOT(A778="")),VLOOKUP(A778,TaskPlan!A:M,12,FALSE),"")</f>
        <v>Closed</v>
      </c>
      <c r="J778" s="39" t="str">
        <f ca="1">IF(AND(B778="",NOT(A778="")),VLOOKUP(A778,TaskPlan!A:L,2,FALSE),"")</f>
        <v>Sachin</v>
      </c>
      <c r="K778" s="39" t="str">
        <f ca="1">IF(AND(B778="",NOT(A778="")),IF(NOT(LEFT(VLOOKUP(A778,TaskPlan!A:L,3,FALSE),1) = "0"),VLOOKUP(A778,TaskPlan!A:L,3,FALSE),""),"")</f>
        <v/>
      </c>
      <c r="L778" s="55" t="str">
        <f ca="1">IF(AND(B778="",NOT(A778="")),IF(NOT(LEFT(VLOOKUP(A778,TaskPlan!A:L,3,FALSE),1) = "0"),VLOOKUP(A778,TaskPlan!A:M,4,FALSE),""),"")</f>
        <v/>
      </c>
      <c r="N778" s="1" t="str">
        <f ca="1">IF(ISNA(VLOOKUP(A778,Projects!B:B,1,FALSE)),"","Yes")</f>
        <v>Yes</v>
      </c>
    </row>
    <row r="779" spans="1:14" hidden="1" outlineLevel="1">
      <c r="A779" s="43" t="s">
        <v>1260</v>
      </c>
      <c r="B779" s="7"/>
      <c r="C779" s="44" t="s">
        <v>1257</v>
      </c>
      <c r="D779" s="7" t="s">
        <v>11</v>
      </c>
      <c r="E779" s="26">
        <v>40353</v>
      </c>
      <c r="F779" s="25">
        <v>0.5</v>
      </c>
      <c r="G779" s="28" t="s">
        <v>1099</v>
      </c>
      <c r="H779" s="37">
        <f ca="1">IF(AND(B779="",NOT(A779="")),VLOOKUP(A779,TaskPlan!A:M,13,FALSE),"")</f>
        <v>40373</v>
      </c>
      <c r="I779" s="38" t="str">
        <f ca="1">IF(AND(B779="",NOT(A779="")),VLOOKUP(A779,TaskPlan!A:M,12,FALSE),"")</f>
        <v>Closed</v>
      </c>
      <c r="J779" s="39" t="str">
        <f ca="1">IF(AND(B779="",NOT(A779="")),VLOOKUP(A779,TaskPlan!A:L,2,FALSE),"")</f>
        <v>Sachin</v>
      </c>
      <c r="K779" s="39" t="str">
        <f ca="1">IF(AND(B779="",NOT(A779="")),IF(NOT(LEFT(VLOOKUP(A779,TaskPlan!A:L,3,FALSE),1) = "0"),VLOOKUP(A779,TaskPlan!A:L,3,FALSE),""),"")</f>
        <v/>
      </c>
      <c r="L779" s="55" t="str">
        <f ca="1">IF(AND(B779="",NOT(A779="")),IF(NOT(LEFT(VLOOKUP(A779,TaskPlan!A:L,3,FALSE),1) = "0"),VLOOKUP(A779,TaskPlan!A:M,4,FALSE),""),"")</f>
        <v/>
      </c>
      <c r="N779" s="1" t="str">
        <f ca="1">IF(ISNA(VLOOKUP(A779,Projects!B:B,1,FALSE)),"","Yes")</f>
        <v>Yes</v>
      </c>
    </row>
    <row r="780" spans="1:14" hidden="1" outlineLevel="1">
      <c r="A780" s="43" t="s">
        <v>1262</v>
      </c>
      <c r="B780" s="7"/>
      <c r="C780" s="44" t="s">
        <v>1258</v>
      </c>
      <c r="D780" s="7" t="s">
        <v>11</v>
      </c>
      <c r="E780" s="26">
        <v>40353</v>
      </c>
      <c r="F780" s="25">
        <v>2</v>
      </c>
      <c r="G780" s="28" t="s">
        <v>1099</v>
      </c>
      <c r="H780" s="37">
        <f ca="1">IF(AND(B780="",NOT(A780="")),VLOOKUP(A780,TaskPlan!A:M,13,FALSE),"")</f>
        <v>40375</v>
      </c>
      <c r="I780" s="38" t="str">
        <f ca="1">IF(AND(B780="",NOT(A780="")),VLOOKUP(A780,TaskPlan!A:M,12,FALSE),"")</f>
        <v>Closed</v>
      </c>
      <c r="J780" s="39" t="str">
        <f ca="1">IF(AND(B780="",NOT(A780="")),VLOOKUP(A780,TaskPlan!A:L,2,FALSE),"")</f>
        <v>Sachin</v>
      </c>
      <c r="K780" s="39" t="str">
        <f ca="1">IF(AND(B780="",NOT(A780="")),IF(NOT(LEFT(VLOOKUP(A780,TaskPlan!A:L,3,FALSE),1) = "0"),VLOOKUP(A780,TaskPlan!A:L,3,FALSE),""),"")</f>
        <v/>
      </c>
      <c r="L780" s="55" t="str">
        <f ca="1">IF(AND(B780="",NOT(A780="")),IF(NOT(LEFT(VLOOKUP(A780,TaskPlan!A:L,3,FALSE),1) = "0"),VLOOKUP(A780,TaskPlan!A:M,4,FALSE),""),"")</f>
        <v/>
      </c>
      <c r="N780" s="1" t="str">
        <f ca="1">IF(ISNA(VLOOKUP(A780,Projects!B:B,1,FALSE)),"","Yes")</f>
        <v>Yes</v>
      </c>
    </row>
    <row r="781" spans="1:14" hidden="1" outlineLevel="1">
      <c r="A781" s="43" t="s">
        <v>1261</v>
      </c>
      <c r="B781" s="7"/>
      <c r="C781" s="44" t="s">
        <v>1259</v>
      </c>
      <c r="D781" s="7" t="s">
        <v>11</v>
      </c>
      <c r="E781" s="26">
        <v>40353</v>
      </c>
      <c r="F781" s="25">
        <v>1</v>
      </c>
      <c r="G781" s="28" t="s">
        <v>1099</v>
      </c>
      <c r="H781" s="37">
        <f ca="1">IF(AND(B781="",NOT(A781="")),VLOOKUP(A781,TaskPlan!A:M,13,FALSE),"")</f>
        <v>40375</v>
      </c>
      <c r="I781" s="38" t="str">
        <f ca="1">IF(AND(B781="",NOT(A781="")),VLOOKUP(A781,TaskPlan!A:M,12,FALSE),"")</f>
        <v>Closed</v>
      </c>
      <c r="J781" s="39" t="str">
        <f ca="1">IF(AND(B781="",NOT(A781="")),VLOOKUP(A781,TaskPlan!A:L,2,FALSE),"")</f>
        <v>Sachin</v>
      </c>
      <c r="K781" s="39" t="str">
        <f ca="1">IF(AND(B781="",NOT(A781="")),IF(NOT(LEFT(VLOOKUP(A781,TaskPlan!A:L,3,FALSE),1) = "0"),VLOOKUP(A781,TaskPlan!A:L,3,FALSE),""),"")</f>
        <v/>
      </c>
      <c r="L781" s="55" t="str">
        <f ca="1">IF(AND(B781="",NOT(A781="")),IF(NOT(LEFT(VLOOKUP(A781,TaskPlan!A:L,3,FALSE),1) = "0"),VLOOKUP(A781,TaskPlan!A:M,4,FALSE),""),"")</f>
        <v/>
      </c>
      <c r="N781" s="1" t="str">
        <f ca="1">IF(ISNA(VLOOKUP(A781,Projects!B:B,1,FALSE)),"","Yes")</f>
        <v>Yes</v>
      </c>
    </row>
    <row r="782" spans="1:14" hidden="1" outlineLevel="1">
      <c r="A782" s="43" t="s">
        <v>1003</v>
      </c>
      <c r="B782" s="7"/>
      <c r="C782" s="44" t="s">
        <v>1004</v>
      </c>
      <c r="D782" s="7" t="s">
        <v>326</v>
      </c>
      <c r="E782" s="26">
        <v>40253</v>
      </c>
      <c r="F782" s="25">
        <v>5</v>
      </c>
      <c r="G782" s="28" t="s">
        <v>1100</v>
      </c>
      <c r="H782" s="37">
        <f ca="1">IF(AND(B782="",NOT(A782="")),VLOOKUP(A782,TaskPlan!A:M,13,FALSE),"")</f>
        <v>40253</v>
      </c>
      <c r="I782" s="38" t="str">
        <f ca="1">IF(AND(B782="",NOT(A782="")),VLOOKUP(A782,TaskPlan!A:M,12,FALSE),"")</f>
        <v>Not Started</v>
      </c>
      <c r="J782" s="39" t="str">
        <f ca="1">IF(AND(B782="",NOT(A782="")),VLOOKUP(A782,TaskPlan!A:L,2,FALSE),"")</f>
        <v>Unassigned</v>
      </c>
      <c r="K782" s="39" t="str">
        <f ca="1">IF(AND(B782="",NOT(A782="")),IF(NOT(LEFT(VLOOKUP(A782,TaskPlan!A:L,3,FALSE),1) = "0"),VLOOKUP(A782,TaskPlan!A:L,3,FALSE),""),"")</f>
        <v>2-LOW</v>
      </c>
      <c r="L782" s="55">
        <f ca="1">IF(AND(B782="",NOT(A782="")),IF(NOT(LEFT(VLOOKUP(A782,TaskPlan!A:L,3,FALSE),1) = "0"),VLOOKUP(A782,TaskPlan!A:M,4,FALSE),""),"")</f>
        <v>0</v>
      </c>
      <c r="M782" s="58" t="str">
        <f ca="1">IF(B782=".",1,IF(AND(B782="",NOT(A782="")),IF(VLOOKUP(A782,TaskPlan!A:L,5,FALSE)&gt;0,VLOOKUP(A782,TaskPlan!A:L,5,FALSE),""),""))</f>
        <v/>
      </c>
      <c r="N782" s="1" t="str">
        <f ca="1">IF(ISNA(VLOOKUP(A782,Projects!B:B,1,FALSE)),"","Yes")</f>
        <v/>
      </c>
    </row>
    <row r="783" spans="1:14" hidden="1" outlineLevel="1">
      <c r="A783" s="43" t="s">
        <v>1103</v>
      </c>
      <c r="B783" s="7"/>
      <c r="C783" s="44" t="s">
        <v>1104</v>
      </c>
      <c r="D783" s="7" t="s">
        <v>11</v>
      </c>
      <c r="E783" s="26">
        <v>40294</v>
      </c>
      <c r="F783" s="25">
        <v>1</v>
      </c>
      <c r="G783" s="28" t="s">
        <v>1098</v>
      </c>
      <c r="H783" s="37">
        <f ca="1">IF(AND(B783="",NOT(A783="")),VLOOKUP(A783,TaskPlan!A:M,13,FALSE),"")</f>
        <v>40567</v>
      </c>
      <c r="I783" s="38" t="str">
        <f ca="1">IF(AND(B783="",NOT(A783="")),VLOOKUP(A783,TaskPlan!A:M,12,FALSE),"")</f>
        <v>In Progress</v>
      </c>
      <c r="J783" s="39" t="str">
        <f ca="1">IF(AND(B783="",NOT(A783="")),VLOOKUP(A783,TaskPlan!A:L,2,FALSE),"")</f>
        <v>Sreevani</v>
      </c>
      <c r="K783" s="39" t="str">
        <f ca="1">IF(AND(B783="",NOT(A783="")),IF(NOT(LEFT(VLOOKUP(A783,TaskPlan!A:L,3,FALSE),1) = "0"),VLOOKUP(A783,TaskPlan!A:L,3,FALSE),""),"")</f>
        <v>4-HIGH</v>
      </c>
      <c r="L783" s="55">
        <f ca="1">IF(AND(B783="",NOT(A783="")),IF(NOT(LEFT(VLOOKUP(A783,TaskPlan!A:L,3,FALSE),1) = "0"),VLOOKUP(A783,TaskPlan!A:M,4,FALSE),""),"")</f>
        <v>0</v>
      </c>
      <c r="N783" s="1" t="str">
        <f ca="1">IF(ISNA(VLOOKUP(A783,Projects!B:B,1,FALSE)),"","Yes")</f>
        <v/>
      </c>
    </row>
    <row r="784" spans="1:14" hidden="1" outlineLevel="1">
      <c r="A784" s="43" t="s">
        <v>1515</v>
      </c>
      <c r="B784" s="7" t="s">
        <v>15</v>
      </c>
      <c r="C784" s="45" t="s">
        <v>277</v>
      </c>
      <c r="D784" s="7"/>
      <c r="E784" s="26"/>
      <c r="G784" s="28"/>
      <c r="L784" s="55"/>
    </row>
    <row r="785" spans="1:14" hidden="1" outlineLevel="1">
      <c r="A785" s="43" t="s">
        <v>1516</v>
      </c>
      <c r="B785" s="7"/>
      <c r="C785" s="44" t="s">
        <v>1517</v>
      </c>
      <c r="D785" s="7" t="s">
        <v>315</v>
      </c>
      <c r="E785" s="26">
        <v>40438</v>
      </c>
      <c r="F785" s="25">
        <v>1</v>
      </c>
      <c r="G785" s="28" t="s">
        <v>1098</v>
      </c>
      <c r="H785" s="37">
        <f ca="1">IF(AND(B785="",NOT(A785="")),VLOOKUP(A785,TaskPlan!A:M,13,FALSE),"")</f>
        <v>40457</v>
      </c>
      <c r="I785" s="38" t="str">
        <f ca="1">IF(AND(B785="",NOT(A785="")),VLOOKUP(A785,TaskPlan!A:M,12,FALSE),"")</f>
        <v>Closed</v>
      </c>
      <c r="J785" s="39" t="str">
        <f ca="1">IF(AND(B785="",NOT(A785="")),VLOOKUP(A785,TaskPlan!A:L,2,FALSE),"")</f>
        <v>Sreevani</v>
      </c>
      <c r="K785" s="39" t="str">
        <f ca="1">IF(AND(B785="",NOT(A785="")),IF(NOT(LEFT(VLOOKUP(A785,TaskPlan!A:L,3,FALSE),1) = "0"),VLOOKUP(A785,TaskPlan!A:L,3,FALSE),""),"")</f>
        <v/>
      </c>
      <c r="L785" s="55" t="str">
        <f ca="1">IF(AND(B785="",NOT(A785="")),IF(NOT(LEFT(VLOOKUP(A785,TaskPlan!A:L,3,FALSE),1) = "0"),VLOOKUP(A785,TaskPlan!A:M,4,FALSE),""),"")</f>
        <v/>
      </c>
      <c r="N785" s="1" t="str">
        <f ca="1">IF(ISNA(VLOOKUP(A785,Projects!B:B,1,FALSE)),"","Yes")</f>
        <v/>
      </c>
    </row>
    <row r="786" spans="1:14" hidden="1" outlineLevel="1">
      <c r="A786" s="43" t="s">
        <v>1538</v>
      </c>
      <c r="B786" s="7"/>
      <c r="C786" s="44" t="s">
        <v>1539</v>
      </c>
      <c r="D786" s="7" t="s">
        <v>37</v>
      </c>
      <c r="E786" s="26">
        <v>40443</v>
      </c>
      <c r="F786" s="25">
        <v>1</v>
      </c>
      <c r="G786" s="28" t="s">
        <v>1098</v>
      </c>
      <c r="H786" s="37">
        <f ca="1">IF(AND(B786="",NOT(A786="")),VLOOKUP(A786,TaskPlan!A:M,13,FALSE),"")</f>
        <v>40457</v>
      </c>
      <c r="I786" s="38" t="str">
        <f ca="1">IF(AND(B786="",NOT(A786="")),VLOOKUP(A786,TaskPlan!A:M,12,FALSE),"")</f>
        <v>Closed</v>
      </c>
      <c r="J786" s="39" t="str">
        <f ca="1">IF(AND(B786="",NOT(A786="")),VLOOKUP(A786,TaskPlan!A:L,2,FALSE),"")</f>
        <v>Neil</v>
      </c>
      <c r="K786" s="39" t="str">
        <f ca="1">IF(AND(B786="",NOT(A786="")),IF(NOT(LEFT(VLOOKUP(A786,TaskPlan!A:L,3,FALSE),1) = "0"),VLOOKUP(A786,TaskPlan!A:L,3,FALSE),""),"")</f>
        <v/>
      </c>
      <c r="L786" s="55" t="str">
        <f ca="1">IF(AND(B786="",NOT(A786="")),IF(NOT(LEFT(VLOOKUP(A786,TaskPlan!A:L,3,FALSE),1) = "0"),VLOOKUP(A786,TaskPlan!A:M,4,FALSE),""),"")</f>
        <v/>
      </c>
      <c r="N786" s="1" t="str">
        <f ca="1">IF(ISNA(VLOOKUP(A786,Projects!B:B,1,FALSE)),"","Yes")</f>
        <v/>
      </c>
    </row>
    <row r="787" spans="1:14" hidden="1" outlineLevel="1">
      <c r="A787" s="43" t="s">
        <v>1540</v>
      </c>
      <c r="B787" s="7"/>
      <c r="C787" s="44" t="s">
        <v>1541</v>
      </c>
      <c r="D787" s="7" t="s">
        <v>11</v>
      </c>
      <c r="E787" s="26">
        <v>40443</v>
      </c>
      <c r="F787" s="25">
        <v>2</v>
      </c>
      <c r="G787" s="28" t="s">
        <v>1098</v>
      </c>
      <c r="H787" s="37">
        <f ca="1">IF(AND(B787="",NOT(A787="")),VLOOKUP(A787,TaskPlan!A:M,13,FALSE),"")</f>
        <v>40457</v>
      </c>
      <c r="I787" s="38" t="str">
        <f ca="1">IF(AND(B787="",NOT(A787="")),VLOOKUP(A787,TaskPlan!A:M,12,FALSE),"")</f>
        <v>Closed</v>
      </c>
      <c r="J787" s="39" t="str">
        <f ca="1">IF(AND(B787="",NOT(A787="")),VLOOKUP(A787,TaskPlan!A:L,2,FALSE),"")</f>
        <v>Sreevani</v>
      </c>
      <c r="K787" s="39" t="str">
        <f ca="1">IF(AND(B787="",NOT(A787="")),IF(NOT(LEFT(VLOOKUP(A787,TaskPlan!A:L,3,FALSE),1) = "0"),VLOOKUP(A787,TaskPlan!A:L,3,FALSE),""),"")</f>
        <v/>
      </c>
      <c r="L787" s="55" t="str">
        <f ca="1">IF(AND(B787="",NOT(A787="")),IF(NOT(LEFT(VLOOKUP(A787,TaskPlan!A:L,3,FALSE),1) = "0"),VLOOKUP(A787,TaskPlan!A:M,4,FALSE),""),"")</f>
        <v/>
      </c>
      <c r="N787" s="1" t="str">
        <f ca="1">IF(ISNA(VLOOKUP(A787,Projects!B:B,1,FALSE)),"","Yes")</f>
        <v/>
      </c>
    </row>
    <row r="788" spans="1:14" hidden="1" outlineLevel="1">
      <c r="A788" s="43" t="s">
        <v>1591</v>
      </c>
      <c r="B788" s="7"/>
      <c r="C788" s="44" t="s">
        <v>1592</v>
      </c>
      <c r="D788" s="7" t="s">
        <v>11</v>
      </c>
      <c r="E788" s="26">
        <v>40457</v>
      </c>
      <c r="F788" s="25">
        <v>5</v>
      </c>
      <c r="G788" s="28" t="s">
        <v>1098</v>
      </c>
      <c r="H788" s="37">
        <f ca="1">IF(AND(B788="",NOT(A788="")),VLOOKUP(A788,TaskPlan!A:M,13,FALSE),"")</f>
        <v>40477</v>
      </c>
      <c r="I788" s="38" t="str">
        <f ca="1">IF(AND(B788="",NOT(A788="")),VLOOKUP(A788,TaskPlan!A:M,12,FALSE),"")</f>
        <v>Closed</v>
      </c>
      <c r="J788" s="39" t="str">
        <f ca="1">IF(AND(B788="",NOT(A788="")),VLOOKUP(A788,TaskPlan!A:L,2,FALSE),"")</f>
        <v>Sreevani</v>
      </c>
      <c r="K788" s="39" t="str">
        <f ca="1">IF(AND(B788="",NOT(A788="")),IF(NOT(LEFT(VLOOKUP(A788,TaskPlan!A:L,3,FALSE),1) = "0"),VLOOKUP(A788,TaskPlan!A:L,3,FALSE),""),"")</f>
        <v/>
      </c>
      <c r="L788" s="55" t="str">
        <f ca="1">IF(AND(B788="",NOT(A788="")),IF(NOT(LEFT(VLOOKUP(A788,TaskPlan!A:L,3,FALSE),1) = "0"),VLOOKUP(A788,TaskPlan!A:M,4,FALSE),""),"")</f>
        <v/>
      </c>
      <c r="N788" s="1" t="str">
        <f ca="1">IF(ISNA(VLOOKUP(A788,Projects!B:B,1,FALSE)),"","Yes")</f>
        <v/>
      </c>
    </row>
    <row r="789" spans="1:14" hidden="1" outlineLevel="1">
      <c r="A789" s="43" t="s">
        <v>1653</v>
      </c>
      <c r="B789" s="7"/>
      <c r="C789" s="44" t="s">
        <v>1665</v>
      </c>
      <c r="D789" s="7" t="s">
        <v>11</v>
      </c>
      <c r="E789" s="26">
        <v>40483</v>
      </c>
      <c r="F789" s="25">
        <v>2</v>
      </c>
      <c r="G789" s="28" t="s">
        <v>1098</v>
      </c>
      <c r="H789" s="37">
        <f ca="1">IF(AND(B789="",NOT(A789="")),VLOOKUP(A789,TaskPlan!A:M,13,FALSE),"")</f>
        <v>40483</v>
      </c>
      <c r="I789" s="38" t="str">
        <f ca="1">IF(AND(B789="",NOT(A789="")),VLOOKUP(A789,TaskPlan!A:M,12,FALSE),"")</f>
        <v>Closed</v>
      </c>
      <c r="J789" s="39" t="str">
        <f ca="1">IF(AND(B789="",NOT(A789="")),VLOOKUP(A789,TaskPlan!A:L,2,FALSE),"")</f>
        <v>Neil</v>
      </c>
      <c r="K789" s="39" t="str">
        <f ca="1">IF(AND(B789="",NOT(A789="")),IF(NOT(LEFT(VLOOKUP(A789,TaskPlan!A:L,3,FALSE),1) = "0"),VLOOKUP(A789,TaskPlan!A:L,3,FALSE),""),"")</f>
        <v/>
      </c>
      <c r="L789" s="55" t="str">
        <f ca="1">IF(AND(B789="",NOT(A789="")),IF(NOT(LEFT(VLOOKUP(A789,TaskPlan!A:L,3,FALSE),1) = "0"),VLOOKUP(A789,TaskPlan!A:M,4,FALSE),""),"")</f>
        <v/>
      </c>
      <c r="N789" s="1" t="str">
        <f ca="1">IF(ISNA(VLOOKUP(A789,Projects!B:B,1,FALSE)),"","Yes")</f>
        <v>Yes</v>
      </c>
    </row>
    <row r="790" spans="1:14" collapsed="1">
      <c r="E790" s="26"/>
      <c r="H790" s="37" t="str">
        <f ca="1">IF(AND(B790="",NOT(A790="")),VLOOKUP(A790,TaskPlan!A:M,13,FALSE),"")</f>
        <v/>
      </c>
      <c r="I790" s="38" t="str">
        <f ca="1">IF(AND(B790="",NOT(A790="")),VLOOKUP(A790,TaskPlan!A:M,12,FALSE),"")</f>
        <v/>
      </c>
      <c r="J790" s="39" t="str">
        <f ca="1">IF(AND(B790="",NOT(A790="")),VLOOKUP(A790,TaskPlan!A:L,2,FALSE),"")</f>
        <v/>
      </c>
      <c r="K790" s="39" t="str">
        <f ca="1">IF(AND(B790="",NOT(A790="")),IF(NOT(LEFT(VLOOKUP(A790,TaskPlan!A:L,3,FALSE),1) = "0"),VLOOKUP(A790,TaskPlan!A:L,3,FALSE),""),"")</f>
        <v/>
      </c>
      <c r="L790" s="55" t="str">
        <f ca="1">IF(AND(B790="",NOT(A790="")),IF(NOT(LEFT(VLOOKUP(A790,TaskPlan!A:L,3,FALSE),1) = "0"),VLOOKUP(A790,TaskPlan!A:M,4,FALSE),""),"")</f>
        <v/>
      </c>
      <c r="M790" s="58" t="str">
        <f ca="1">IF(B790=".",1,IF(AND(B790="",NOT(A790="")),IF(VLOOKUP(A790,TaskPlan!A:L,5,FALSE)&gt;0,VLOOKUP(A790,TaskPlan!A:L,5,FALSE),""),""))</f>
        <v/>
      </c>
      <c r="N790" s="1" t="str">
        <f ca="1">IF(ISNA(VLOOKUP(A790,Projects!B:B,1,FALSE)),"","Yes")</f>
        <v/>
      </c>
    </row>
    <row r="791" spans="1:14" ht="15.75">
      <c r="A791" s="43" t="s">
        <v>466</v>
      </c>
      <c r="B791" s="7" t="s">
        <v>15</v>
      </c>
      <c r="C791" s="36" t="s">
        <v>467</v>
      </c>
      <c r="E791" s="26"/>
      <c r="H791" s="37" t="str">
        <f ca="1">IF(AND(B791="",NOT(A791="")),VLOOKUP(A791,TaskPlan!A:M,13,FALSE),"")</f>
        <v/>
      </c>
      <c r="I791" s="38" t="str">
        <f ca="1">IF(AND(B791="",NOT(A791="")),VLOOKUP(A791,TaskPlan!A:M,12,FALSE),"")</f>
        <v/>
      </c>
      <c r="J791" s="39" t="str">
        <f ca="1">IF(AND(B791="",NOT(A791="")),VLOOKUP(A791,TaskPlan!A:L,2,FALSE),"")</f>
        <v/>
      </c>
      <c r="K791" s="39" t="str">
        <f ca="1">IF(AND(B791="",NOT(A791="")),IF(NOT(LEFT(VLOOKUP(A791,TaskPlan!A:L,3,FALSE),1) = "0"),VLOOKUP(A791,TaskPlan!A:L,3,FALSE),""),"")</f>
        <v/>
      </c>
      <c r="L791" s="55" t="str">
        <f ca="1">IF(AND(B791="",NOT(A791="")),IF(NOT(LEFT(VLOOKUP(A791,TaskPlan!A:L,3,FALSE),1) = "0"),VLOOKUP(A791,TaskPlan!A:M,4,FALSE),""),"")</f>
        <v/>
      </c>
      <c r="N791" s="1" t="str">
        <f ca="1">IF(ISNA(VLOOKUP(A791,Projects!B:B,1,FALSE)),"","Yes")</f>
        <v/>
      </c>
    </row>
    <row r="792" spans="1:14" hidden="1" outlineLevel="1">
      <c r="A792" s="43" t="s">
        <v>468</v>
      </c>
      <c r="B792" s="7" t="s">
        <v>15</v>
      </c>
      <c r="C792" s="45" t="s">
        <v>194</v>
      </c>
      <c r="E792" s="26"/>
      <c r="H792" s="37" t="str">
        <f ca="1">IF(AND(B792="",NOT(A792="")),VLOOKUP(A792,TaskPlan!A:M,13,FALSE),"")</f>
        <v/>
      </c>
      <c r="I792" s="38" t="str">
        <f ca="1">IF(AND(B792="",NOT(A792="")),VLOOKUP(A792,TaskPlan!A:M,12,FALSE),"")</f>
        <v/>
      </c>
      <c r="J792" s="39" t="str">
        <f ca="1">IF(AND(B792="",NOT(A792="")),VLOOKUP(A792,TaskPlan!A:L,2,FALSE),"")</f>
        <v/>
      </c>
      <c r="K792" s="39" t="str">
        <f ca="1">IF(AND(B792="",NOT(A792="")),IF(NOT(LEFT(VLOOKUP(A792,TaskPlan!A:L,3,FALSE),1) = "0"),VLOOKUP(A792,TaskPlan!A:L,3,FALSE),""),"")</f>
        <v/>
      </c>
      <c r="L792" s="55" t="str">
        <f ca="1">IF(AND(B792="",NOT(A792="")),IF(NOT(LEFT(VLOOKUP(A792,TaskPlan!A:L,3,FALSE),1) = "0"),VLOOKUP(A792,TaskPlan!A:M,4,FALSE),""),"")</f>
        <v/>
      </c>
      <c r="N792" s="1" t="str">
        <f ca="1">IF(ISNA(VLOOKUP(A792,Projects!B:B,1,FALSE)),"","Yes")</f>
        <v/>
      </c>
    </row>
    <row r="793" spans="1:14" hidden="1" outlineLevel="1">
      <c r="A793" s="43" t="s">
        <v>1856</v>
      </c>
      <c r="B793" s="7"/>
      <c r="C793" s="44" t="s">
        <v>195</v>
      </c>
      <c r="D793" s="1" t="s">
        <v>20</v>
      </c>
      <c r="E793" s="26">
        <v>39947</v>
      </c>
      <c r="H793" s="37">
        <f ca="1">IF(AND(B793="",NOT(A793="")),VLOOKUP(A793,TaskPlan!A:M,13,FALSE),"")</f>
        <v>39994</v>
      </c>
      <c r="I793" s="38" t="str">
        <f ca="1">IF(AND(B793="",NOT(A793="")),VLOOKUP(A793,TaskPlan!A:M,12,FALSE),"")</f>
        <v>Closed</v>
      </c>
      <c r="J793" s="39" t="str">
        <f ca="1">IF(AND(B793="",NOT(A793="")),VLOOKUP(A793,TaskPlan!A:L,2,FALSE),"")</f>
        <v>Neil</v>
      </c>
      <c r="K793" s="39" t="str">
        <f ca="1">IF(AND(B793="",NOT(A793="")),IF(NOT(LEFT(VLOOKUP(A793,TaskPlan!A:L,3,FALSE),1) = "0"),VLOOKUP(A793,TaskPlan!A:L,3,FALSE),""),"")</f>
        <v/>
      </c>
      <c r="L793" s="55" t="str">
        <f ca="1">IF(AND(B793="",NOT(A793="")),IF(NOT(LEFT(VLOOKUP(A793,TaskPlan!A:L,3,FALSE),1) = "0"),VLOOKUP(A793,TaskPlan!A:M,4,FALSE),""),"")</f>
        <v/>
      </c>
      <c r="M793" s="58" t="str">
        <f ca="1">IF(B793=".",1,IF(AND(B793="",NOT(A793="")),IF(VLOOKUP(A793,TaskPlan!A:L,5,FALSE)&gt;0,VLOOKUP(A793,TaskPlan!A:L,5,FALSE),""),""))</f>
        <v/>
      </c>
      <c r="N793" s="1" t="str">
        <f ca="1">IF(ISNA(VLOOKUP(A793,Projects!B:B,1,FALSE)),"","Yes")</f>
        <v/>
      </c>
    </row>
    <row r="794" spans="1:14" hidden="1" outlineLevel="1">
      <c r="A794" s="43" t="s">
        <v>1855</v>
      </c>
      <c r="B794" s="7"/>
      <c r="C794" s="44" t="s">
        <v>200</v>
      </c>
      <c r="D794" s="1" t="s">
        <v>45</v>
      </c>
      <c r="E794" s="26">
        <v>39948</v>
      </c>
      <c r="H794" s="37">
        <f ca="1">IF(AND(B794="",NOT(A794="")),VLOOKUP(A794,TaskPlan!A:M,13,FALSE),"")</f>
        <v>39983</v>
      </c>
      <c r="I794" s="38" t="str">
        <f ca="1">IF(AND(B794="",NOT(A794="")),VLOOKUP(A794,TaskPlan!A:M,12,FALSE),"")</f>
        <v>Closed</v>
      </c>
      <c r="J794" s="39" t="str">
        <f ca="1">IF(AND(B794="",NOT(A794="")),VLOOKUP(A794,TaskPlan!A:L,2,FALSE),"")</f>
        <v>Neil</v>
      </c>
      <c r="K794" s="39" t="str">
        <f ca="1">IF(AND(B794="",NOT(A794="")),IF(NOT(LEFT(VLOOKUP(A794,TaskPlan!A:L,3,FALSE),1) = "0"),VLOOKUP(A794,TaskPlan!A:L,3,FALSE),""),"")</f>
        <v/>
      </c>
      <c r="L794" s="55" t="str">
        <f ca="1">IF(AND(B794="",NOT(A794="")),IF(NOT(LEFT(VLOOKUP(A794,TaskPlan!A:L,3,FALSE),1) = "0"),VLOOKUP(A794,TaskPlan!A:M,4,FALSE),""),"")</f>
        <v/>
      </c>
      <c r="M794" s="58" t="str">
        <f ca="1">IF(B794=".",1,IF(AND(B794="",NOT(A794="")),IF(VLOOKUP(A794,TaskPlan!A:L,5,FALSE)&gt;0,VLOOKUP(A794,TaskPlan!A:L,5,FALSE),""),""))</f>
        <v/>
      </c>
      <c r="N794" s="1" t="str">
        <f ca="1">IF(ISNA(VLOOKUP(A794,Projects!B:B,1,FALSE)),"","Yes")</f>
        <v/>
      </c>
    </row>
    <row r="795" spans="1:14" hidden="1" outlineLevel="1">
      <c r="A795" s="43" t="s">
        <v>1854</v>
      </c>
      <c r="B795" s="7"/>
      <c r="C795" s="44" t="s">
        <v>201</v>
      </c>
      <c r="D795" s="1" t="s">
        <v>45</v>
      </c>
      <c r="E795" s="26">
        <v>39948</v>
      </c>
      <c r="H795" s="37">
        <f ca="1">IF(AND(B795="",NOT(A795="")),VLOOKUP(A795,TaskPlan!A:M,13,FALSE),"")</f>
        <v>39983</v>
      </c>
      <c r="I795" s="38" t="str">
        <f ca="1">IF(AND(B795="",NOT(A795="")),VLOOKUP(A795,TaskPlan!A:M,12,FALSE),"")</f>
        <v>Closed</v>
      </c>
      <c r="J795" s="39" t="str">
        <f ca="1">IF(AND(B795="",NOT(A795="")),VLOOKUP(A795,TaskPlan!A:L,2,FALSE),"")</f>
        <v>Neil</v>
      </c>
      <c r="K795" s="39" t="str">
        <f ca="1">IF(AND(B795="",NOT(A795="")),IF(NOT(LEFT(VLOOKUP(A795,TaskPlan!A:L,3,FALSE),1) = "0"),VLOOKUP(A795,TaskPlan!A:L,3,FALSE),""),"")</f>
        <v/>
      </c>
      <c r="L795" s="55" t="str">
        <f ca="1">IF(AND(B795="",NOT(A795="")),IF(NOT(LEFT(VLOOKUP(A795,TaskPlan!A:L,3,FALSE),1) = "0"),VLOOKUP(A795,TaskPlan!A:M,4,FALSE),""),"")</f>
        <v/>
      </c>
      <c r="M795" s="58" t="str">
        <f ca="1">IF(B795=".",1,IF(AND(B795="",NOT(A795="")),IF(VLOOKUP(A795,TaskPlan!A:L,5,FALSE)&gt;0,VLOOKUP(A795,TaskPlan!A:L,5,FALSE),""),""))</f>
        <v/>
      </c>
      <c r="N795" s="1" t="str">
        <f ca="1">IF(ISNA(VLOOKUP(A795,Projects!B:B,1,FALSE)),"","Yes")</f>
        <v/>
      </c>
    </row>
    <row r="796" spans="1:14" ht="25.5" hidden="1" outlineLevel="1">
      <c r="A796" s="43" t="s">
        <v>1853</v>
      </c>
      <c r="B796" s="7"/>
      <c r="C796" s="44" t="s">
        <v>501</v>
      </c>
      <c r="D796" s="1" t="s">
        <v>45</v>
      </c>
      <c r="E796" s="26">
        <v>40086</v>
      </c>
      <c r="H796" s="37">
        <f ca="1">IF(AND(B796="",NOT(A796="")),VLOOKUP(A796,TaskPlan!A:M,13,FALSE),"")</f>
        <v>39983</v>
      </c>
      <c r="I796" s="38" t="str">
        <f ca="1">IF(AND(B796="",NOT(A796="")),VLOOKUP(A796,TaskPlan!A:M,12,FALSE),"")</f>
        <v>Closed</v>
      </c>
      <c r="J796" s="39" t="str">
        <f ca="1">IF(AND(B796="",NOT(A796="")),VLOOKUP(A796,TaskPlan!A:L,2,FALSE),"")</f>
        <v>Neil</v>
      </c>
      <c r="K796" s="39" t="str">
        <f ca="1">IF(AND(B796="",NOT(A796="")),IF(NOT(LEFT(VLOOKUP(A796,TaskPlan!A:L,3,FALSE),1) = "0"),VLOOKUP(A796,TaskPlan!A:L,3,FALSE),""),"")</f>
        <v/>
      </c>
      <c r="L796" s="55" t="str">
        <f ca="1">IF(AND(B796="",NOT(A796="")),IF(NOT(LEFT(VLOOKUP(A796,TaskPlan!A:L,3,FALSE),1) = "0"),VLOOKUP(A796,TaskPlan!A:M,4,FALSE),""),"")</f>
        <v/>
      </c>
      <c r="M796" s="58" t="str">
        <f ca="1">IF(B796=".",1,IF(AND(B796="",NOT(A796="")),IF(VLOOKUP(A796,TaskPlan!A:L,5,FALSE)&gt;0,VLOOKUP(A796,TaskPlan!A:L,5,FALSE),""),""))</f>
        <v/>
      </c>
      <c r="N796" s="1" t="str">
        <f ca="1">IF(ISNA(VLOOKUP(A796,Projects!B:B,1,FALSE)),"","Yes")</f>
        <v/>
      </c>
    </row>
    <row r="797" spans="1:14" hidden="1" outlineLevel="1">
      <c r="A797" s="43" t="s">
        <v>1852</v>
      </c>
      <c r="B797" s="7"/>
      <c r="C797" s="44" t="s">
        <v>239</v>
      </c>
      <c r="D797" s="7" t="s">
        <v>11</v>
      </c>
      <c r="E797" s="26">
        <v>39966</v>
      </c>
      <c r="H797" s="37">
        <f ca="1">IF(AND(B797="",NOT(A797="")),VLOOKUP(A797,TaskPlan!A:M,13,FALSE),"")</f>
        <v>39966</v>
      </c>
      <c r="I797" s="38" t="str">
        <f ca="1">IF(AND(B797="",NOT(A797="")),VLOOKUP(A797,TaskPlan!A:M,12,FALSE),"")</f>
        <v>Closed</v>
      </c>
      <c r="J797" s="39" t="str">
        <f ca="1">IF(AND(B797="",NOT(A797="")),VLOOKUP(A797,TaskPlan!A:L,2,FALSE),"")</f>
        <v>Neil</v>
      </c>
      <c r="K797" s="39" t="str">
        <f ca="1">IF(AND(B797="",NOT(A797="")),IF(NOT(LEFT(VLOOKUP(A797,TaskPlan!A:L,3,FALSE),1) = "0"),VLOOKUP(A797,TaskPlan!A:L,3,FALSE),""),"")</f>
        <v/>
      </c>
      <c r="L797" s="55" t="str">
        <f ca="1">IF(AND(B797="",NOT(A797="")),IF(NOT(LEFT(VLOOKUP(A797,TaskPlan!A:L,3,FALSE),1) = "0"),VLOOKUP(A797,TaskPlan!A:M,4,FALSE),""),"")</f>
        <v/>
      </c>
      <c r="M797" s="58" t="str">
        <f ca="1">IF(B797=".",1,IF(AND(B797="",NOT(A797="")),IF(VLOOKUP(A797,TaskPlan!A:L,5,FALSE)&gt;0,VLOOKUP(A797,TaskPlan!A:L,5,FALSE),""),""))</f>
        <v/>
      </c>
      <c r="N797" s="1" t="str">
        <f ca="1">IF(ISNA(VLOOKUP(A797,Projects!B:B,1,FALSE)),"","Yes")</f>
        <v/>
      </c>
    </row>
    <row r="798" spans="1:14" hidden="1" outlineLevel="1">
      <c r="A798" s="43" t="s">
        <v>1851</v>
      </c>
      <c r="B798" s="7"/>
      <c r="C798" s="44" t="s">
        <v>1062</v>
      </c>
      <c r="D798" s="1" t="s">
        <v>20</v>
      </c>
      <c r="E798" s="26">
        <v>40283</v>
      </c>
      <c r="F798" s="25">
        <v>5</v>
      </c>
      <c r="G798" s="28" t="s">
        <v>1099</v>
      </c>
      <c r="H798" s="37">
        <f ca="1">IF(AND(B798="",NOT(A798="")),VLOOKUP(A798,TaskPlan!A:M,13,FALSE),"")</f>
        <v>40394</v>
      </c>
      <c r="I798" s="38" t="str">
        <f ca="1">IF(AND(B798="",NOT(A798="")),VLOOKUP(A798,TaskPlan!A:M,12,FALSE),"")</f>
        <v>Cancelled</v>
      </c>
      <c r="J798" s="39" t="str">
        <f ca="1">IF(AND(B798="",NOT(A798="")),VLOOKUP(A798,TaskPlan!A:L,2,FALSE),"")</f>
        <v>Paresh</v>
      </c>
      <c r="K798" s="39" t="str">
        <f ca="1">IF(AND(B798="",NOT(A798="")),IF(NOT(LEFT(VLOOKUP(A798,TaskPlan!A:L,3,FALSE),1) = "0"),VLOOKUP(A798,TaskPlan!A:L,3,FALSE),""),"")</f>
        <v/>
      </c>
      <c r="L798" s="55" t="str">
        <f ca="1">IF(AND(B798="",NOT(A798="")),IF(NOT(LEFT(VLOOKUP(A798,TaskPlan!A:L,3,FALSE),1) = "0"),VLOOKUP(A798,TaskPlan!A:M,4,FALSE),""),"")</f>
        <v/>
      </c>
      <c r="M798" s="58" t="str">
        <f ca="1">IF(B798=".",1,IF(AND(B798="",NOT(A798="")),IF(VLOOKUP(A798,TaskPlan!A:L,5,FALSE)&gt;0,VLOOKUP(A798,TaskPlan!A:L,5,FALSE),""),""))</f>
        <v/>
      </c>
      <c r="N798" s="1" t="str">
        <f ca="1">IF(ISNA(VLOOKUP(A798,Projects!B:B,1,FALSE)),"","Yes")</f>
        <v/>
      </c>
    </row>
    <row r="799" spans="1:14" ht="25.5" hidden="1" outlineLevel="1">
      <c r="A799" s="43" t="s">
        <v>1850</v>
      </c>
      <c r="B799" s="7"/>
      <c r="C799" s="44" t="s">
        <v>433</v>
      </c>
      <c r="D799" s="1" t="s">
        <v>20</v>
      </c>
      <c r="E799" s="26">
        <v>40052</v>
      </c>
      <c r="F799" s="25">
        <v>3</v>
      </c>
      <c r="H799" s="37">
        <f ca="1">IF(AND(B799="",NOT(A799="")),VLOOKUP(A799,TaskPlan!A:M,13,FALSE),"")</f>
        <v>40205</v>
      </c>
      <c r="I799" s="38" t="str">
        <f ca="1">IF(AND(B799="",NOT(A799="")),VLOOKUP(A799,TaskPlan!A:M,12,FALSE),"")</f>
        <v>Closed</v>
      </c>
      <c r="J799" s="39" t="str">
        <f ca="1">IF(AND(B799="",NOT(A799="")),VLOOKUP(A799,TaskPlan!A:L,2,FALSE),"")</f>
        <v>Neil</v>
      </c>
      <c r="K799" s="39" t="str">
        <f ca="1">IF(AND(B799="",NOT(A799="")),IF(NOT(LEFT(VLOOKUP(A799,TaskPlan!A:L,3,FALSE),1) = "0"),VLOOKUP(A799,TaskPlan!A:L,3,FALSE),""),"")</f>
        <v/>
      </c>
      <c r="L799" s="55" t="str">
        <f ca="1">IF(AND(B799="",NOT(A799="")),IF(NOT(LEFT(VLOOKUP(A799,TaskPlan!A:L,3,FALSE),1) = "0"),VLOOKUP(A799,TaskPlan!A:M,4,FALSE),""),"")</f>
        <v/>
      </c>
      <c r="M799" s="58" t="str">
        <f ca="1">IF(B799=".",1,IF(AND(B799="",NOT(A799="")),IF(VLOOKUP(A799,TaskPlan!A:L,5,FALSE)&gt;0,VLOOKUP(A799,TaskPlan!A:L,5,FALSE),""),""))</f>
        <v/>
      </c>
      <c r="N799" s="1" t="str">
        <f ca="1">IF(ISNA(VLOOKUP(A799,Projects!B:B,1,FALSE)),"","Yes")</f>
        <v/>
      </c>
    </row>
    <row r="800" spans="1:14" hidden="1" outlineLevel="1">
      <c r="A800" s="43" t="s">
        <v>1849</v>
      </c>
      <c r="B800" s="7"/>
      <c r="C800" s="44" t="s">
        <v>833</v>
      </c>
      <c r="D800" s="7" t="s">
        <v>315</v>
      </c>
      <c r="E800" s="26">
        <v>40196</v>
      </c>
      <c r="F800" s="25">
        <v>2</v>
      </c>
      <c r="G800" s="28" t="s">
        <v>1099</v>
      </c>
      <c r="H800" s="37">
        <f ca="1">IF(AND(B800="",NOT(A800="")),VLOOKUP(A800,TaskPlan!A:M,13,FALSE),"")</f>
        <v>40512</v>
      </c>
      <c r="I800" s="38" t="str">
        <f ca="1">IF(AND(B800="",NOT(A800="")),VLOOKUP(A800,TaskPlan!A:M,12,FALSE),"")</f>
        <v>Closed</v>
      </c>
      <c r="J800" s="39" t="str">
        <f ca="1">IF(AND(B800="",NOT(A800="")),VLOOKUP(A800,TaskPlan!A:L,2,FALSE),"")</f>
        <v>Sachin</v>
      </c>
      <c r="K800" s="39" t="str">
        <f ca="1">IF(AND(B800="",NOT(A800="")),IF(NOT(LEFT(VLOOKUP(A800,TaskPlan!A:L,3,FALSE),1) = "0"),VLOOKUP(A800,TaskPlan!A:L,3,FALSE),""),"")</f>
        <v/>
      </c>
      <c r="L800" s="55" t="str">
        <f ca="1">IF(AND(B800="",NOT(A800="")),IF(NOT(LEFT(VLOOKUP(A800,TaskPlan!A:L,3,FALSE),1) = "0"),VLOOKUP(A800,TaskPlan!A:M,4,FALSE),""),"")</f>
        <v/>
      </c>
      <c r="M800" s="58" t="str">
        <f ca="1">IF(B800=".",1,IF(AND(B800="",NOT(A800="")),IF(VLOOKUP(A800,TaskPlan!A:L,5,FALSE)&gt;0,VLOOKUP(A800,TaskPlan!A:L,5,FALSE),""),""))</f>
        <v/>
      </c>
      <c r="N800" s="1" t="str">
        <f ca="1">IF(ISNA(VLOOKUP(A800,Projects!B:B,1,FALSE)),"","Yes")</f>
        <v/>
      </c>
    </row>
    <row r="801" spans="1:14" ht="25.5" hidden="1" outlineLevel="1">
      <c r="A801" s="43" t="s">
        <v>1848</v>
      </c>
      <c r="B801" s="7"/>
      <c r="C801" s="44" t="s">
        <v>1401</v>
      </c>
      <c r="D801" s="7" t="s">
        <v>11</v>
      </c>
      <c r="E801" s="26">
        <v>40394</v>
      </c>
      <c r="F801" s="25">
        <v>2</v>
      </c>
      <c r="G801" s="28" t="s">
        <v>1099</v>
      </c>
      <c r="H801" s="37">
        <f ca="1">IF(AND(B801="",NOT(A801="")),VLOOKUP(A801,TaskPlan!A:M,13,FALSE),"")</f>
        <v>40512</v>
      </c>
      <c r="I801" s="38" t="str">
        <f ca="1">IF(AND(B801="",NOT(A801="")),VLOOKUP(A801,TaskPlan!A:M,12,FALSE),"")</f>
        <v>Closed</v>
      </c>
      <c r="J801" s="39" t="str">
        <f ca="1">IF(AND(B801="",NOT(A801="")),VLOOKUP(A801,TaskPlan!A:L,2,FALSE),"")</f>
        <v>Sachin</v>
      </c>
      <c r="K801" s="39" t="str">
        <f ca="1">IF(AND(B801="",NOT(A801="")),IF(NOT(LEFT(VLOOKUP(A801,TaskPlan!A:L,3,FALSE),1) = "0"),VLOOKUP(A801,TaskPlan!A:L,3,FALSE),""),"")</f>
        <v/>
      </c>
      <c r="L801" s="55" t="str">
        <f ca="1">IF(AND(B801="",NOT(A801="")),IF(NOT(LEFT(VLOOKUP(A801,TaskPlan!A:L,3,FALSE),1) = "0"),VLOOKUP(A801,TaskPlan!A:M,4,FALSE),""),"")</f>
        <v/>
      </c>
      <c r="M801" s="58" t="str">
        <f ca="1">IF(B801=".",1,IF(AND(B801="",NOT(A801="")),IF(VLOOKUP(A801,TaskPlan!A:L,5,FALSE)&gt;0,VLOOKUP(A801,TaskPlan!A:L,5,FALSE),""),""))</f>
        <v/>
      </c>
    </row>
    <row r="802" spans="1:14" hidden="1" outlineLevel="1">
      <c r="A802" s="43" t="s">
        <v>1847</v>
      </c>
      <c r="B802" s="7"/>
      <c r="C802" s="44" t="s">
        <v>1857</v>
      </c>
      <c r="D802" s="7" t="s">
        <v>366</v>
      </c>
      <c r="E802" s="26">
        <v>40563</v>
      </c>
      <c r="F802" s="25">
        <v>4</v>
      </c>
      <c r="G802" s="28" t="s">
        <v>1098</v>
      </c>
      <c r="H802" s="37">
        <f ca="1">IF(AND(B802="",NOT(A802="")),VLOOKUP(A802,TaskPlan!A:M,13,FALSE),"")</f>
        <v>40563</v>
      </c>
      <c r="I802" s="38" t="str">
        <f ca="1">IF(AND(B802="",NOT(A802="")),VLOOKUP(A802,TaskPlan!A:M,12,FALSE),"")</f>
        <v>Not Started</v>
      </c>
      <c r="J802" s="39" t="str">
        <f ca="1">IF(AND(B802="",NOT(A802="")),VLOOKUP(A802,TaskPlan!A:L,2,FALSE),"")</f>
        <v>Unassigned</v>
      </c>
      <c r="L802" s="55"/>
    </row>
    <row r="803" spans="1:14" collapsed="1">
      <c r="H803" s="37" t="str">
        <f ca="1">IF(AND(B803="",NOT(A803="")),VLOOKUP(A803,TaskPlan!A:M,13,FALSE),"")</f>
        <v/>
      </c>
      <c r="I803" s="38" t="str">
        <f ca="1">IF(AND(B803="",NOT(A803="")),VLOOKUP(A803,TaskPlan!A:M,12,FALSE),"")</f>
        <v/>
      </c>
      <c r="J803" s="39" t="str">
        <f ca="1">IF(AND(B803="",NOT(A803="")),VLOOKUP(A803,TaskPlan!A:L,2,FALSE),"")</f>
        <v/>
      </c>
      <c r="K803" s="39" t="str">
        <f ca="1">IF(AND(B803="",NOT(A803="")),IF(NOT(LEFT(VLOOKUP(A803,TaskPlan!A:L,3,FALSE),1) = "0"),VLOOKUP(A803,TaskPlan!A:L,3,FALSE),""),"")</f>
        <v/>
      </c>
      <c r="L803" s="55" t="str">
        <f ca="1">IF(AND(B803="",NOT(A803="")),IF(NOT(LEFT(VLOOKUP(A803,TaskPlan!A:L,3,FALSE),1) = "0"),VLOOKUP(A803,TaskPlan!A:M,4,FALSE),""),"")</f>
        <v/>
      </c>
      <c r="M803" s="58" t="str">
        <f ca="1">IF(B803=".",1,IF(AND(B803="",NOT(A803="")),IF(VLOOKUP(A803,TaskPlan!A:L,5,FALSE)&gt;0,VLOOKUP(A803,TaskPlan!A:L,5,FALSE),""),""))</f>
        <v/>
      </c>
      <c r="N803" s="1" t="str">
        <f ca="1">IF(ISNA(VLOOKUP(A803,Projects!B:B,1,FALSE)),"","Yes")</f>
        <v/>
      </c>
    </row>
    <row r="804" spans="1:14" ht="15.75">
      <c r="A804" s="43" t="s">
        <v>635</v>
      </c>
      <c r="B804" s="7" t="s">
        <v>15</v>
      </c>
      <c r="C804" s="36" t="s">
        <v>289</v>
      </c>
      <c r="H804" s="37" t="str">
        <f ca="1">IF(AND(B804="",NOT(A804="")),VLOOKUP(A804,TaskPlan!A:M,13,FALSE),"")</f>
        <v/>
      </c>
      <c r="I804" s="38" t="str">
        <f ca="1">IF(AND(B804="",NOT(A804="")),VLOOKUP(A804,TaskPlan!A:M,12,FALSE),"")</f>
        <v/>
      </c>
      <c r="J804" s="39" t="str">
        <f ca="1">IF(AND(B804="",NOT(A804="")),VLOOKUP(A804,TaskPlan!A:L,2,FALSE),"")</f>
        <v/>
      </c>
      <c r="K804" s="39" t="str">
        <f ca="1">IF(AND(B804="",NOT(A804="")),IF(NOT(LEFT(VLOOKUP(A804,TaskPlan!A:L,3,FALSE),1) = "0"),VLOOKUP(A804,TaskPlan!A:L,3,FALSE),""),"")</f>
        <v/>
      </c>
      <c r="L804" s="55" t="str">
        <f ca="1">IF(AND(B804="",NOT(A804="")),IF(NOT(LEFT(VLOOKUP(A804,TaskPlan!A:L,3,FALSE),1) = "0"),VLOOKUP(A804,TaskPlan!A:M,4,FALSE),""),"")</f>
        <v/>
      </c>
      <c r="N804" s="1" t="str">
        <f ca="1">IF(ISNA(VLOOKUP(A804,Projects!B:B,1,FALSE)),"","Yes")</f>
        <v/>
      </c>
    </row>
    <row r="805" spans="1:14" hidden="1" outlineLevel="1">
      <c r="A805" s="46" t="s">
        <v>636</v>
      </c>
      <c r="C805" s="42" t="s">
        <v>637</v>
      </c>
      <c r="D805" s="7" t="s">
        <v>45</v>
      </c>
      <c r="E805" s="26">
        <v>40120</v>
      </c>
      <c r="F805" s="25">
        <f>0.1*52</f>
        <v>5.2</v>
      </c>
      <c r="G805" s="28" t="s">
        <v>289</v>
      </c>
      <c r="H805" s="37">
        <f ca="1">IF(AND(B805="",NOT(A805="")),VLOOKUP(A805,TaskPlan!A:M,13,FALSE),"")</f>
        <v>40406</v>
      </c>
      <c r="I805" s="38" t="str">
        <f ca="1">IF(AND(B805="",NOT(A805="")),VLOOKUP(A805,TaskPlan!A:M,12,FALSE),"")</f>
        <v>Closed</v>
      </c>
      <c r="J805" s="39" t="str">
        <f ca="1">IF(AND(B805="",NOT(A805="")),VLOOKUP(A805,TaskPlan!A:L,2,FALSE),"")</f>
        <v>All</v>
      </c>
      <c r="K805" s="39" t="str">
        <f ca="1">IF(AND(B805="",NOT(A805="")),IF(NOT(LEFT(VLOOKUP(A805,TaskPlan!A:L,3,FALSE),1) = "0"),VLOOKUP(A805,TaskPlan!A:L,3,FALSE),""),"")</f>
        <v/>
      </c>
      <c r="L805" s="55" t="str">
        <f ca="1">IF(AND(B805="",NOT(A805="")),IF(NOT(LEFT(VLOOKUP(A805,TaskPlan!A:L,3,FALSE),1) = "0"),VLOOKUP(A805,TaskPlan!A:M,4,FALSE),""),"")</f>
        <v/>
      </c>
      <c r="M805" s="58" t="str">
        <f ca="1">IF(B805=".",1,IF(AND(B805="",NOT(A805="")),IF(VLOOKUP(A805,TaskPlan!A:L,5,FALSE)&gt;0,VLOOKUP(A805,TaskPlan!A:L,5,FALSE),""),""))</f>
        <v/>
      </c>
      <c r="N805" s="1" t="str">
        <f ca="1">IF(ISNA(VLOOKUP(A805,Projects!B:B,1,FALSE)),"","Yes")</f>
        <v/>
      </c>
    </row>
    <row r="806" spans="1:14" hidden="1" outlineLevel="1">
      <c r="A806" s="43" t="s">
        <v>698</v>
      </c>
      <c r="C806" s="44" t="s">
        <v>699</v>
      </c>
      <c r="D806" s="7" t="s">
        <v>11</v>
      </c>
      <c r="E806" s="26">
        <v>40135</v>
      </c>
      <c r="F806" s="25">
        <f>0.5*52*0.5</f>
        <v>13</v>
      </c>
      <c r="G806" s="28" t="s">
        <v>289</v>
      </c>
      <c r="H806" s="37">
        <f ca="1">IF(AND(B806="",NOT(A806="")),VLOOKUP(A806,TaskPlan!A:M,13,FALSE),"")</f>
        <v>40406</v>
      </c>
      <c r="I806" s="38" t="str">
        <f ca="1">IF(AND(B806="",NOT(A806="")),VLOOKUP(A806,TaskPlan!A:M,12,FALSE),"")</f>
        <v>Closed</v>
      </c>
      <c r="J806" s="39" t="str">
        <f ca="1">IF(AND(B806="",NOT(A806="")),VLOOKUP(A806,TaskPlan!A:L,2,FALSE),"")</f>
        <v>All</v>
      </c>
      <c r="K806" s="39" t="str">
        <f ca="1">IF(AND(B806="",NOT(A806="")),IF(NOT(LEFT(VLOOKUP(A806,TaskPlan!A:L,3,FALSE),1) = "0"),VLOOKUP(A806,TaskPlan!A:L,3,FALSE),""),"")</f>
        <v>4-HIGH</v>
      </c>
      <c r="L806" s="55">
        <f ca="1">IF(AND(B806="",NOT(A806="")),IF(NOT(LEFT(VLOOKUP(A806,TaskPlan!A:L,3,FALSE),1) = "0"),VLOOKUP(A806,TaskPlan!A:M,4,FALSE),""),"")</f>
        <v>0</v>
      </c>
      <c r="M806" s="58" t="str">
        <f ca="1">IF(B806=".",1,IF(AND(B806="",NOT(A806="")),IF(VLOOKUP(A806,TaskPlan!A:L,5,FALSE)&gt;0,VLOOKUP(A806,TaskPlan!A:L,5,FALSE),""),""))</f>
        <v/>
      </c>
      <c r="N806" s="1" t="str">
        <f ca="1">IF(ISNA(VLOOKUP(A806,Projects!B:B,1,FALSE)),"","Yes")</f>
        <v/>
      </c>
    </row>
    <row r="807" spans="1:14" hidden="1" outlineLevel="1">
      <c r="A807" s="43" t="s">
        <v>700</v>
      </c>
      <c r="C807" s="44" t="s">
        <v>701</v>
      </c>
      <c r="D807" s="7" t="s">
        <v>11</v>
      </c>
      <c r="E807" s="26">
        <v>40135</v>
      </c>
      <c r="F807" s="25">
        <f>1*52*0.5</f>
        <v>26</v>
      </c>
      <c r="G807" s="28" t="s">
        <v>289</v>
      </c>
      <c r="H807" s="37">
        <f ca="1">IF(AND(B807="",NOT(A807="")),VLOOKUP(A807,TaskPlan!A:M,13,FALSE),"")</f>
        <v>40283</v>
      </c>
      <c r="I807" s="38" t="str">
        <f ca="1">IF(AND(B807="",NOT(A807="")),VLOOKUP(A807,TaskPlan!A:M,12,FALSE),"")</f>
        <v>Support</v>
      </c>
      <c r="J807" s="39" t="str">
        <f ca="1">IF(AND(B807="",NOT(A807="")),VLOOKUP(A807,TaskPlan!A:L,2,FALSE),"")</f>
        <v>All</v>
      </c>
      <c r="K807" s="39" t="str">
        <f ca="1">IF(AND(B807="",NOT(A807="")),IF(NOT(LEFT(VLOOKUP(A807,TaskPlan!A:L,3,FALSE),1) = "0"),VLOOKUP(A807,TaskPlan!A:L,3,FALSE),""),"")</f>
        <v>4-HIGH</v>
      </c>
      <c r="L807" s="55">
        <f ca="1">IF(AND(B807="",NOT(A807="")),IF(NOT(LEFT(VLOOKUP(A807,TaskPlan!A:L,3,FALSE),1) = "0"),VLOOKUP(A807,TaskPlan!A:M,4,FALSE),""),"")</f>
        <v>0</v>
      </c>
      <c r="M807" s="58" t="str">
        <f ca="1">IF(B807=".",1,IF(AND(B807="",NOT(A807="")),IF(VLOOKUP(A807,TaskPlan!A:L,5,FALSE)&gt;0,VLOOKUP(A807,TaskPlan!A:L,5,FALSE),""),""))</f>
        <v/>
      </c>
      <c r="N807" s="1" t="str">
        <f ca="1">IF(ISNA(VLOOKUP(A807,Projects!B:B,1,FALSE)),"","Yes")</f>
        <v/>
      </c>
    </row>
    <row r="808" spans="1:14" hidden="1" outlineLevel="1">
      <c r="A808" s="43" t="s">
        <v>706</v>
      </c>
      <c r="C808" s="44" t="s">
        <v>707</v>
      </c>
      <c r="D808" s="7" t="s">
        <v>11</v>
      </c>
      <c r="E808" s="26">
        <v>40135</v>
      </c>
      <c r="F808" s="25">
        <f>0.25*52*0.5</f>
        <v>6.5</v>
      </c>
      <c r="G808" s="28" t="s">
        <v>289</v>
      </c>
      <c r="H808" s="37">
        <f ca="1">IF(AND(B808="",NOT(A808="")),VLOOKUP(A808,TaskPlan!A:M,13,FALSE),"")</f>
        <v>40406</v>
      </c>
      <c r="I808" s="38" t="str">
        <f ca="1">IF(AND(B808="",NOT(A808="")),VLOOKUP(A808,TaskPlan!A:M,12,FALSE),"")</f>
        <v>Closed</v>
      </c>
      <c r="J808" s="39" t="str">
        <f ca="1">IF(AND(B808="",NOT(A808="")),VLOOKUP(A808,TaskPlan!A:L,2,FALSE),"")</f>
        <v>All</v>
      </c>
      <c r="K808" s="39" t="str">
        <f ca="1">IF(AND(B808="",NOT(A808="")),IF(NOT(LEFT(VLOOKUP(A808,TaskPlan!A:L,3,FALSE),1) = "0"),VLOOKUP(A808,TaskPlan!A:L,3,FALSE),""),"")</f>
        <v/>
      </c>
      <c r="L808" s="55" t="str">
        <f ca="1">IF(AND(B808="",NOT(A808="")),IF(NOT(LEFT(VLOOKUP(A808,TaskPlan!A:L,3,FALSE),1) = "0"),VLOOKUP(A808,TaskPlan!A:M,4,FALSE),""),"")</f>
        <v/>
      </c>
      <c r="M808" s="58" t="str">
        <f ca="1">IF(B808=".",1,IF(AND(B808="",NOT(A808="")),IF(VLOOKUP(A808,TaskPlan!A:L,5,FALSE)&gt;0,VLOOKUP(A808,TaskPlan!A:L,5,FALSE),""),""))</f>
        <v/>
      </c>
      <c r="N808" s="1" t="str">
        <f ca="1">IF(ISNA(VLOOKUP(A808,Projects!B:B,1,FALSE)),"","Yes")</f>
        <v/>
      </c>
    </row>
    <row r="809" spans="1:14" hidden="1" outlineLevel="1">
      <c r="A809" s="43" t="s">
        <v>1090</v>
      </c>
      <c r="B809" s="1" t="s">
        <v>15</v>
      </c>
      <c r="C809" s="45" t="s">
        <v>1091</v>
      </c>
      <c r="D809" s="7"/>
      <c r="E809" s="26"/>
      <c r="H809" s="37" t="str">
        <f ca="1">IF(AND(B809="",NOT(A809="")),VLOOKUP(A809,TaskPlan!A:M,13,FALSE),"")</f>
        <v/>
      </c>
      <c r="I809" s="38" t="str">
        <f ca="1">IF(AND(B809="",NOT(A809="")),VLOOKUP(A809,TaskPlan!A:M,12,FALSE),"")</f>
        <v/>
      </c>
      <c r="L809" s="55"/>
      <c r="N809" s="1" t="str">
        <f ca="1">IF(ISNA(VLOOKUP(A809,Projects!B:B,1,FALSE)),"","Yes")</f>
        <v/>
      </c>
    </row>
    <row r="810" spans="1:14" hidden="1" outlineLevel="1">
      <c r="A810" s="43" t="s">
        <v>1092</v>
      </c>
      <c r="C810" s="44" t="s">
        <v>1093</v>
      </c>
      <c r="D810" s="7" t="s">
        <v>45</v>
      </c>
      <c r="E810" s="26">
        <v>40288</v>
      </c>
      <c r="F810" s="25">
        <v>2</v>
      </c>
      <c r="H810" s="37">
        <f ca="1">IF(AND(B810="",NOT(A810="")),VLOOKUP(A810,TaskPlan!A:M,13,FALSE),"")</f>
        <v>40303</v>
      </c>
      <c r="I810" s="38" t="str">
        <f ca="1">IF(AND(B810="",NOT(A810="")),VLOOKUP(A810,TaskPlan!A:M,12,FALSE),"")</f>
        <v>Closed</v>
      </c>
      <c r="J810" s="39" t="str">
        <f ca="1">IF(AND(B810="",NOT(A810="")),VLOOKUP(A810,TaskPlan!A:L,2,FALSE),"")</f>
        <v>Sachin</v>
      </c>
      <c r="K810" s="39" t="str">
        <f ca="1">IF(AND(B810="",NOT(A810="")),IF(NOT(LEFT(VLOOKUP(A810,TaskPlan!A:L,3,FALSE),1) = "0"),VLOOKUP(A810,TaskPlan!A:L,3,FALSE),""),"")</f>
        <v/>
      </c>
      <c r="L810" s="55" t="str">
        <f ca="1">IF(AND(B810="",NOT(A810="")),IF(NOT(LEFT(VLOOKUP(A810,TaskPlan!A:L,3,FALSE),1) = "0"),VLOOKUP(A810,TaskPlan!A:M,4,FALSE),""),"")</f>
        <v/>
      </c>
      <c r="N810" s="1" t="str">
        <f ca="1">IF(ISNA(VLOOKUP(A810,Projects!B:B,1,FALSE)),"","Yes")</f>
        <v/>
      </c>
    </row>
    <row r="811" spans="1:14" hidden="1" outlineLevel="1">
      <c r="A811" s="43" t="s">
        <v>1135</v>
      </c>
      <c r="C811" s="44" t="s">
        <v>1136</v>
      </c>
      <c r="D811" s="7" t="s">
        <v>45</v>
      </c>
      <c r="E811" s="26">
        <v>40304</v>
      </c>
      <c r="F811" s="25">
        <v>2</v>
      </c>
      <c r="H811" s="37">
        <f ca="1">IF(AND(B811="",NOT(A811="")),VLOOKUP(A811,TaskPlan!A:M,13,FALSE),"")</f>
        <v>40305</v>
      </c>
      <c r="I811" s="38" t="str">
        <f ca="1">IF(AND(B811="",NOT(A811="")),VLOOKUP(A811,TaskPlan!A:M,12,FALSE),"")</f>
        <v>Closed</v>
      </c>
      <c r="J811" s="39" t="str">
        <f ca="1">IF(AND(B811="",NOT(A811="")),VLOOKUP(A811,TaskPlan!A:L,2,FALSE),"")</f>
        <v>Sachin</v>
      </c>
      <c r="K811" s="39" t="str">
        <f ca="1">IF(AND(B811="",NOT(A811="")),IF(NOT(LEFT(VLOOKUP(A811,TaskPlan!A:L,3,FALSE),1) = "0"),VLOOKUP(A811,TaskPlan!A:L,3,FALSE),""),"")</f>
        <v/>
      </c>
      <c r="L811" s="55" t="str">
        <f ca="1">IF(AND(B811="",NOT(A811="")),IF(NOT(LEFT(VLOOKUP(A811,TaskPlan!A:L,3,FALSE),1) = "0"),VLOOKUP(A811,TaskPlan!A:M,4,FALSE),""),"")</f>
        <v/>
      </c>
      <c r="N811" s="1" t="str">
        <f ca="1">IF(ISNA(VLOOKUP(A811,Projects!B:B,1,FALSE)),"","Yes")</f>
        <v/>
      </c>
    </row>
    <row r="812" spans="1:14" hidden="1" outlineLevel="1">
      <c r="A812" s="43" t="s">
        <v>1371</v>
      </c>
      <c r="C812" s="44" t="s">
        <v>1372</v>
      </c>
      <c r="D812" s="7" t="s">
        <v>366</v>
      </c>
      <c r="E812" s="26">
        <v>40387</v>
      </c>
      <c r="F812" s="25">
        <v>2</v>
      </c>
      <c r="G812" s="25" t="s">
        <v>289</v>
      </c>
      <c r="H812" s="37">
        <f ca="1">IF(AND(B812="",NOT(A812="")),VLOOKUP(A812,TaskPlan!A:M,13,FALSE),"")</f>
        <v>40406</v>
      </c>
      <c r="I812" s="38" t="str">
        <f ca="1">IF(AND(B812="",NOT(A812="")),VLOOKUP(A812,TaskPlan!A:M,12,FALSE),"")</f>
        <v>Closed</v>
      </c>
      <c r="J812" s="39" t="str">
        <f ca="1">IF(AND(B812="",NOT(A812="")),VLOOKUP(A812,TaskPlan!A:L,2,FALSE),"")</f>
        <v>Sachin</v>
      </c>
      <c r="K812" s="39" t="str">
        <f ca="1">IF(AND(B812="",NOT(A812="")),IF(NOT(LEFT(VLOOKUP(A812,TaskPlan!A:L,3,FALSE),1) = "0"),VLOOKUP(A812,TaskPlan!A:L,3,FALSE),""),"")</f>
        <v/>
      </c>
      <c r="L812" s="55" t="str">
        <f ca="1">IF(AND(B812="",NOT(A812="")),IF(NOT(LEFT(VLOOKUP(A812,TaskPlan!A:L,3,FALSE),1) = "0"),VLOOKUP(A812,TaskPlan!A:M,4,FALSE),""),"")</f>
        <v/>
      </c>
      <c r="M812" s="58" t="str">
        <f ca="1">IF(B812=".",1,IF(AND(B812="",NOT(A812="")),IF(VLOOKUP(A812,TaskPlan!A:L,5,FALSE)&gt;0,VLOOKUP(A812,TaskPlan!A:L,5,FALSE),""),""))</f>
        <v/>
      </c>
    </row>
    <row r="813" spans="1:14" hidden="1" outlineLevel="1">
      <c r="A813" s="43" t="s">
        <v>1426</v>
      </c>
      <c r="C813" s="44" t="s">
        <v>1427</v>
      </c>
      <c r="D813" s="7" t="s">
        <v>919</v>
      </c>
      <c r="E813" s="26">
        <v>40410</v>
      </c>
      <c r="F813" s="25">
        <v>2</v>
      </c>
      <c r="G813" s="25" t="s">
        <v>289</v>
      </c>
      <c r="H813" s="37">
        <f ca="1">IF(AND(B813="",NOT(A813="")),VLOOKUP(A813,TaskPlan!A:M,13,FALSE),"")</f>
        <v>40429</v>
      </c>
      <c r="I813" s="38" t="str">
        <f ca="1">IF(AND(B813="",NOT(A813="")),VLOOKUP(A813,TaskPlan!A:M,12,FALSE),"")</f>
        <v>Closed</v>
      </c>
      <c r="J813" s="39" t="str">
        <f ca="1">IF(AND(B813="",NOT(A813="")),VLOOKUP(A813,TaskPlan!A:L,2,FALSE),"")</f>
        <v>Sreevani</v>
      </c>
      <c r="K813" s="39" t="str">
        <f ca="1">IF(AND(B813="",NOT(A813="")),IF(NOT(LEFT(VLOOKUP(A813,TaskPlan!A:L,3,FALSE),1) = "0"),VLOOKUP(A813,TaskPlan!A:L,3,FALSE),""),"")</f>
        <v/>
      </c>
      <c r="L813" s="55" t="str">
        <f ca="1">IF(AND(B813="",NOT(A813="")),IF(NOT(LEFT(VLOOKUP(A813,TaskPlan!A:L,3,FALSE),1) = "0"),VLOOKUP(A813,TaskPlan!A:M,4,FALSE),""),"")</f>
        <v/>
      </c>
      <c r="M813" s="58" t="str">
        <f ca="1">IF(B813=".",1,IF(AND(B813="",NOT(A813="")),IF(VLOOKUP(A813,TaskPlan!A:L,5,FALSE)&gt;0,VLOOKUP(A813,TaskPlan!A:L,5,FALSE),""),""))</f>
        <v/>
      </c>
      <c r="N813" s="1" t="str">
        <f ca="1">IF(ISNA(VLOOKUP(A813,Projects!B:B,1,FALSE)),"","Yes")</f>
        <v/>
      </c>
    </row>
    <row r="814" spans="1:14" hidden="1" outlineLevel="1">
      <c r="A814" s="43" t="s">
        <v>1499</v>
      </c>
      <c r="C814" s="44" t="s">
        <v>1500</v>
      </c>
      <c r="D814" s="7" t="s">
        <v>1159</v>
      </c>
      <c r="E814" s="26">
        <v>40429</v>
      </c>
      <c r="F814" s="25">
        <v>4</v>
      </c>
      <c r="G814" s="25" t="s">
        <v>1098</v>
      </c>
      <c r="H814" s="37">
        <f ca="1">IF(AND(B814="",NOT(A814="")),VLOOKUP(A814,TaskPlan!A:M,13,FALSE),"")</f>
        <v>40553</v>
      </c>
      <c r="I814" s="38" t="str">
        <f ca="1">IF(AND(B814="",NOT(A814="")),VLOOKUP(A814,TaskPlan!A:M,12,FALSE),"")</f>
        <v>In Progress</v>
      </c>
      <c r="J814" s="39" t="str">
        <f ca="1">IF(AND(B814="",NOT(A814="")),VLOOKUP(A814,TaskPlan!A:L,2,FALSE),"")</f>
        <v>Sreevani</v>
      </c>
      <c r="K814" s="39" t="str">
        <f ca="1">IF(AND(B814="",NOT(A814="")),IF(NOT(LEFT(VLOOKUP(A814,TaskPlan!A:L,3,FALSE),1) = "0"),VLOOKUP(A814,TaskPlan!A:L,3,FALSE),""),"")</f>
        <v>2-LOW</v>
      </c>
      <c r="L814" s="55">
        <f ca="1">IF(AND(B814="",NOT(A814="")),IF(NOT(LEFT(VLOOKUP(A814,TaskPlan!A:L,3,FALSE),1) = "0"),VLOOKUP(A814,TaskPlan!A:M,4,FALSE),""),"")</f>
        <v>0</v>
      </c>
      <c r="M814" s="58" t="str">
        <f ca="1">IF(B814=".",1,IF(AND(B814="",NOT(A814="")),IF(VLOOKUP(A814,TaskPlan!A:L,5,FALSE)&gt;0,VLOOKUP(A814,TaskPlan!A:L,5,FALSE),""),""))</f>
        <v/>
      </c>
      <c r="N814" s="1" t="str">
        <f ca="1">IF(ISNA(VLOOKUP(A814,Projects!B:B,1,FALSE)),"","Yes")</f>
        <v/>
      </c>
    </row>
    <row r="815" spans="1:14" hidden="1" outlineLevel="1">
      <c r="A815" s="43" t="s">
        <v>1697</v>
      </c>
      <c r="C815" s="44" t="s">
        <v>1698</v>
      </c>
      <c r="D815" s="7" t="s">
        <v>11</v>
      </c>
      <c r="E815" s="26">
        <v>40504</v>
      </c>
      <c r="F815" s="25">
        <v>0.5</v>
      </c>
      <c r="G815" s="25" t="s">
        <v>289</v>
      </c>
      <c r="H815" s="37">
        <f ca="1">IF(AND(B815="",NOT(A815="")),VLOOKUP(A815,TaskPlan!A:M,13,FALSE),"")</f>
        <v>40526</v>
      </c>
      <c r="I815" s="38" t="str">
        <f ca="1">IF(AND(B815="",NOT(A815="")),VLOOKUP(A815,TaskPlan!A:M,12,FALSE),"")</f>
        <v>Closed</v>
      </c>
      <c r="J815" s="39" t="str">
        <f ca="1">IF(AND(B815="",NOT(A815="")),VLOOKUP(A815,TaskPlan!A:L,2,FALSE),"")</f>
        <v>Neil</v>
      </c>
      <c r="K815" s="39" t="str">
        <f ca="1">IF(AND(B815="",NOT(A815="")),IF(NOT(LEFT(VLOOKUP(A815,TaskPlan!A:L,3,FALSE),1) = "0"),VLOOKUP(A815,TaskPlan!A:L,3,FALSE),""),"")</f>
        <v/>
      </c>
      <c r="L815" s="55" t="str">
        <f ca="1">IF(AND(B815="",NOT(A815="")),IF(NOT(LEFT(VLOOKUP(A815,TaskPlan!A:L,3,FALSE),1) = "0"),VLOOKUP(A815,TaskPlan!A:M,4,FALSE),""),"")</f>
        <v/>
      </c>
      <c r="M815" s="58" t="str">
        <f ca="1">IF(B815=".",1,IF(AND(B815="",NOT(A815="")),IF(VLOOKUP(A815,TaskPlan!A:L,5,FALSE)&gt;0,VLOOKUP(A815,TaskPlan!A:L,5,FALSE),""),""))</f>
        <v/>
      </c>
    </row>
    <row r="816" spans="1:14" hidden="1" outlineLevel="1">
      <c r="A816" s="43" t="s">
        <v>1706</v>
      </c>
      <c r="C816" s="44" t="s">
        <v>1707</v>
      </c>
      <c r="D816" s="7" t="s">
        <v>45</v>
      </c>
      <c r="E816" s="26">
        <v>40504</v>
      </c>
      <c r="F816" s="25">
        <v>1</v>
      </c>
      <c r="G816" s="25" t="s">
        <v>289</v>
      </c>
      <c r="H816" s="37">
        <f ca="1">IF(AND(B816="",NOT(A816="")),VLOOKUP(A816,TaskPlan!A:M,13,FALSE),"")</f>
        <v>40512</v>
      </c>
      <c r="I816" s="38" t="str">
        <f ca="1">IF(AND(B816="",NOT(A816="")),VLOOKUP(A816,TaskPlan!A:M,12,FALSE),"")</f>
        <v>Closed</v>
      </c>
      <c r="J816" s="39" t="str">
        <f ca="1">IF(AND(B816="",NOT(A816="")),VLOOKUP(A816,TaskPlan!A:L,2,FALSE),"")</f>
        <v>Pramendra</v>
      </c>
      <c r="K816" s="39" t="str">
        <f ca="1">IF(AND(B816="",NOT(A816="")),IF(NOT(LEFT(VLOOKUP(A816,TaskPlan!A:L,3,FALSE),1) = "0"),VLOOKUP(A816,TaskPlan!A:L,3,FALSE),""),"")</f>
        <v/>
      </c>
      <c r="L816" s="55" t="str">
        <f ca="1">IF(AND(B816="",NOT(A816="")),IF(NOT(LEFT(VLOOKUP(A816,TaskPlan!A:L,3,FALSE),1) = "0"),VLOOKUP(A816,TaskPlan!A:M,4,FALSE),""),"")</f>
        <v/>
      </c>
      <c r="M816" s="58" t="str">
        <f ca="1">IF(B816=".",1,IF(AND(B816="",NOT(A816="")),IF(VLOOKUP(A816,TaskPlan!A:L,5,FALSE)&gt;0,VLOOKUP(A816,TaskPlan!A:L,5,FALSE),""),""))</f>
        <v/>
      </c>
    </row>
    <row r="817" spans="1:14" collapsed="1">
      <c r="E817" s="26"/>
      <c r="H817" s="37" t="str">
        <f ca="1">IF(AND(B817="",NOT(A817="")),VLOOKUP(A817,TaskPlan!A:M,13,FALSE),"")</f>
        <v/>
      </c>
      <c r="I817" s="38" t="str">
        <f ca="1">IF(AND(B817="",NOT(A817="")),VLOOKUP(A817,TaskPlan!A:M,12,FALSE),"")</f>
        <v/>
      </c>
      <c r="J817" s="39" t="str">
        <f ca="1">IF(AND(B817="",NOT(A817="")),VLOOKUP(A817,TaskPlan!A:L,2,FALSE),"")</f>
        <v/>
      </c>
      <c r="K817" s="39" t="str">
        <f ca="1">IF(AND(B817="",NOT(A817="")),IF(NOT(LEFT(VLOOKUP(A817,TaskPlan!A:L,3,FALSE),1) = "0"),VLOOKUP(A817,TaskPlan!A:L,3,FALSE),""),"")</f>
        <v/>
      </c>
      <c r="L817" s="55" t="str">
        <f ca="1">IF(AND(B817="",NOT(A817="")),IF(NOT(LEFT(VLOOKUP(A817,TaskPlan!A:L,3,FALSE),1) = "0"),VLOOKUP(A817,TaskPlan!A:M,4,FALSE),""),"")</f>
        <v/>
      </c>
      <c r="M817" s="58" t="str">
        <f ca="1">IF(B817=".",1,IF(AND(B817="",NOT(A817="")),IF(VLOOKUP(A817,TaskPlan!A:L,5,FALSE)&gt;0,VLOOKUP(A817,TaskPlan!A:L,5,FALSE),""),""))</f>
        <v/>
      </c>
      <c r="N817" s="1" t="str">
        <f ca="1">IF(ISNA(VLOOKUP(A817,Projects!B:B,1,FALSE)),"","Yes")</f>
        <v/>
      </c>
    </row>
    <row r="818" spans="1:14" ht="15.75">
      <c r="A818" s="46" t="s">
        <v>638</v>
      </c>
      <c r="B818" s="1" t="s">
        <v>15</v>
      </c>
      <c r="C818" s="36" t="s">
        <v>910</v>
      </c>
      <c r="E818" s="26"/>
      <c r="H818" s="37" t="str">
        <f ca="1">IF(AND(B818="",NOT(A818="")),VLOOKUP(A818,TaskPlan!A:M,13,FALSE),"")</f>
        <v/>
      </c>
      <c r="I818" s="38" t="str">
        <f ca="1">IF(AND(B818="",NOT(A818="")),VLOOKUP(A818,TaskPlan!A:M,12,FALSE),"")</f>
        <v/>
      </c>
      <c r="J818" s="39" t="str">
        <f ca="1">IF(AND(B818="",NOT(A818="")),VLOOKUP(A818,TaskPlan!A:L,2,FALSE),"")</f>
        <v/>
      </c>
      <c r="K818" s="39" t="str">
        <f ca="1">IF(AND(B818="",NOT(A818="")),IF(NOT(LEFT(VLOOKUP(A818,TaskPlan!A:L,3,FALSE),1) = "0"),VLOOKUP(A818,TaskPlan!A:L,3,FALSE),""),"")</f>
        <v/>
      </c>
      <c r="L818" s="55" t="str">
        <f ca="1">IF(AND(B818="",NOT(A818="")),IF(NOT(LEFT(VLOOKUP(A818,TaskPlan!A:L,3,FALSE),1) = "0"),VLOOKUP(A818,TaskPlan!A:M,4,FALSE),""),"")</f>
        <v/>
      </c>
      <c r="M818" s="58">
        <f ca="1">IF(B818=".",1,IF(AND(B818="",NOT(A818="")),IF(VLOOKUP(A818,TaskPlan!A:L,5,FALSE)&gt;0,VLOOKUP(A818,TaskPlan!A:L,5,FALSE),""),""))</f>
        <v>1</v>
      </c>
      <c r="N818" s="1" t="str">
        <f ca="1">IF(ISNA(VLOOKUP(A818,Projects!B:B,1,FALSE)),"","Yes")</f>
        <v/>
      </c>
    </row>
    <row r="819" spans="1:14">
      <c r="A819" s="43" t="s">
        <v>639</v>
      </c>
      <c r="B819" s="7" t="s">
        <v>15</v>
      </c>
      <c r="C819" s="45" t="s">
        <v>1966</v>
      </c>
      <c r="E819" s="26"/>
      <c r="L819" s="55"/>
    </row>
    <row r="820" spans="1:14" outlineLevel="1">
      <c r="A820" s="46" t="s">
        <v>911</v>
      </c>
      <c r="C820" s="44" t="s">
        <v>656</v>
      </c>
      <c r="D820" s="1" t="s">
        <v>20</v>
      </c>
      <c r="E820" s="26">
        <v>40120</v>
      </c>
      <c r="F820" s="25">
        <v>2</v>
      </c>
      <c r="G820" s="28" t="s">
        <v>1099</v>
      </c>
      <c r="H820" s="37">
        <f ca="1">IF(AND(B820="",NOT(A820="")),VLOOKUP(A820,TaskPlan!A:M,13,FALSE),"")</f>
        <v>40567</v>
      </c>
      <c r="I820" s="38" t="str">
        <f ca="1">IF(AND(B820="",NOT(A820="")),VLOOKUP(A820,TaskPlan!A:M,12,FALSE),"")</f>
        <v>In Progress</v>
      </c>
      <c r="J820" s="39" t="str">
        <f ca="1">IF(AND(B820="",NOT(A820="")),VLOOKUP(A820,TaskPlan!A:L,2,FALSE),"")</f>
        <v>Neil</v>
      </c>
      <c r="K820" s="39" t="str">
        <f ca="1">IF(AND(B820="",NOT(A820="")),IF(NOT(LEFT(VLOOKUP(A820,TaskPlan!A:L,3,FALSE),1) = "0"),VLOOKUP(A820,TaskPlan!A:L,3,FALSE),""),"")</f>
        <v>1-LOW</v>
      </c>
      <c r="L820" s="55">
        <f ca="1">IF(AND(B820="",NOT(A820="")),IF(NOT(LEFT(VLOOKUP(A820,TaskPlan!A:L,3,FALSE),1) = "0"),VLOOKUP(A820,TaskPlan!A:M,4,FALSE),""),"")</f>
        <v>0</v>
      </c>
      <c r="M820" s="58" t="str">
        <f ca="1">IF(B820=".",1,IF(AND(B820="",NOT(A820="")),IF(VLOOKUP(A820,TaskPlan!A:L,5,FALSE)&gt;0,VLOOKUP(A820,TaskPlan!A:L,5,FALSE),""),""))</f>
        <v/>
      </c>
      <c r="N820" s="1" t="str">
        <f ca="1">IF(ISNA(VLOOKUP(A820,Projects!B:B,1,FALSE)),"","Yes")</f>
        <v/>
      </c>
    </row>
    <row r="821" spans="1:14" outlineLevel="1">
      <c r="A821" s="46" t="s">
        <v>913</v>
      </c>
      <c r="C821" s="44" t="s">
        <v>912</v>
      </c>
      <c r="D821" s="1" t="s">
        <v>20</v>
      </c>
      <c r="E821" s="26">
        <v>40219</v>
      </c>
      <c r="F821" s="25">
        <v>0.5</v>
      </c>
      <c r="H821" s="37">
        <f ca="1">IF(AND(B821="",NOT(A821="")),VLOOKUP(A821,TaskPlan!A:M,13,FALSE),"")</f>
        <v>40219</v>
      </c>
      <c r="I821" s="38" t="str">
        <f ca="1">IF(AND(B821="",NOT(A821="")),VLOOKUP(A821,TaskPlan!A:M,12,FALSE),"")</f>
        <v>Closed</v>
      </c>
      <c r="J821" s="39" t="str">
        <f ca="1">IF(AND(B821="",NOT(A821="")),VLOOKUP(A821,TaskPlan!A:L,2,FALSE),"")</f>
        <v>Neil</v>
      </c>
      <c r="K821" s="39" t="str">
        <f ca="1">IF(AND(B821="",NOT(A821="")),IF(NOT(LEFT(VLOOKUP(A821,TaskPlan!A:L,3,FALSE),1) = "0"),VLOOKUP(A821,TaskPlan!A:L,3,FALSE),""),"")</f>
        <v/>
      </c>
      <c r="L821" s="55" t="str">
        <f ca="1">IF(AND(B821="",NOT(A821="")),IF(NOT(LEFT(VLOOKUP(A821,TaskPlan!A:L,3,FALSE),1) = "0"),VLOOKUP(A821,TaskPlan!A:M,4,FALSE),""),"")</f>
        <v/>
      </c>
      <c r="M821" s="58" t="str">
        <f ca="1">IF(B821=".",1,IF(AND(B821="",NOT(A821="")),IF(VLOOKUP(A821,TaskPlan!A:L,5,FALSE)&gt;0,VLOOKUP(A821,TaskPlan!A:L,5,FALSE),""),""))</f>
        <v/>
      </c>
      <c r="N821" s="1" t="str">
        <f ca="1">IF(ISNA(VLOOKUP(A821,Projects!B:B,1,FALSE)),"","Yes")</f>
        <v/>
      </c>
    </row>
    <row r="822" spans="1:14" outlineLevel="1">
      <c r="A822" s="46" t="s">
        <v>999</v>
      </c>
      <c r="C822" s="44" t="s">
        <v>914</v>
      </c>
      <c r="D822" s="1" t="s">
        <v>11</v>
      </c>
      <c r="E822" s="26">
        <v>40219</v>
      </c>
      <c r="F822" s="25">
        <v>1</v>
      </c>
      <c r="G822" s="28" t="s">
        <v>1099</v>
      </c>
      <c r="H822" s="37">
        <f ca="1">IF(AND(B822="",NOT(A822="")),VLOOKUP(A822,TaskPlan!A:M,13,FALSE),"")</f>
        <v>40406</v>
      </c>
      <c r="I822" s="38" t="str">
        <f ca="1">IF(AND(B822="",NOT(A822="")),VLOOKUP(A822,TaskPlan!A:M,12,FALSE),"")</f>
        <v>Closed</v>
      </c>
      <c r="J822" s="39" t="str">
        <f ca="1">IF(AND(B822="",NOT(A822="")),VLOOKUP(A822,TaskPlan!A:L,2,FALSE),"")</f>
        <v>Paresh</v>
      </c>
      <c r="K822" s="39" t="str">
        <f ca="1">IF(AND(B822="",NOT(A822="")),IF(NOT(LEFT(VLOOKUP(A822,TaskPlan!A:L,3,FALSE),1) = "0"),VLOOKUP(A822,TaskPlan!A:L,3,FALSE),""),"")</f>
        <v/>
      </c>
      <c r="L822" s="55" t="str">
        <f ca="1">IF(AND(B822="",NOT(A822="")),IF(NOT(LEFT(VLOOKUP(A822,TaskPlan!A:L,3,FALSE),1) = "0"),VLOOKUP(A822,TaskPlan!A:M,4,FALSE),""),"")</f>
        <v/>
      </c>
      <c r="M822" s="58" t="str">
        <f ca="1">IF(B822=".",1,IF(AND(B822="",NOT(A822="")),IF(VLOOKUP(A822,TaskPlan!A:L,5,FALSE)&gt;0,VLOOKUP(A822,TaskPlan!A:L,5,FALSE),""),""))</f>
        <v/>
      </c>
      <c r="N822" s="1" t="str">
        <f ca="1">IF(ISNA(VLOOKUP(A822,Projects!B:B,1,FALSE)),"","Yes")</f>
        <v/>
      </c>
    </row>
    <row r="823" spans="1:14" outlineLevel="1">
      <c r="A823" s="43" t="s">
        <v>1181</v>
      </c>
      <c r="C823" s="44" t="s">
        <v>1000</v>
      </c>
      <c r="D823" s="1" t="s">
        <v>11</v>
      </c>
      <c r="E823" s="26">
        <v>40253</v>
      </c>
      <c r="F823" s="25">
        <v>1</v>
      </c>
      <c r="G823" s="28" t="s">
        <v>1099</v>
      </c>
      <c r="H823" s="37">
        <f ca="1">IF(AND(B823="",NOT(A823="")),VLOOKUP(A823,TaskPlan!A:M,13,FALSE),"")</f>
        <v>40406</v>
      </c>
      <c r="I823" s="38" t="str">
        <f ca="1">IF(AND(B823="",NOT(A823="")),VLOOKUP(A823,TaskPlan!A:M,12,FALSE),"")</f>
        <v>Closed</v>
      </c>
      <c r="J823" s="39" t="str">
        <f ca="1">IF(AND(B823="",NOT(A823="")),VLOOKUP(A823,TaskPlan!A:L,2,FALSE),"")</f>
        <v>Paresh</v>
      </c>
      <c r="K823" s="39" t="str">
        <f ca="1">IF(AND(B823="",NOT(A823="")),IF(NOT(LEFT(VLOOKUP(A823,TaskPlan!A:L,3,FALSE),1) = "0"),VLOOKUP(A823,TaskPlan!A:L,3,FALSE),""),"")</f>
        <v/>
      </c>
      <c r="L823" s="55" t="str">
        <f ca="1">IF(AND(B823="",NOT(A823="")),IF(NOT(LEFT(VLOOKUP(A823,TaskPlan!A:L,3,FALSE),1) = "0"),VLOOKUP(A823,TaskPlan!A:M,4,FALSE),""),"")</f>
        <v/>
      </c>
      <c r="M823" s="58" t="str">
        <f ca="1">IF(B823=".",1,IF(AND(B823="",NOT(A823="")),IF(VLOOKUP(A823,TaskPlan!A:L,5,FALSE)&gt;0,VLOOKUP(A823,TaskPlan!A:L,5,FALSE),""),""))</f>
        <v/>
      </c>
      <c r="N823" s="1" t="str">
        <f ca="1">IF(ISNA(VLOOKUP(A823,Projects!B:B,1,FALSE)),"","Yes")</f>
        <v/>
      </c>
    </row>
    <row r="824" spans="1:14" outlineLevel="1">
      <c r="A824" s="43" t="s">
        <v>1197</v>
      </c>
      <c r="C824" s="44" t="s">
        <v>1198</v>
      </c>
      <c r="D824" s="7" t="s">
        <v>11</v>
      </c>
      <c r="E824" s="26">
        <v>40337</v>
      </c>
      <c r="F824" s="25">
        <v>1</v>
      </c>
      <c r="G824" s="28" t="s">
        <v>1099</v>
      </c>
      <c r="H824" s="37">
        <f ca="1">IF(AND(B824="",NOT(A824="")),VLOOKUP(A824,TaskPlan!A:M,13,FALSE),"")</f>
        <v>40514</v>
      </c>
      <c r="I824" s="38" t="str">
        <f ca="1">IF(AND(B824="",NOT(A824="")),VLOOKUP(A824,TaskPlan!A:M,12,FALSE),"")</f>
        <v>Not Started</v>
      </c>
      <c r="J824" s="39" t="str">
        <f ca="1">IF(AND(B824="",NOT(A824="")),VLOOKUP(A824,TaskPlan!A:L,2,FALSE),"")</f>
        <v>Neil</v>
      </c>
      <c r="K824" s="39" t="str">
        <f ca="1">IF(AND(B824="",NOT(A824="")),IF(NOT(LEFT(VLOOKUP(A824,TaskPlan!A:L,3,FALSE),1) = "0"),VLOOKUP(A824,TaskPlan!A:L,3,FALSE),""),"")</f>
        <v>3-MED</v>
      </c>
      <c r="L824" s="55">
        <f ca="1">IF(AND(B824="",NOT(A824="")),IF(NOT(LEFT(VLOOKUP(A824,TaskPlan!A:L,3,FALSE),1) = "0"),VLOOKUP(A824,TaskPlan!A:M,4,FALSE),""),"")</f>
        <v>0</v>
      </c>
      <c r="N824" s="1" t="str">
        <f ca="1">IF(ISNA(VLOOKUP(A824,Projects!B:B,1,FALSE)),"","Yes")</f>
        <v/>
      </c>
    </row>
    <row r="825" spans="1:14" outlineLevel="1">
      <c r="A825" s="43" t="s">
        <v>1967</v>
      </c>
      <c r="C825" s="44" t="s">
        <v>1182</v>
      </c>
      <c r="D825" s="7" t="s">
        <v>11</v>
      </c>
      <c r="E825" s="26">
        <v>40337</v>
      </c>
      <c r="F825" s="25">
        <v>7</v>
      </c>
      <c r="G825" s="28" t="s">
        <v>1099</v>
      </c>
      <c r="H825" s="37">
        <f ca="1">IF(AND(B825="",NOT(A825="")),VLOOKUP(A825,TaskPlan!A:M,13,FALSE),"")</f>
        <v>40325</v>
      </c>
      <c r="I825" s="38" t="str">
        <f ca="1">IF(AND(B825="",NOT(A825="")),VLOOKUP(A825,TaskPlan!A:M,12,FALSE),"")</f>
        <v>Not Started</v>
      </c>
      <c r="J825" s="39" t="str">
        <f ca="1">IF(AND(B825="",NOT(A825="")),VLOOKUP(A825,TaskPlan!A:L,2,FALSE),"")</f>
        <v>Unassigned</v>
      </c>
      <c r="K825" s="39" t="str">
        <f ca="1">IF(AND(B825="",NOT(A825="")),IF(NOT(LEFT(VLOOKUP(A825,TaskPlan!A:L,3,FALSE),1) = "0"),VLOOKUP(A825,TaskPlan!A:L,3,FALSE),""),"")</f>
        <v>3-MED</v>
      </c>
      <c r="L825" s="55">
        <f ca="1">IF(AND(B825="",NOT(A825="")),IF(NOT(LEFT(VLOOKUP(A825,TaskPlan!A:L,3,FALSE),1) = "0"),VLOOKUP(A825,TaskPlan!A:M,4,FALSE),""),"")</f>
        <v>0</v>
      </c>
      <c r="N825" s="1" t="str">
        <f ca="1">IF(ISNA(VLOOKUP(A825,Projects!B:B,1,FALSE)),"","Yes")</f>
        <v/>
      </c>
    </row>
    <row r="826" spans="1:14" outlineLevel="1">
      <c r="A826" s="43" t="s">
        <v>712</v>
      </c>
      <c r="C826" s="44" t="s">
        <v>711</v>
      </c>
      <c r="D826" s="1" t="s">
        <v>20</v>
      </c>
      <c r="E826" s="26">
        <v>40135</v>
      </c>
      <c r="F826" s="25">
        <v>180</v>
      </c>
      <c r="G826" s="28" t="s">
        <v>1099</v>
      </c>
      <c r="H826" s="37">
        <f ca="1">IF(AND(B826="",NOT(A826="")),VLOOKUP(A826,TaskPlan!A:M,13,FALSE),"")</f>
        <v>40283</v>
      </c>
      <c r="I826" s="38" t="str">
        <f ca="1">IF(AND(B826="",NOT(A826="")),VLOOKUP(A826,TaskPlan!A:M,12,FALSE),"")</f>
        <v>Tentative</v>
      </c>
      <c r="J826" s="39" t="str">
        <f ca="1">IF(AND(B826="",NOT(A826="")),VLOOKUP(A826,TaskPlan!A:L,2,FALSE),"")</f>
        <v>Unassigned</v>
      </c>
      <c r="K826" s="39" t="str">
        <f ca="1">IF(AND(B826="",NOT(A826="")),IF(NOT(LEFT(VLOOKUP(A826,TaskPlan!A:L,3,FALSE),1) = "0"),VLOOKUP(A826,TaskPlan!A:L,3,FALSE),""),"")</f>
        <v>3-MED</v>
      </c>
      <c r="L826" s="55">
        <f ca="1">IF(AND(B826="",NOT(A826="")),IF(NOT(LEFT(VLOOKUP(A826,TaskPlan!A:L,3,FALSE),1) = "0"),VLOOKUP(A826,TaskPlan!A:M,4,FALSE),""),"")</f>
        <v>0</v>
      </c>
      <c r="M826" s="58" t="str">
        <f ca="1">IF(B826=".",1,IF(AND(B826="",NOT(A826="")),IF(VLOOKUP(A826,TaskPlan!A:L,5,FALSE)&gt;0,VLOOKUP(A826,TaskPlan!A:L,5,FALSE),""),""))</f>
        <v/>
      </c>
      <c r="N826" s="1" t="str">
        <f ca="1">IF(ISNA(VLOOKUP(A826,Projects!B:B,1,FALSE)),"","Yes")</f>
        <v/>
      </c>
    </row>
    <row r="827" spans="1:14" outlineLevel="1">
      <c r="A827" s="43" t="s">
        <v>1040</v>
      </c>
      <c r="B827" s="1" t="s">
        <v>15</v>
      </c>
      <c r="C827" s="45" t="s">
        <v>1041</v>
      </c>
      <c r="E827" s="26"/>
      <c r="H827" s="37" t="str">
        <f ca="1">IF(AND(B827="",NOT(A827="")),VLOOKUP(A827,TaskPlan!A:M,13,FALSE),"")</f>
        <v/>
      </c>
      <c r="I827" s="38" t="str">
        <f ca="1">IF(AND(B827="",NOT(A827="")),VLOOKUP(A827,TaskPlan!A:M,12,FALSE),"")</f>
        <v/>
      </c>
      <c r="L827" s="55" t="str">
        <f ca="1">IF(AND(B827="",NOT(A827="")),IF(NOT(LEFT(VLOOKUP(A827,TaskPlan!A:L,3,FALSE),1) = "0"),VLOOKUP(A827,TaskPlan!A:M,4,FALSE),""),"")</f>
        <v/>
      </c>
      <c r="N827" s="1" t="str">
        <f ca="1">IF(ISNA(VLOOKUP(A827,Projects!B:B,1,FALSE)),"","Yes")</f>
        <v/>
      </c>
    </row>
    <row r="828" spans="1:14" outlineLevel="1">
      <c r="A828" s="43" t="s">
        <v>1042</v>
      </c>
      <c r="C828" s="44" t="s">
        <v>1043</v>
      </c>
      <c r="D828" s="7" t="s">
        <v>11</v>
      </c>
      <c r="E828" s="26">
        <v>40275</v>
      </c>
      <c r="F828" s="25">
        <v>2</v>
      </c>
      <c r="H828" s="37">
        <f ca="1">IF(AND(B828="",NOT(A828="")),VLOOKUP(A828,TaskPlan!A:M,13,FALSE),"")</f>
        <v>40283</v>
      </c>
      <c r="I828" s="38" t="str">
        <f ca="1">IF(AND(B828="",NOT(A828="")),VLOOKUP(A828,TaskPlan!A:M,12,FALSE),"")</f>
        <v>Closed</v>
      </c>
      <c r="J828" s="39" t="str">
        <f ca="1">IF(AND(B828="",NOT(A828="")),VLOOKUP(A828,TaskPlan!A:L,2,FALSE),"")</f>
        <v>Neil</v>
      </c>
      <c r="K828" s="39" t="str">
        <f ca="1">IF(AND(B828="",NOT(A828="")),IF(NOT(LEFT(VLOOKUP(A828,TaskPlan!A:L,3,FALSE),1) = "0"),VLOOKUP(A828,TaskPlan!A:L,3,FALSE),""),"")</f>
        <v/>
      </c>
      <c r="L828" s="55" t="str">
        <f ca="1">IF(AND(B828="",NOT(A828="")),IF(NOT(LEFT(VLOOKUP(A828,TaskPlan!A:L,3,FALSE),1) = "0"),VLOOKUP(A828,TaskPlan!A:M,4,FALSE),""),"")</f>
        <v/>
      </c>
      <c r="M828" s="58" t="str">
        <f ca="1">IF(B828=".",1,IF(AND(B828="",NOT(A828="")),IF(VLOOKUP(A828,TaskPlan!A:L,5,FALSE)&gt;0,VLOOKUP(A828,TaskPlan!A:L,5,FALSE),""),""))</f>
        <v/>
      </c>
      <c r="N828" s="1" t="str">
        <f ca="1">IF(ISNA(VLOOKUP(A828,Projects!B:B,1,FALSE)),"","Yes")</f>
        <v/>
      </c>
    </row>
    <row r="829" spans="1:14">
      <c r="E829" s="26"/>
      <c r="H829" s="37" t="str">
        <f ca="1">IF(AND(B829="",NOT(A829="")),VLOOKUP(A829,TaskPlan!A:M,13,FALSE),"")</f>
        <v/>
      </c>
      <c r="I829" s="38" t="str">
        <f ca="1">IF(AND(B829="",NOT(A829="")),VLOOKUP(A829,TaskPlan!A:M,12,FALSE),"")</f>
        <v/>
      </c>
      <c r="L829" s="55" t="str">
        <f ca="1">IF(AND(B829="",NOT(A829="")),IF(NOT(LEFT(VLOOKUP(A829,TaskPlan!A:L,3,FALSE),1) = "0"),VLOOKUP(A829,TaskPlan!A:M,4,FALSE),""),"")</f>
        <v/>
      </c>
      <c r="M829" s="58" t="str">
        <f ca="1">IF(B829=".",1,IF(AND(B829="",NOT(A829="")),IF(VLOOKUP(A829,TaskPlan!A:L,5,FALSE)&gt;0,VLOOKUP(A829,TaskPlan!A:L,5,FALSE),""),""))</f>
        <v/>
      </c>
      <c r="N829" s="1" t="str">
        <f ca="1">IF(ISNA(VLOOKUP(A829,Projects!B:B,1,FALSE)),"","Yes")</f>
        <v/>
      </c>
    </row>
    <row r="830" spans="1:14" ht="15.75">
      <c r="A830" s="43" t="s">
        <v>708</v>
      </c>
      <c r="B830" s="7" t="s">
        <v>15</v>
      </c>
      <c r="C830" s="36" t="s">
        <v>709</v>
      </c>
      <c r="E830" s="26"/>
      <c r="H830" s="37" t="str">
        <f ca="1">IF(AND(B830="",NOT(A830="")),VLOOKUP(A830,TaskPlan!A:M,13,FALSE),"")</f>
        <v/>
      </c>
      <c r="I830" s="38" t="str">
        <f ca="1">IF(AND(B830="",NOT(A830="")),VLOOKUP(A830,TaskPlan!A:M,12,FALSE),"")</f>
        <v/>
      </c>
      <c r="L830" s="55" t="str">
        <f ca="1">IF(AND(B830="",NOT(A830="")),IF(NOT(LEFT(VLOOKUP(A830,TaskPlan!A:L,3,FALSE),1) = "0"),VLOOKUP(A830,TaskPlan!A:M,4,FALSE),""),"")</f>
        <v/>
      </c>
      <c r="M830" s="58">
        <f ca="1">IF(B830=".",1,IF(AND(B830="",NOT(A830="")),IF(VLOOKUP(A830,TaskPlan!A:L,5,FALSE)&gt;0,VLOOKUP(A830,TaskPlan!A:L,5,FALSE),""),""))</f>
        <v>1</v>
      </c>
      <c r="N830" s="1" t="str">
        <f ca="1">IF(ISNA(VLOOKUP(A830,Projects!B:B,1,FALSE)),"","Yes")</f>
        <v/>
      </c>
    </row>
    <row r="831" spans="1:14" hidden="1" outlineLevel="1">
      <c r="A831" s="43" t="s">
        <v>710</v>
      </c>
      <c r="B831" s="1" t="s">
        <v>15</v>
      </c>
      <c r="C831" s="45" t="s">
        <v>715</v>
      </c>
      <c r="E831" s="26"/>
      <c r="L831" s="55"/>
    </row>
    <row r="832" spans="1:14" hidden="1" outlineLevel="1">
      <c r="A832" s="43" t="s">
        <v>1931</v>
      </c>
      <c r="C832" s="44" t="s">
        <v>866</v>
      </c>
      <c r="D832" s="1" t="s">
        <v>20</v>
      </c>
      <c r="E832" s="26">
        <v>40200</v>
      </c>
      <c r="F832" s="25">
        <v>2</v>
      </c>
      <c r="H832" s="37">
        <f ca="1">IF(AND(B832="",NOT(A832="")),VLOOKUP(A832,TaskPlan!A:M,13,FALSE),"")</f>
        <v>40218</v>
      </c>
      <c r="I832" s="38" t="str">
        <f ca="1">IF(AND(B832="",NOT(A832="")),VLOOKUP(A832,TaskPlan!A:M,12,FALSE),"")</f>
        <v>Closed</v>
      </c>
      <c r="J832" s="39" t="str">
        <f ca="1">IF(AND(B832="",NOT(A832="")),VLOOKUP(A832,TaskPlan!A:L,2,FALSE),"")</f>
        <v>Neil</v>
      </c>
      <c r="K832" s="39" t="str">
        <f ca="1">IF(AND(B832="",NOT(A832="")),IF(NOT(LEFT(VLOOKUP(A832,TaskPlan!A:L,3,FALSE),1) = "0"),VLOOKUP(A832,TaskPlan!A:L,3,FALSE),""),"")</f>
        <v/>
      </c>
      <c r="L832" s="55" t="str">
        <f ca="1">IF(AND(B832="",NOT(A832="")),IF(NOT(LEFT(VLOOKUP(A832,TaskPlan!A:L,3,FALSE),1) = "0"),VLOOKUP(A832,TaskPlan!A:M,4,FALSE),""),"")</f>
        <v/>
      </c>
      <c r="M832" s="58" t="str">
        <f ca="1">IF(B832=".",1,IF(AND(B832="",NOT(A832="")),IF(VLOOKUP(A832,TaskPlan!A:L,5,FALSE)&gt;0,VLOOKUP(A832,TaskPlan!A:L,5,FALSE),""),""))</f>
        <v/>
      </c>
      <c r="N832" s="1" t="str">
        <f ca="1">IF(ISNA(VLOOKUP(A832,Projects!B:B,1,FALSE)),"","Yes")</f>
        <v/>
      </c>
    </row>
    <row r="833" spans="1:14" hidden="1" outlineLevel="1">
      <c r="A833" s="43" t="s">
        <v>1932</v>
      </c>
      <c r="C833" s="44" t="s">
        <v>1933</v>
      </c>
      <c r="D833" s="7" t="s">
        <v>11</v>
      </c>
      <c r="E833" s="26">
        <v>40590</v>
      </c>
      <c r="F833" s="25">
        <v>5</v>
      </c>
      <c r="G833" s="25" t="s">
        <v>1099</v>
      </c>
      <c r="H833" s="37">
        <f ca="1">IF(AND(B833="",NOT(A833="")),VLOOKUP(A833,TaskPlan!A:M,13,FALSE),"")</f>
        <v>40590</v>
      </c>
      <c r="I833" s="38" t="str">
        <f ca="1">IF(AND(B833="",NOT(A833="")),VLOOKUP(A833,TaskPlan!A:M,12,FALSE),"")</f>
        <v>In Progress</v>
      </c>
      <c r="J833" s="39" t="str">
        <f ca="1">IF(AND(B833="",NOT(A833="")),VLOOKUP(A833,TaskPlan!A:L,2,FALSE),"")</f>
        <v>Pramendra</v>
      </c>
      <c r="K833" s="39" t="str">
        <f ca="1">IF(AND(B833="",NOT(A833="")),IF(NOT(LEFT(VLOOKUP(A833,TaskPlan!A:L,3,FALSE),1) = "0"),VLOOKUP(A833,TaskPlan!A:L,3,FALSE),""),"")</f>
        <v>5-HIGH</v>
      </c>
      <c r="L833" s="55">
        <f ca="1">IF(AND(B833="",NOT(A833="")),IF(NOT(LEFT(VLOOKUP(A833,TaskPlan!A:L,3,FALSE),1) = "0"),VLOOKUP(A833,TaskPlan!A:M,4,FALSE),""),"")</f>
        <v>0</v>
      </c>
      <c r="M833" s="58" t="str">
        <f ca="1">IF(B833=".",1,IF(AND(B833="",NOT(A833="")),IF(VLOOKUP(A833,TaskPlan!A:L,5,FALSE)&gt;0,VLOOKUP(A833,TaskPlan!A:L,5,FALSE),""),""))</f>
        <v/>
      </c>
      <c r="N833" s="1" t="str">
        <f ca="1">IF(ISNA(VLOOKUP(A833,Projects!B:B,1,FALSE)),"","Yes")</f>
        <v/>
      </c>
    </row>
    <row r="834" spans="1:14" hidden="1" outlineLevel="1">
      <c r="A834" s="43" t="s">
        <v>782</v>
      </c>
      <c r="B834" s="7" t="s">
        <v>15</v>
      </c>
      <c r="C834" s="45" t="s">
        <v>889</v>
      </c>
      <c r="D834" s="7" t="s">
        <v>11</v>
      </c>
      <c r="E834" s="26"/>
      <c r="H834" s="37" t="str">
        <f ca="1">IF(AND(B834="",NOT(A834="")),VLOOKUP(A834,TaskPlan!A:M,13,FALSE),"")</f>
        <v/>
      </c>
      <c r="I834" s="38" t="str">
        <f ca="1">IF(AND(B834="",NOT(A834="")),VLOOKUP(A834,TaskPlan!A:M,12,FALSE),"")</f>
        <v/>
      </c>
      <c r="J834" s="39" t="str">
        <f ca="1">IF(AND(B834="",NOT(A834="")),VLOOKUP(A834,TaskPlan!A:L,2,FALSE),"")</f>
        <v/>
      </c>
      <c r="K834" s="39" t="str">
        <f ca="1">IF(AND(B834="",NOT(A834="")),IF(NOT(LEFT(VLOOKUP(A834,TaskPlan!A:L,3,FALSE),1) = "0"),VLOOKUP(A834,TaskPlan!A:L,3,FALSE),""),"")</f>
        <v/>
      </c>
      <c r="L834" s="55" t="str">
        <f ca="1">IF(AND(B834="",NOT(A834="")),IF(NOT(LEFT(VLOOKUP(A834,TaskPlan!A:L,3,FALSE),1) = "0"),VLOOKUP(A834,TaskPlan!A:M,4,FALSE),""),"")</f>
        <v/>
      </c>
      <c r="M834" s="58">
        <f ca="1">IF(B834=".",1,IF(AND(B834="",NOT(A834="")),IF(VLOOKUP(A834,TaskPlan!A:L,5,FALSE)&gt;0,VLOOKUP(A834,TaskPlan!A:L,5,FALSE),""),""))</f>
        <v>1</v>
      </c>
      <c r="N834" s="1" t="str">
        <f ca="1">IF(ISNA(VLOOKUP(A834,Projects!B:B,1,FALSE)),"","Yes")</f>
        <v/>
      </c>
    </row>
    <row r="835" spans="1:14" hidden="1" outlineLevel="1">
      <c r="A835" s="43" t="s">
        <v>890</v>
      </c>
      <c r="C835" s="44" t="s">
        <v>894</v>
      </c>
      <c r="D835" s="7" t="s">
        <v>11</v>
      </c>
      <c r="E835" s="26">
        <v>40232</v>
      </c>
      <c r="F835" s="25">
        <v>5</v>
      </c>
      <c r="H835" s="37">
        <f ca="1">IF(AND(B835="",NOT(A835="")),VLOOKUP(A835,TaskPlan!A:M,13,FALSE),"")</f>
        <v>40232</v>
      </c>
      <c r="I835" s="38" t="str">
        <f ca="1">IF(AND(B835="",NOT(A835="")),VLOOKUP(A835,TaskPlan!A:M,12,FALSE),"")</f>
        <v>Closed</v>
      </c>
      <c r="J835" s="39" t="str">
        <f ca="1">IF(AND(B835="",NOT(A835="")),VLOOKUP(A835,TaskPlan!A:L,2,FALSE),"")</f>
        <v>Pramendra</v>
      </c>
      <c r="K835" s="39" t="str">
        <f ca="1">IF(AND(B835="",NOT(A835="")),IF(NOT(LEFT(VLOOKUP(A835,TaskPlan!A:L,3,FALSE),1) = "0"),VLOOKUP(A835,TaskPlan!A:L,3,FALSE),""),"")</f>
        <v/>
      </c>
      <c r="L835" s="55" t="str">
        <f ca="1">IF(AND(B835="",NOT(A835="")),IF(NOT(LEFT(VLOOKUP(A835,TaskPlan!A:L,3,FALSE),1) = "0"),VLOOKUP(A835,TaskPlan!A:M,4,FALSE),""),"")</f>
        <v/>
      </c>
      <c r="M835" s="58" t="str">
        <f ca="1">IF(B835=".",1,IF(AND(B835="",NOT(A835="")),IF(VLOOKUP(A835,TaskPlan!A:L,5,FALSE)&gt;0,VLOOKUP(A835,TaskPlan!A:L,5,FALSE),""),""))</f>
        <v/>
      </c>
      <c r="N835" s="1" t="str">
        <f ca="1">IF(ISNA(VLOOKUP(A835,Projects!B:B,1,FALSE)),"","Yes")</f>
        <v>Yes</v>
      </c>
    </row>
    <row r="836" spans="1:14" hidden="1" outlineLevel="1">
      <c r="A836" s="43" t="s">
        <v>891</v>
      </c>
      <c r="C836" s="44" t="s">
        <v>895</v>
      </c>
      <c r="D836" s="7" t="s">
        <v>11</v>
      </c>
      <c r="E836" s="26">
        <v>40232</v>
      </c>
      <c r="F836" s="25">
        <v>2</v>
      </c>
      <c r="H836" s="37">
        <f ca="1">IF(AND(B836="",NOT(A836="")),VLOOKUP(A836,TaskPlan!A:M,13,FALSE),"")</f>
        <v>40246</v>
      </c>
      <c r="I836" s="38" t="str">
        <f ca="1">IF(AND(B836="",NOT(A836="")),VLOOKUP(A836,TaskPlan!A:M,12,FALSE),"")</f>
        <v>Closed</v>
      </c>
      <c r="J836" s="39" t="str">
        <f ca="1">IF(AND(B836="",NOT(A836="")),VLOOKUP(A836,TaskPlan!A:L,2,FALSE),"")</f>
        <v>All</v>
      </c>
      <c r="K836" s="39" t="str">
        <f ca="1">IF(AND(B836="",NOT(A836="")),IF(NOT(LEFT(VLOOKUP(A836,TaskPlan!A:L,3,FALSE),1) = "0"),VLOOKUP(A836,TaskPlan!A:L,3,FALSE),""),"")</f>
        <v/>
      </c>
      <c r="L836" s="55" t="str">
        <f ca="1">IF(AND(B836="",NOT(A836="")),IF(NOT(LEFT(VLOOKUP(A836,TaskPlan!A:L,3,FALSE),1) = "0"),VLOOKUP(A836,TaskPlan!A:M,4,FALSE),""),"")</f>
        <v/>
      </c>
      <c r="M836" s="58" t="str">
        <f ca="1">IF(B836=".",1,IF(AND(B836="",NOT(A836="")),IF(VLOOKUP(A836,TaskPlan!A:L,5,FALSE)&gt;0,VLOOKUP(A836,TaskPlan!A:L,5,FALSE),""),""))</f>
        <v/>
      </c>
      <c r="N836" s="1" t="str">
        <f ca="1">IF(ISNA(VLOOKUP(A836,Projects!B:B,1,FALSE)),"","Yes")</f>
        <v>Yes</v>
      </c>
    </row>
    <row r="837" spans="1:14" hidden="1" outlineLevel="1">
      <c r="A837" s="43" t="s">
        <v>892</v>
      </c>
      <c r="C837" s="44" t="s">
        <v>899</v>
      </c>
      <c r="D837" s="7" t="s">
        <v>11</v>
      </c>
      <c r="E837" s="26">
        <v>40218</v>
      </c>
      <c r="F837" s="25">
        <v>5</v>
      </c>
      <c r="H837" s="37">
        <f ca="1">IF(AND(B837="",NOT(A837="")),VLOOKUP(A837,TaskPlan!A:M,13,FALSE),"")</f>
        <v>40283</v>
      </c>
      <c r="I837" s="38" t="str">
        <f ca="1">IF(AND(B837="",NOT(A837="")),VLOOKUP(A837,TaskPlan!A:M,12,FALSE),"")</f>
        <v>Closed</v>
      </c>
      <c r="J837" s="39" t="str">
        <f ca="1">IF(AND(B837="",NOT(A837="")),VLOOKUP(A837,TaskPlan!A:L,2,FALSE),"")</f>
        <v>Pramendra</v>
      </c>
      <c r="K837" s="39" t="str">
        <f ca="1">IF(AND(B837="",NOT(A837="")),IF(NOT(LEFT(VLOOKUP(A837,TaskPlan!A:L,3,FALSE),1) = "0"),VLOOKUP(A837,TaskPlan!A:L,3,FALSE),""),"")</f>
        <v/>
      </c>
      <c r="L837" s="55" t="str">
        <f ca="1">IF(AND(B837="",NOT(A837="")),IF(NOT(LEFT(VLOOKUP(A837,TaskPlan!A:L,3,FALSE),1) = "0"),VLOOKUP(A837,TaskPlan!A:M,4,FALSE),""),"")</f>
        <v/>
      </c>
      <c r="M837" s="58" t="str">
        <f ca="1">IF(B837=".",1,IF(AND(B837="",NOT(A837="")),IF(VLOOKUP(A837,TaskPlan!A:L,5,FALSE)&gt;0,VLOOKUP(A837,TaskPlan!A:L,5,FALSE),""),""))</f>
        <v/>
      </c>
      <c r="N837" s="1" t="str">
        <f ca="1">IF(ISNA(VLOOKUP(A837,Projects!B:B,1,FALSE)),"","Yes")</f>
        <v>Yes</v>
      </c>
    </row>
    <row r="838" spans="1:14" hidden="1" outlineLevel="1">
      <c r="A838" s="43" t="s">
        <v>893</v>
      </c>
      <c r="C838" s="44" t="s">
        <v>896</v>
      </c>
      <c r="D838" s="7" t="s">
        <v>11</v>
      </c>
      <c r="E838" s="26">
        <v>40218</v>
      </c>
      <c r="F838" s="25">
        <v>2</v>
      </c>
      <c r="H838" s="37">
        <f ca="1">IF(AND(B838="",NOT(A838="")),VLOOKUP(A838,TaskPlan!A:M,13,FALSE),"")</f>
        <v>40291</v>
      </c>
      <c r="I838" s="38" t="str">
        <f ca="1">IF(AND(B838="",NOT(A838="")),VLOOKUP(A838,TaskPlan!A:M,12,FALSE),"")</f>
        <v>Closed</v>
      </c>
      <c r="J838" s="39" t="str">
        <f ca="1">IF(AND(B838="",NOT(A838="")),VLOOKUP(A838,TaskPlan!A:L,2,FALSE),"")</f>
        <v>All</v>
      </c>
      <c r="K838" s="39" t="str">
        <f ca="1">IF(AND(B838="",NOT(A838="")),IF(NOT(LEFT(VLOOKUP(A838,TaskPlan!A:L,3,FALSE),1) = "0"),VLOOKUP(A838,TaskPlan!A:L,3,FALSE),""),"")</f>
        <v/>
      </c>
      <c r="L838" s="55" t="str">
        <f ca="1">IF(AND(B838="",NOT(A838="")),IF(NOT(LEFT(VLOOKUP(A838,TaskPlan!A:L,3,FALSE),1) = "0"),VLOOKUP(A838,TaskPlan!A:M,4,FALSE),""),"")</f>
        <v/>
      </c>
      <c r="M838" s="58" t="str">
        <f ca="1">IF(B838=".",1,IF(AND(B838="",NOT(A838="")),IF(VLOOKUP(A838,TaskPlan!A:L,5,FALSE)&gt;0,VLOOKUP(A838,TaskPlan!A:L,5,FALSE),""),""))</f>
        <v/>
      </c>
      <c r="N838" s="1" t="str">
        <f ca="1">IF(ISNA(VLOOKUP(A838,Projects!B:B,1,FALSE)),"","Yes")</f>
        <v>Yes</v>
      </c>
    </row>
    <row r="839" spans="1:14" hidden="1" outlineLevel="1">
      <c r="A839" s="43" t="s">
        <v>897</v>
      </c>
      <c r="C839" s="44" t="s">
        <v>898</v>
      </c>
      <c r="D839" s="7" t="s">
        <v>11</v>
      </c>
      <c r="E839" s="26">
        <v>40284</v>
      </c>
      <c r="F839" s="25">
        <v>15</v>
      </c>
      <c r="G839" s="28" t="s">
        <v>1099</v>
      </c>
      <c r="H839" s="37">
        <f ca="1">IF(AND(B839="",NOT(A839="")),VLOOKUP(A839,TaskPlan!A:M,13,FALSE),"")</f>
        <v>40365</v>
      </c>
      <c r="I839" s="38" t="str">
        <f ca="1">IF(AND(B839="",NOT(A839="")),VLOOKUP(A839,TaskPlan!A:M,12,FALSE),"")</f>
        <v>Closed</v>
      </c>
      <c r="J839" s="39" t="str">
        <f ca="1">IF(AND(B839="",NOT(A839="")),VLOOKUP(A839,TaskPlan!A:L,2,FALSE),"")</f>
        <v>Pramendra</v>
      </c>
      <c r="K839" s="39" t="str">
        <f ca="1">IF(AND(B839="",NOT(A839="")),IF(NOT(LEFT(VLOOKUP(A839,TaskPlan!A:L,3,FALSE),1) = "0"),VLOOKUP(A839,TaskPlan!A:L,3,FALSE),""),"")</f>
        <v/>
      </c>
      <c r="L839" s="55" t="str">
        <f ca="1">IF(AND(B839="",NOT(A839="")),IF(NOT(LEFT(VLOOKUP(A839,TaskPlan!A:L,3,FALSE),1) = "0"),VLOOKUP(A839,TaskPlan!A:M,4,FALSE),""),"")</f>
        <v/>
      </c>
      <c r="M839" s="58" t="str">
        <f ca="1">IF(B839=".",1,IF(AND(B839="",NOT(A839="")),IF(VLOOKUP(A839,TaskPlan!A:L,5,FALSE)&gt;0,VLOOKUP(A839,TaskPlan!A:L,5,FALSE),""),""))</f>
        <v/>
      </c>
      <c r="N839" s="1" t="str">
        <f ca="1">IF(ISNA(VLOOKUP(A839,Projects!B:B,1,FALSE)),"","Yes")</f>
        <v>Yes</v>
      </c>
    </row>
    <row r="840" spans="1:14" hidden="1" outlineLevel="1">
      <c r="A840" s="43" t="s">
        <v>1068</v>
      </c>
      <c r="C840" s="44" t="s">
        <v>1069</v>
      </c>
      <c r="D840" s="7" t="s">
        <v>32</v>
      </c>
      <c r="E840" s="26">
        <v>40284</v>
      </c>
      <c r="F840" s="25">
        <v>5</v>
      </c>
      <c r="G840" s="28" t="s">
        <v>1099</v>
      </c>
      <c r="H840" s="37">
        <f ca="1">IF(AND(B840="",NOT(A840="")),VLOOKUP(A840,TaskPlan!A:M,13,FALSE),"")</f>
        <v>40394</v>
      </c>
      <c r="I840" s="38" t="str">
        <f ca="1">IF(AND(B840="",NOT(A840="")),VLOOKUP(A840,TaskPlan!A:M,12,FALSE),"")</f>
        <v>Closed</v>
      </c>
      <c r="J840" s="39" t="str">
        <f ca="1">IF(AND(B840="",NOT(A840="")),VLOOKUP(A840,TaskPlan!A:L,2,FALSE),"")</f>
        <v>Paresh</v>
      </c>
      <c r="K840" s="39" t="str">
        <f ca="1">IF(AND(B840="",NOT(A840="")),IF(NOT(LEFT(VLOOKUP(A840,TaskPlan!A:L,3,FALSE),1) = "0"),VLOOKUP(A840,TaskPlan!A:L,3,FALSE),""),"")</f>
        <v/>
      </c>
      <c r="L840" s="55" t="str">
        <f ca="1">IF(AND(B840="",NOT(A840="")),IF(NOT(LEFT(VLOOKUP(A840,TaskPlan!A:L,3,FALSE),1) = "0"),VLOOKUP(A840,TaskPlan!A:M,4,FALSE),""),"")</f>
        <v/>
      </c>
      <c r="M840" s="58" t="str">
        <f ca="1">IF(B840=".",1,IF(AND(B840="",NOT(A840="")),IF(VLOOKUP(A840,TaskPlan!A:L,5,FALSE)&gt;0,VLOOKUP(A840,TaskPlan!A:L,5,FALSE),""),""))</f>
        <v/>
      </c>
      <c r="N840" s="1" t="str">
        <f ca="1">IF(ISNA(VLOOKUP(A840,Projects!B:B,1,FALSE)),"","Yes")</f>
        <v>Yes</v>
      </c>
    </row>
    <row r="841" spans="1:14" hidden="1" outlineLevel="1">
      <c r="A841" s="43" t="s">
        <v>1332</v>
      </c>
      <c r="C841" s="44" t="s">
        <v>1333</v>
      </c>
      <c r="D841" s="7" t="s">
        <v>366</v>
      </c>
      <c r="E841" s="26">
        <v>40361</v>
      </c>
      <c r="F841" s="25">
        <v>4</v>
      </c>
      <c r="G841" s="28" t="s">
        <v>1099</v>
      </c>
      <c r="H841" s="37">
        <f ca="1">IF(AND(B841="",NOT(A841="")),VLOOKUP(A841,TaskPlan!A:M,13,FALSE),"")</f>
        <v>40598</v>
      </c>
      <c r="I841" s="38" t="str">
        <f ca="1">IF(AND(B841="",NOT(A841="")),VLOOKUP(A841,TaskPlan!A:M,12,FALSE),"")</f>
        <v>Closed</v>
      </c>
      <c r="J841" s="39" t="str">
        <f ca="1">IF(AND(B841="",NOT(A841="")),VLOOKUP(A841,TaskPlan!A:L,2,FALSE),"")</f>
        <v>Pramendra</v>
      </c>
      <c r="K841" s="39" t="str">
        <f ca="1">IF(AND(B841="",NOT(A841="")),IF(NOT(LEFT(VLOOKUP(A841,TaskPlan!A:L,3,FALSE),1) = "0"),VLOOKUP(A841,TaskPlan!A:L,3,FALSE),""),"")</f>
        <v/>
      </c>
      <c r="L841" s="55" t="str">
        <f ca="1">IF(AND(B841="",NOT(A841="")),IF(NOT(LEFT(VLOOKUP(A841,TaskPlan!A:L,3,FALSE),1) = "0"),VLOOKUP(A841,TaskPlan!A:M,4,FALSE),""),"")</f>
        <v/>
      </c>
      <c r="M841" s="58" t="str">
        <f ca="1">IF(B841=".",1,IF(AND(B841="",NOT(A841="")),IF(VLOOKUP(A841,TaskPlan!A:L,5,FALSE)&gt;0,VLOOKUP(A841,TaskPlan!A:L,5,FALSE),""),""))</f>
        <v/>
      </c>
      <c r="N841" s="1" t="str">
        <f ca="1">IF(ISNA(VLOOKUP(A841,Projects!B:B,1,FALSE)),"","Yes")</f>
        <v>Yes</v>
      </c>
    </row>
    <row r="842" spans="1:14" hidden="1" outlineLevel="1">
      <c r="A842" s="43" t="s">
        <v>1162</v>
      </c>
      <c r="B842" s="7" t="s">
        <v>15</v>
      </c>
      <c r="C842" s="45" t="s">
        <v>1163</v>
      </c>
      <c r="D842" s="7"/>
      <c r="E842" s="26"/>
      <c r="G842" s="28"/>
      <c r="L842" s="55"/>
      <c r="N842" s="1" t="str">
        <f ca="1">IF(ISNA(VLOOKUP(A842,Projects!B:B,1,FALSE)),"","Yes")</f>
        <v/>
      </c>
    </row>
    <row r="843" spans="1:14" hidden="1" outlineLevel="1">
      <c r="A843" s="43" t="s">
        <v>1164</v>
      </c>
      <c r="C843" s="44" t="s">
        <v>1178</v>
      </c>
      <c r="D843" s="7" t="s">
        <v>366</v>
      </c>
      <c r="E843" s="26">
        <v>40325</v>
      </c>
      <c r="F843" s="25">
        <v>1</v>
      </c>
      <c r="G843" s="28" t="s">
        <v>1099</v>
      </c>
      <c r="H843" s="37">
        <f ca="1">IF(AND(B843="",NOT(A843="")),VLOOKUP(A843,TaskPlan!A:M,13,FALSE),"")</f>
        <v>40322</v>
      </c>
      <c r="I843" s="38" t="str">
        <f ca="1">IF(AND(B843="",NOT(A843="")),VLOOKUP(A843,TaskPlan!A:M,12,FALSE),"")</f>
        <v>Closed</v>
      </c>
      <c r="J843" s="39" t="str">
        <f ca="1">IF(AND(B843="",NOT(A843="")),VLOOKUP(A843,TaskPlan!A:L,2,FALSE),"")</f>
        <v>Pramendra</v>
      </c>
      <c r="K843" s="39" t="str">
        <f ca="1">IF(AND(B843="",NOT(A843="")),IF(NOT(LEFT(VLOOKUP(A843,TaskPlan!A:L,3,FALSE),1) = "0"),VLOOKUP(A843,TaskPlan!A:L,3,FALSE),""),"")</f>
        <v/>
      </c>
      <c r="L843" s="55" t="str">
        <f ca="1">IF(AND(B843="",NOT(A843="")),IF(NOT(LEFT(VLOOKUP(A843,TaskPlan!A:L,3,FALSE),1) = "0"),VLOOKUP(A843,TaskPlan!A:M,4,FALSE),""),"")</f>
        <v/>
      </c>
      <c r="N843" s="1" t="str">
        <f ca="1">IF(ISNA(VLOOKUP(A843,Projects!B:B,1,FALSE)),"","Yes")</f>
        <v>Yes</v>
      </c>
    </row>
    <row r="844" spans="1:14" hidden="1" outlineLevel="1">
      <c r="A844" s="43" t="s">
        <v>1165</v>
      </c>
      <c r="C844" s="44" t="s">
        <v>1179</v>
      </c>
      <c r="D844" s="7" t="s">
        <v>32</v>
      </c>
      <c r="E844" s="26">
        <v>40325</v>
      </c>
      <c r="F844" s="25">
        <v>2</v>
      </c>
      <c r="G844" s="28" t="s">
        <v>1099</v>
      </c>
      <c r="H844" s="37">
        <f ca="1">IF(AND(B844="",NOT(A844="")),VLOOKUP(A844,TaskPlan!A:M,13,FALSE),"")</f>
        <v>40373</v>
      </c>
      <c r="I844" s="38" t="str">
        <f ca="1">IF(AND(B844="",NOT(A844="")),VLOOKUP(A844,TaskPlan!A:M,12,FALSE),"")</f>
        <v>Closed</v>
      </c>
      <c r="J844" s="39" t="str">
        <f ca="1">IF(AND(B844="",NOT(A844="")),VLOOKUP(A844,TaskPlan!A:L,2,FALSE),"")</f>
        <v>Paresh</v>
      </c>
      <c r="K844" s="39" t="str">
        <f ca="1">IF(AND(B844="",NOT(A844="")),IF(NOT(LEFT(VLOOKUP(A844,TaskPlan!A:L,3,FALSE),1) = "0"),VLOOKUP(A844,TaskPlan!A:L,3,FALSE),""),"")</f>
        <v/>
      </c>
      <c r="L844" s="55" t="str">
        <f ca="1">IF(AND(B844="",NOT(A844="")),IF(NOT(LEFT(VLOOKUP(A844,TaskPlan!A:L,3,FALSE),1) = "0"),VLOOKUP(A844,TaskPlan!A:M,4,FALSE),""),"")</f>
        <v/>
      </c>
      <c r="N844" s="1" t="str">
        <f ca="1">IF(ISNA(VLOOKUP(A844,Projects!B:B,1,FALSE)),"","Yes")</f>
        <v>Yes</v>
      </c>
    </row>
    <row r="845" spans="1:14" hidden="1" outlineLevel="1">
      <c r="A845" s="43" t="s">
        <v>1166</v>
      </c>
      <c r="C845" s="44" t="s">
        <v>1180</v>
      </c>
      <c r="D845" s="7" t="s">
        <v>11</v>
      </c>
      <c r="E845" s="26">
        <v>40353</v>
      </c>
      <c r="F845" s="25">
        <v>2</v>
      </c>
      <c r="G845" s="28" t="s">
        <v>1099</v>
      </c>
      <c r="H845" s="37">
        <f ca="1">IF(AND(B845="",NOT(A845="")),VLOOKUP(A845,TaskPlan!A:M,13,FALSE),"")</f>
        <v>40373</v>
      </c>
      <c r="I845" s="38" t="str">
        <f ca="1">IF(AND(B845="",NOT(A845="")),VLOOKUP(A845,TaskPlan!A:M,12,FALSE),"")</f>
        <v>Closed</v>
      </c>
      <c r="J845" s="39" t="str">
        <f ca="1">IF(AND(B845="",NOT(A845="")),VLOOKUP(A845,TaskPlan!A:L,2,FALSE),"")</f>
        <v>All</v>
      </c>
      <c r="K845" s="39" t="str">
        <f ca="1">IF(AND(B845="",NOT(A845="")),IF(NOT(LEFT(VLOOKUP(A845,TaskPlan!A:L,3,FALSE),1) = "0"),VLOOKUP(A845,TaskPlan!A:L,3,FALSE),""),"")</f>
        <v/>
      </c>
      <c r="L845" s="55" t="str">
        <f ca="1">IF(AND(B845="",NOT(A845="")),IF(NOT(LEFT(VLOOKUP(A845,TaskPlan!A:L,3,FALSE),1) = "0"),VLOOKUP(A845,TaskPlan!A:M,4,FALSE),""),"")</f>
        <v/>
      </c>
      <c r="N845" s="1" t="str">
        <f ca="1">IF(ISNA(VLOOKUP(A845,Projects!B:B,1,FALSE)),"","Yes")</f>
        <v>Yes</v>
      </c>
    </row>
    <row r="846" spans="1:14" hidden="1" outlineLevel="1">
      <c r="A846" s="43" t="s">
        <v>1264</v>
      </c>
      <c r="C846" s="44" t="s">
        <v>1265</v>
      </c>
      <c r="D846" s="7" t="s">
        <v>11</v>
      </c>
      <c r="E846" s="26">
        <v>40353</v>
      </c>
      <c r="F846" s="25">
        <v>3</v>
      </c>
      <c r="G846" s="28" t="s">
        <v>1099</v>
      </c>
      <c r="H846" s="37">
        <f ca="1">IF(AND(B846="",NOT(A846="")),VLOOKUP(A846,TaskPlan!A:M,13,FALSE),"")</f>
        <v>40424</v>
      </c>
      <c r="I846" s="38" t="str">
        <f ca="1">IF(AND(B846="",NOT(A846="")),VLOOKUP(A846,TaskPlan!A:M,12,FALSE),"")</f>
        <v>Closed</v>
      </c>
      <c r="J846" s="39" t="str">
        <f ca="1">IF(AND(B846="",NOT(A846="")),VLOOKUP(A846,TaskPlan!A:L,2,FALSE),"")</f>
        <v>Paresh</v>
      </c>
      <c r="K846" s="39" t="str">
        <f ca="1">IF(AND(B846="",NOT(A846="")),IF(NOT(LEFT(VLOOKUP(A846,TaskPlan!A:L,3,FALSE),1) = "0"),VLOOKUP(A846,TaskPlan!A:L,3,FALSE),""),"")</f>
        <v/>
      </c>
      <c r="L846" s="55" t="str">
        <f ca="1">IF(AND(B846="",NOT(A846="")),IF(NOT(LEFT(VLOOKUP(A846,TaskPlan!A:L,3,FALSE),1) = "0"),VLOOKUP(A846,TaskPlan!A:M,4,FALSE),""),"")</f>
        <v/>
      </c>
      <c r="N846" s="1" t="str">
        <f ca="1">IF(ISNA(VLOOKUP(A846,Projects!B:B,1,FALSE)),"","Yes")</f>
        <v>Yes</v>
      </c>
    </row>
    <row r="847" spans="1:14" hidden="1" outlineLevel="1">
      <c r="A847" s="43" t="s">
        <v>1272</v>
      </c>
      <c r="C847" s="44" t="s">
        <v>1266</v>
      </c>
      <c r="D847" s="7" t="s">
        <v>11</v>
      </c>
      <c r="E847" s="26">
        <v>40353</v>
      </c>
      <c r="F847" s="25">
        <v>1</v>
      </c>
      <c r="G847" s="28" t="s">
        <v>1099</v>
      </c>
      <c r="H847" s="37">
        <f ca="1">IF(AND(B847="",NOT(A847="")),VLOOKUP(A847,TaskPlan!A:M,13,FALSE),"")</f>
        <v>40457</v>
      </c>
      <c r="I847" s="38" t="str">
        <f ca="1">IF(AND(B847="",NOT(A847="")),VLOOKUP(A847,TaskPlan!A:M,12,FALSE),"")</f>
        <v>Closed</v>
      </c>
      <c r="J847" s="39" t="str">
        <f ca="1">IF(AND(B847="",NOT(A847="")),VLOOKUP(A847,TaskPlan!A:L,2,FALSE),"")</f>
        <v>Neil</v>
      </c>
      <c r="K847" s="39" t="str">
        <f ca="1">IF(AND(B847="",NOT(A847="")),IF(NOT(LEFT(VLOOKUP(A847,TaskPlan!A:L,3,FALSE),1) = "0"),VLOOKUP(A847,TaskPlan!A:L,3,FALSE),""),"")</f>
        <v/>
      </c>
      <c r="L847" s="55" t="str">
        <f ca="1">IF(AND(B847="",NOT(A847="")),IF(NOT(LEFT(VLOOKUP(A847,TaskPlan!A:L,3,FALSE),1) = "0"),VLOOKUP(A847,TaskPlan!A:M,4,FALSE),""),"")</f>
        <v/>
      </c>
      <c r="N847" s="1" t="str">
        <f ca="1">IF(ISNA(VLOOKUP(A847,Projects!B:B,1,FALSE)),"","Yes")</f>
        <v>Yes</v>
      </c>
    </row>
    <row r="848" spans="1:14" hidden="1" outlineLevel="1">
      <c r="A848" s="43" t="s">
        <v>1273</v>
      </c>
      <c r="C848" s="44" t="s">
        <v>1267</v>
      </c>
      <c r="D848" s="7" t="s">
        <v>11</v>
      </c>
      <c r="E848" s="26">
        <v>40353</v>
      </c>
      <c r="F848" s="25">
        <v>5</v>
      </c>
      <c r="G848" s="28" t="s">
        <v>1099</v>
      </c>
      <c r="H848" s="37">
        <f ca="1">IF(AND(B848="",NOT(A848="")),VLOOKUP(A848,TaskPlan!A:M,13,FALSE),"")</f>
        <v>40457</v>
      </c>
      <c r="I848" s="38" t="str">
        <f ca="1">IF(AND(B848="",NOT(A848="")),VLOOKUP(A848,TaskPlan!A:M,12,FALSE),"")</f>
        <v>Closed</v>
      </c>
      <c r="J848" s="39" t="str">
        <f ca="1">IF(AND(B848="",NOT(A848="")),VLOOKUP(A848,TaskPlan!A:L,2,FALSE),"")</f>
        <v>Paresh</v>
      </c>
      <c r="K848" s="39" t="str">
        <f ca="1">IF(AND(B848="",NOT(A848="")),IF(NOT(LEFT(VLOOKUP(A848,TaskPlan!A:L,3,FALSE),1) = "0"),VLOOKUP(A848,TaskPlan!A:L,3,FALSE),""),"")</f>
        <v/>
      </c>
      <c r="L848" s="55" t="str">
        <f ca="1">IF(AND(B848="",NOT(A848="")),IF(NOT(LEFT(VLOOKUP(A848,TaskPlan!A:L,3,FALSE),1) = "0"),VLOOKUP(A848,TaskPlan!A:M,4,FALSE),""),"")</f>
        <v/>
      </c>
      <c r="N848" s="1" t="str">
        <f ca="1">IF(ISNA(VLOOKUP(A848,Projects!B:B,1,FALSE)),"","Yes")</f>
        <v>Yes</v>
      </c>
    </row>
    <row r="849" spans="1:14" hidden="1" outlineLevel="1">
      <c r="A849" s="43" t="s">
        <v>1274</v>
      </c>
      <c r="C849" s="44" t="s">
        <v>1270</v>
      </c>
      <c r="D849" s="7" t="s">
        <v>11</v>
      </c>
      <c r="E849" s="26">
        <v>40353</v>
      </c>
      <c r="F849" s="25">
        <v>3</v>
      </c>
      <c r="G849" s="28" t="s">
        <v>1099</v>
      </c>
      <c r="H849" s="37">
        <f ca="1">IF(AND(B849="",NOT(A849="")),VLOOKUP(A849,TaskPlan!A:M,13,FALSE),"")</f>
        <v>40521</v>
      </c>
      <c r="I849" s="38" t="str">
        <f ca="1">IF(AND(B849="",NOT(A849="")),VLOOKUP(A849,TaskPlan!A:M,12,FALSE),"")</f>
        <v>Closed</v>
      </c>
      <c r="J849" s="39" t="str">
        <f ca="1">IF(AND(B849="",NOT(A849="")),VLOOKUP(A849,TaskPlan!A:L,2,FALSE),"")</f>
        <v>Paresh</v>
      </c>
      <c r="K849" s="39" t="str">
        <f ca="1">IF(AND(B849="",NOT(A849="")),IF(NOT(LEFT(VLOOKUP(A849,TaskPlan!A:L,3,FALSE),1) = "0"),VLOOKUP(A849,TaskPlan!A:L,3,FALSE),""),"")</f>
        <v/>
      </c>
      <c r="L849" s="55" t="str">
        <f ca="1">IF(AND(B849="",NOT(A849="")),IF(NOT(LEFT(VLOOKUP(A849,TaskPlan!A:L,3,FALSE),1) = "0"),VLOOKUP(A849,TaskPlan!A:M,4,FALSE),""),"")</f>
        <v/>
      </c>
      <c r="N849" s="1" t="str">
        <f ca="1">IF(ISNA(VLOOKUP(A849,Projects!B:B,1,FALSE)),"","Yes")</f>
        <v>Yes</v>
      </c>
    </row>
    <row r="850" spans="1:14" hidden="1" outlineLevel="1">
      <c r="A850" s="43" t="s">
        <v>1275</v>
      </c>
      <c r="C850" s="44" t="s">
        <v>1268</v>
      </c>
      <c r="D850" s="7" t="s">
        <v>11</v>
      </c>
      <c r="E850" s="26">
        <v>40353</v>
      </c>
      <c r="F850" s="25">
        <v>1</v>
      </c>
      <c r="G850" s="28" t="s">
        <v>1099</v>
      </c>
      <c r="H850" s="37">
        <f ca="1">IF(AND(B850="",NOT(A850="")),VLOOKUP(A850,TaskPlan!A:M,13,FALSE),"")</f>
        <v>40598</v>
      </c>
      <c r="I850" s="38" t="str">
        <f ca="1">IF(AND(B850="",NOT(A850="")),VLOOKUP(A850,TaskPlan!A:M,12,FALSE),"")</f>
        <v>Closed</v>
      </c>
      <c r="J850" s="39" t="str">
        <f ca="1">IF(AND(B850="",NOT(A850="")),VLOOKUP(A850,TaskPlan!A:L,2,FALSE),"")</f>
        <v>All</v>
      </c>
      <c r="K850" s="39" t="str">
        <f ca="1">IF(AND(B850="",NOT(A850="")),IF(NOT(LEFT(VLOOKUP(A850,TaskPlan!A:L,3,FALSE),1) = "0"),VLOOKUP(A850,TaskPlan!A:L,3,FALSE),""),"")</f>
        <v/>
      </c>
      <c r="L850" s="55" t="str">
        <f ca="1">IF(AND(B850="",NOT(A850="")),IF(NOT(LEFT(VLOOKUP(A850,TaskPlan!A:L,3,FALSE),1) = "0"),VLOOKUP(A850,TaskPlan!A:M,4,FALSE),""),"")</f>
        <v/>
      </c>
      <c r="N850" s="1" t="str">
        <f ca="1">IF(ISNA(VLOOKUP(A850,Projects!B:B,1,FALSE)),"","Yes")</f>
        <v>Yes</v>
      </c>
    </row>
    <row r="851" spans="1:14" hidden="1" outlineLevel="1">
      <c r="A851" s="43" t="s">
        <v>1276</v>
      </c>
      <c r="C851" s="44" t="s">
        <v>1269</v>
      </c>
      <c r="D851" s="7" t="s">
        <v>11</v>
      </c>
      <c r="E851" s="26">
        <v>40353</v>
      </c>
      <c r="F851" s="25">
        <v>2</v>
      </c>
      <c r="G851" s="28" t="s">
        <v>1099</v>
      </c>
      <c r="H851" s="37">
        <f ca="1">IF(AND(B851="",NOT(A851="")),VLOOKUP(A851,TaskPlan!A:M,13,FALSE),"")</f>
        <v>40598</v>
      </c>
      <c r="I851" s="38" t="str">
        <f ca="1">IF(AND(B851="",NOT(A851="")),VLOOKUP(A851,TaskPlan!A:M,12,FALSE),"")</f>
        <v>Closed</v>
      </c>
      <c r="J851" s="39" t="str">
        <f ca="1">IF(AND(B851="",NOT(A851="")),VLOOKUP(A851,TaskPlan!A:L,2,FALSE),"")</f>
        <v>Paresh</v>
      </c>
      <c r="K851" s="39" t="str">
        <f ca="1">IF(AND(B851="",NOT(A851="")),IF(NOT(LEFT(VLOOKUP(A851,TaskPlan!A:L,3,FALSE),1) = "0"),VLOOKUP(A851,TaskPlan!A:L,3,FALSE),""),"")</f>
        <v/>
      </c>
      <c r="L851" s="55" t="str">
        <f ca="1">IF(AND(B851="",NOT(A851="")),IF(NOT(LEFT(VLOOKUP(A851,TaskPlan!A:L,3,FALSE),1) = "0"),VLOOKUP(A851,TaskPlan!A:M,4,FALSE),""),"")</f>
        <v/>
      </c>
      <c r="N851" s="1" t="str">
        <f ca="1">IF(ISNA(VLOOKUP(A851,Projects!B:B,1,FALSE)),"","Yes")</f>
        <v>Yes</v>
      </c>
    </row>
    <row r="852" spans="1:14" hidden="1" outlineLevel="1">
      <c r="A852" s="43" t="s">
        <v>1277</v>
      </c>
      <c r="C852" s="44" t="s">
        <v>1271</v>
      </c>
      <c r="D852" s="7" t="s">
        <v>11</v>
      </c>
      <c r="E852" s="26">
        <v>40353</v>
      </c>
      <c r="F852" s="25">
        <v>1</v>
      </c>
      <c r="G852" s="28" t="s">
        <v>1099</v>
      </c>
      <c r="H852" s="37">
        <f ca="1">IF(AND(B852="",NOT(A852="")),VLOOKUP(A852,TaskPlan!A:M,13,FALSE),"")</f>
        <v>40598</v>
      </c>
      <c r="I852" s="38" t="str">
        <f ca="1">IF(AND(B852="",NOT(A852="")),VLOOKUP(A852,TaskPlan!A:M,12,FALSE),"")</f>
        <v>Closed</v>
      </c>
      <c r="J852" s="39" t="str">
        <f ca="1">IF(AND(B852="",NOT(A852="")),VLOOKUP(A852,TaskPlan!A:L,2,FALSE),"")</f>
        <v>Paresh</v>
      </c>
      <c r="K852" s="39" t="str">
        <f ca="1">IF(AND(B852="",NOT(A852="")),IF(NOT(LEFT(VLOOKUP(A852,TaskPlan!A:L,3,FALSE),1) = "0"),VLOOKUP(A852,TaskPlan!A:L,3,FALSE),""),"")</f>
        <v/>
      </c>
      <c r="L852" s="55" t="str">
        <f ca="1">IF(AND(B852="",NOT(A852="")),IF(NOT(LEFT(VLOOKUP(A852,TaskPlan!A:L,3,FALSE),1) = "0"),VLOOKUP(A852,TaskPlan!A:M,4,FALSE),""),"")</f>
        <v/>
      </c>
      <c r="N852" s="1" t="str">
        <f ca="1">IF(ISNA(VLOOKUP(A852,Projects!B:B,1,FALSE)),"","Yes")</f>
        <v>Yes</v>
      </c>
    </row>
    <row r="853" spans="1:14" hidden="1" outlineLevel="1">
      <c r="A853" s="43" t="s">
        <v>1292</v>
      </c>
      <c r="B853" s="1" t="s">
        <v>15</v>
      </c>
      <c r="C853" s="45" t="s">
        <v>1296</v>
      </c>
      <c r="D853" s="7"/>
      <c r="E853" s="26"/>
      <c r="G853" s="28"/>
      <c r="H853" s="37" t="str">
        <f ca="1">IF(AND(B853="",NOT(A853="")),VLOOKUP(A853,TaskPlan!A:M,13,FALSE),"")</f>
        <v/>
      </c>
      <c r="I853" s="38" t="str">
        <f ca="1">IF(AND(B853="",NOT(A853="")),VLOOKUP(A853,TaskPlan!A:M,12,FALSE),"")</f>
        <v/>
      </c>
      <c r="J853" s="39" t="str">
        <f ca="1">IF(AND(B853="",NOT(A853="")),VLOOKUP(A853,TaskPlan!A:L,2,FALSE),"")</f>
        <v/>
      </c>
      <c r="K853" s="39" t="str">
        <f ca="1">IF(AND(B853="",NOT(A853="")),IF(NOT(LEFT(VLOOKUP(A853,TaskPlan!A:L,3,FALSE),1) = "0"),VLOOKUP(A853,TaskPlan!A:L,3,FALSE),""),"")</f>
        <v/>
      </c>
      <c r="L853" s="55" t="str">
        <f ca="1">IF(AND(B853="",NOT(A853="")),IF(NOT(LEFT(VLOOKUP(A853,TaskPlan!A:L,3,FALSE),1) = "0"),VLOOKUP(A853,TaskPlan!A:M,4,FALSE),""),"")</f>
        <v/>
      </c>
      <c r="N853" s="1" t="str">
        <f ca="1">IF(ISNA(VLOOKUP(A853,Projects!B:B,1,FALSE)),"","Yes")</f>
        <v/>
      </c>
    </row>
    <row r="854" spans="1:14" hidden="1" outlineLevel="1">
      <c r="A854" s="43" t="s">
        <v>1294</v>
      </c>
      <c r="C854" s="44" t="s">
        <v>1297</v>
      </c>
      <c r="D854" s="7" t="s">
        <v>11</v>
      </c>
      <c r="E854" s="26">
        <v>40361</v>
      </c>
      <c r="F854" s="25">
        <v>0.5</v>
      </c>
      <c r="G854" s="28" t="s">
        <v>1099</v>
      </c>
      <c r="H854" s="37">
        <f ca="1">IF(AND(B854="",NOT(A854="")),VLOOKUP(A854,TaskPlan!A:M,13,FALSE),"")</f>
        <v>40457</v>
      </c>
      <c r="I854" s="38" t="str">
        <f ca="1">IF(AND(B854="",NOT(A854="")),VLOOKUP(A854,TaskPlan!A:M,12,FALSE),"")</f>
        <v>Closed</v>
      </c>
      <c r="J854" s="39" t="str">
        <f ca="1">IF(AND(B854="",NOT(A854="")),VLOOKUP(A854,TaskPlan!A:L,2,FALSE),"")</f>
        <v>Paresh</v>
      </c>
      <c r="K854" s="39" t="str">
        <f ca="1">IF(AND(B854="",NOT(A854="")),IF(NOT(LEFT(VLOOKUP(A854,TaskPlan!A:L,3,FALSE),1) = "0"),VLOOKUP(A854,TaskPlan!A:L,3,FALSE),""),"")</f>
        <v/>
      </c>
      <c r="L854" s="55" t="str">
        <f ca="1">IF(AND(B854="",NOT(A854="")),IF(NOT(LEFT(VLOOKUP(A854,TaskPlan!A:L,3,FALSE),1) = "0"),VLOOKUP(A854,TaskPlan!A:M,4,FALSE),""),"")</f>
        <v/>
      </c>
      <c r="N854" s="1" t="str">
        <f ca="1">IF(ISNA(VLOOKUP(A854,Projects!B:B,1,FALSE)),"","Yes")</f>
        <v>Yes</v>
      </c>
    </row>
    <row r="855" spans="1:14" hidden="1" outlineLevel="1">
      <c r="A855" s="43" t="s">
        <v>1303</v>
      </c>
      <c r="C855" s="44" t="s">
        <v>1298</v>
      </c>
      <c r="D855" s="7" t="s">
        <v>11</v>
      </c>
      <c r="E855" s="26">
        <v>40361</v>
      </c>
      <c r="F855" s="25">
        <v>0.5</v>
      </c>
      <c r="G855" s="28" t="s">
        <v>1099</v>
      </c>
      <c r="H855" s="37">
        <f ca="1">IF(AND(B855="",NOT(A855="")),VLOOKUP(A855,TaskPlan!A:M,13,FALSE),"")</f>
        <v>40457</v>
      </c>
      <c r="I855" s="38" t="str">
        <f ca="1">IF(AND(B855="",NOT(A855="")),VLOOKUP(A855,TaskPlan!A:M,12,FALSE),"")</f>
        <v>Closed</v>
      </c>
      <c r="J855" s="39" t="str">
        <f ca="1">IF(AND(B855="",NOT(A855="")),VLOOKUP(A855,TaskPlan!A:L,2,FALSE),"")</f>
        <v>Paresh</v>
      </c>
      <c r="K855" s="39" t="str">
        <f ca="1">IF(AND(B855="",NOT(A855="")),IF(NOT(LEFT(VLOOKUP(A855,TaskPlan!A:L,3,FALSE),1) = "0"),VLOOKUP(A855,TaskPlan!A:L,3,FALSE),""),"")</f>
        <v/>
      </c>
      <c r="L855" s="55" t="str">
        <f ca="1">IF(AND(B855="",NOT(A855="")),IF(NOT(LEFT(VLOOKUP(A855,TaskPlan!A:L,3,FALSE),1) = "0"),VLOOKUP(A855,TaskPlan!A:M,4,FALSE),""),"")</f>
        <v/>
      </c>
      <c r="N855" s="1" t="str">
        <f ca="1">IF(ISNA(VLOOKUP(A855,Projects!B:B,1,FALSE)),"","Yes")</f>
        <v>Yes</v>
      </c>
    </row>
    <row r="856" spans="1:14" hidden="1" outlineLevel="1">
      <c r="A856" s="43" t="s">
        <v>1304</v>
      </c>
      <c r="C856" s="44" t="s">
        <v>1299</v>
      </c>
      <c r="D856" s="7" t="s">
        <v>11</v>
      </c>
      <c r="E856" s="26">
        <v>40361</v>
      </c>
      <c r="F856" s="25">
        <v>0.5</v>
      </c>
      <c r="G856" s="28" t="s">
        <v>1099</v>
      </c>
      <c r="H856" s="37">
        <f ca="1">IF(AND(B856="",NOT(A856="")),VLOOKUP(A856,TaskPlan!A:M,13,FALSE),"")</f>
        <v>40457</v>
      </c>
      <c r="I856" s="38" t="str">
        <f ca="1">IF(AND(B856="",NOT(A856="")),VLOOKUP(A856,TaskPlan!A:M,12,FALSE),"")</f>
        <v>Closed</v>
      </c>
      <c r="J856" s="39" t="str">
        <f ca="1">IF(AND(B856="",NOT(A856="")),VLOOKUP(A856,TaskPlan!A:L,2,FALSE),"")</f>
        <v>Pramendra</v>
      </c>
      <c r="K856" s="39" t="str">
        <f ca="1">IF(AND(B856="",NOT(A856="")),IF(NOT(LEFT(VLOOKUP(A856,TaskPlan!A:L,3,FALSE),1) = "0"),VLOOKUP(A856,TaskPlan!A:L,3,FALSE),""),"")</f>
        <v/>
      </c>
      <c r="L856" s="55" t="str">
        <f ca="1">IF(AND(B856="",NOT(A856="")),IF(NOT(LEFT(VLOOKUP(A856,TaskPlan!A:L,3,FALSE),1) = "0"),VLOOKUP(A856,TaskPlan!A:M,4,FALSE),""),"")</f>
        <v/>
      </c>
      <c r="N856" s="1" t="str">
        <f ca="1">IF(ISNA(VLOOKUP(A856,Projects!B:B,1,FALSE)),"","Yes")</f>
        <v>Yes</v>
      </c>
    </row>
    <row r="857" spans="1:14" hidden="1" outlineLevel="1">
      <c r="A857" s="43" t="s">
        <v>1305</v>
      </c>
      <c r="C857" s="44" t="s">
        <v>1300</v>
      </c>
      <c r="D857" s="7" t="s">
        <v>11</v>
      </c>
      <c r="E857" s="26">
        <v>40361</v>
      </c>
      <c r="F857" s="25">
        <v>2</v>
      </c>
      <c r="G857" s="28" t="s">
        <v>1099</v>
      </c>
      <c r="H857" s="37">
        <f ca="1">IF(AND(B857="",NOT(A857="")),VLOOKUP(A857,TaskPlan!A:M,13,FALSE),"")</f>
        <v>40483</v>
      </c>
      <c r="I857" s="38" t="str">
        <f ca="1">IF(AND(B857="",NOT(A857="")),VLOOKUP(A857,TaskPlan!A:M,12,FALSE),"")</f>
        <v>Closed</v>
      </c>
      <c r="J857" s="39" t="str">
        <f ca="1">IF(AND(B857="",NOT(A857="")),VLOOKUP(A857,TaskPlan!A:L,2,FALSE),"")</f>
        <v>Paresh</v>
      </c>
      <c r="K857" s="39" t="str">
        <f ca="1">IF(AND(B857="",NOT(A857="")),IF(NOT(LEFT(VLOOKUP(A857,TaskPlan!A:L,3,FALSE),1) = "0"),VLOOKUP(A857,TaskPlan!A:L,3,FALSE),""),"")</f>
        <v/>
      </c>
      <c r="L857" s="55" t="str">
        <f ca="1">IF(AND(B857="",NOT(A857="")),IF(NOT(LEFT(VLOOKUP(A857,TaskPlan!A:L,3,FALSE),1) = "0"),VLOOKUP(A857,TaskPlan!A:M,4,FALSE),""),"")</f>
        <v/>
      </c>
      <c r="N857" s="1" t="str">
        <f ca="1">IF(ISNA(VLOOKUP(A857,Projects!B:B,1,FALSE)),"","Yes")</f>
        <v>Yes</v>
      </c>
    </row>
    <row r="858" spans="1:14" hidden="1" outlineLevel="1">
      <c r="A858" s="43" t="s">
        <v>1306</v>
      </c>
      <c r="C858" s="44" t="s">
        <v>1301</v>
      </c>
      <c r="D858" s="7" t="s">
        <v>11</v>
      </c>
      <c r="E858" s="26">
        <v>40361</v>
      </c>
      <c r="F858" s="25">
        <v>0.5</v>
      </c>
      <c r="G858" s="28" t="s">
        <v>1099</v>
      </c>
      <c r="H858" s="37">
        <f ca="1">IF(AND(B858="",NOT(A858="")),VLOOKUP(A858,TaskPlan!A:M,13,FALSE),"")</f>
        <v>40457</v>
      </c>
      <c r="I858" s="38" t="str">
        <f ca="1">IF(AND(B858="",NOT(A858="")),VLOOKUP(A858,TaskPlan!A:M,12,FALSE),"")</f>
        <v>Closed</v>
      </c>
      <c r="J858" s="39" t="str">
        <f ca="1">IF(AND(B858="",NOT(A858="")),VLOOKUP(A858,TaskPlan!A:L,2,FALSE),"")</f>
        <v>All</v>
      </c>
      <c r="K858" s="39" t="str">
        <f ca="1">IF(AND(B858="",NOT(A858="")),IF(NOT(LEFT(VLOOKUP(A858,TaskPlan!A:L,3,FALSE),1) = "0"),VLOOKUP(A858,TaskPlan!A:L,3,FALSE),""),"")</f>
        <v/>
      </c>
      <c r="L858" s="55" t="str">
        <f ca="1">IF(AND(B858="",NOT(A858="")),IF(NOT(LEFT(VLOOKUP(A858,TaskPlan!A:L,3,FALSE),1) = "0"),VLOOKUP(A858,TaskPlan!A:M,4,FALSE),""),"")</f>
        <v/>
      </c>
      <c r="N858" s="1" t="str">
        <f ca="1">IF(ISNA(VLOOKUP(A858,Projects!B:B,1,FALSE)),"","Yes")</f>
        <v>Yes</v>
      </c>
    </row>
    <row r="859" spans="1:14" hidden="1" outlineLevel="1">
      <c r="A859" s="43" t="s">
        <v>1307</v>
      </c>
      <c r="C859" s="44" t="s">
        <v>1302</v>
      </c>
      <c r="D859" s="7" t="s">
        <v>11</v>
      </c>
      <c r="E859" s="26">
        <v>40361</v>
      </c>
      <c r="F859" s="25">
        <v>0.5</v>
      </c>
      <c r="G859" s="28" t="s">
        <v>1099</v>
      </c>
      <c r="H859" s="37">
        <f ca="1">IF(AND(B859="",NOT(A859="")),VLOOKUP(A859,TaskPlan!A:M,13,FALSE),"")</f>
        <v>40483</v>
      </c>
      <c r="I859" s="38" t="str">
        <f ca="1">IF(AND(B859="",NOT(A859="")),VLOOKUP(A859,TaskPlan!A:M,12,FALSE),"")</f>
        <v>Closed</v>
      </c>
      <c r="J859" s="39" t="str">
        <f ca="1">IF(AND(B859="",NOT(A859="")),VLOOKUP(A859,TaskPlan!A:L,2,FALSE),"")</f>
        <v>Paresh</v>
      </c>
      <c r="K859" s="39" t="str">
        <f ca="1">IF(AND(B859="",NOT(A859="")),IF(NOT(LEFT(VLOOKUP(A859,TaskPlan!A:L,3,FALSE),1) = "0"),VLOOKUP(A859,TaskPlan!A:L,3,FALSE),""),"")</f>
        <v/>
      </c>
      <c r="L859" s="55" t="str">
        <f ca="1">IF(AND(B859="",NOT(A859="")),IF(NOT(LEFT(VLOOKUP(A859,TaskPlan!A:L,3,FALSE),1) = "0"),VLOOKUP(A859,TaskPlan!A:M,4,FALSE),""),"")</f>
        <v/>
      </c>
      <c r="N859" s="1" t="str">
        <f ca="1">IF(ISNA(VLOOKUP(A859,Projects!B:B,1,FALSE)),"","Yes")</f>
        <v>Yes</v>
      </c>
    </row>
    <row r="860" spans="1:14" hidden="1" outlineLevel="1">
      <c r="A860" s="43" t="s">
        <v>1308</v>
      </c>
      <c r="B860" s="7" t="s">
        <v>15</v>
      </c>
      <c r="C860" s="45" t="s">
        <v>1293</v>
      </c>
      <c r="D860" s="7"/>
      <c r="E860" s="26"/>
      <c r="G860" s="28"/>
      <c r="H860" s="37" t="str">
        <f ca="1">IF(AND(B860="",NOT(A860="")),VLOOKUP(A860,TaskPlan!A:M,13,FALSE),"")</f>
        <v/>
      </c>
      <c r="I860" s="38" t="str">
        <f ca="1">IF(AND(B860="",NOT(A860="")),VLOOKUP(A860,TaskPlan!A:M,12,FALSE),"")</f>
        <v/>
      </c>
      <c r="J860" s="39" t="str">
        <f ca="1">IF(AND(B860="",NOT(A860="")),VLOOKUP(A860,TaskPlan!A:L,2,FALSE),"")</f>
        <v/>
      </c>
      <c r="K860" s="39" t="str">
        <f ca="1">IF(AND(B860="",NOT(A860="")),IF(NOT(LEFT(VLOOKUP(A860,TaskPlan!A:L,3,FALSE),1) = "0"),VLOOKUP(A860,TaskPlan!A:L,3,FALSE),""),"")</f>
        <v/>
      </c>
      <c r="L860" s="55" t="str">
        <f ca="1">IF(AND(B860="",NOT(A860="")),IF(NOT(LEFT(VLOOKUP(A860,TaskPlan!A:L,3,FALSE),1) = "0"),VLOOKUP(A860,TaskPlan!A:M,4,FALSE),""),"")</f>
        <v/>
      </c>
      <c r="N860" s="1" t="str">
        <f ca="1">IF(ISNA(VLOOKUP(A860,Projects!B:B,1,FALSE)),"","Yes")</f>
        <v/>
      </c>
    </row>
    <row r="861" spans="1:14" hidden="1" outlineLevel="1">
      <c r="A861" s="43" t="s">
        <v>1309</v>
      </c>
      <c r="C861" s="44" t="s">
        <v>1295</v>
      </c>
      <c r="D861" s="7" t="s">
        <v>11</v>
      </c>
      <c r="E861" s="26">
        <v>40361</v>
      </c>
      <c r="F861" s="25">
        <v>0.5</v>
      </c>
      <c r="G861" s="28" t="s">
        <v>1099</v>
      </c>
      <c r="H861" s="37">
        <f ca="1">IF(AND(B861="",NOT(A861="")),VLOOKUP(A861,TaskPlan!A:M,13,FALSE),"")</f>
        <v>40361</v>
      </c>
      <c r="I861" s="38" t="str">
        <f ca="1">IF(AND(B861="",NOT(A861="")),VLOOKUP(A861,TaskPlan!A:M,12,FALSE),"")</f>
        <v>Closed</v>
      </c>
      <c r="J861" s="39" t="str">
        <f ca="1">IF(AND(B861="",NOT(A861="")),VLOOKUP(A861,TaskPlan!A:L,2,FALSE),"")</f>
        <v>Neil</v>
      </c>
      <c r="K861" s="39" t="str">
        <f ca="1">IF(AND(B861="",NOT(A861="")),IF(NOT(LEFT(VLOOKUP(A861,TaskPlan!A:L,3,FALSE),1) = "0"),VLOOKUP(A861,TaskPlan!A:L,3,FALSE),""),"")</f>
        <v/>
      </c>
      <c r="L861" s="55" t="str">
        <f ca="1">IF(AND(B861="",NOT(A861="")),IF(NOT(LEFT(VLOOKUP(A861,TaskPlan!A:L,3,FALSE),1) = "0"),VLOOKUP(A861,TaskPlan!A:M,4,FALSE),""),"")</f>
        <v/>
      </c>
      <c r="N861" s="1" t="str">
        <f ca="1">IF(ISNA(VLOOKUP(A861,Projects!B:B,1,FALSE)),"","Yes")</f>
        <v>Yes</v>
      </c>
    </row>
    <row r="862" spans="1:14" hidden="1" outlineLevel="1">
      <c r="A862" s="43" t="s">
        <v>1310</v>
      </c>
      <c r="C862" s="44" t="s">
        <v>1314</v>
      </c>
      <c r="D862" s="7" t="s">
        <v>11</v>
      </c>
      <c r="E862" s="26">
        <v>40361</v>
      </c>
      <c r="F862" s="25">
        <v>1</v>
      </c>
      <c r="G862" s="28" t="s">
        <v>1099</v>
      </c>
      <c r="H862" s="37">
        <f ca="1">IF(AND(B862="",NOT(A862="")),VLOOKUP(A862,TaskPlan!A:M,13,FALSE),"")</f>
        <v>40483</v>
      </c>
      <c r="I862" s="38" t="str">
        <f ca="1">IF(AND(B862="",NOT(A862="")),VLOOKUP(A862,TaskPlan!A:M,12,FALSE),"")</f>
        <v>Closed</v>
      </c>
      <c r="J862" s="39" t="str">
        <f ca="1">IF(AND(B862="",NOT(A862="")),VLOOKUP(A862,TaskPlan!A:L,2,FALSE),"")</f>
        <v>Paresh</v>
      </c>
      <c r="K862" s="39" t="str">
        <f ca="1">IF(AND(B862="",NOT(A862="")),IF(NOT(LEFT(VLOOKUP(A862,TaskPlan!A:L,3,FALSE),1) = "0"),VLOOKUP(A862,TaskPlan!A:L,3,FALSE),""),"")</f>
        <v/>
      </c>
      <c r="L862" s="55" t="str">
        <f ca="1">IF(AND(B862="",NOT(A862="")),IF(NOT(LEFT(VLOOKUP(A862,TaskPlan!A:L,3,FALSE),1) = "0"),VLOOKUP(A862,TaskPlan!A:M,4,FALSE),""),"")</f>
        <v/>
      </c>
      <c r="N862" s="1" t="str">
        <f ca="1">IF(ISNA(VLOOKUP(A862,Projects!B:B,1,FALSE)),"","Yes")</f>
        <v>Yes</v>
      </c>
    </row>
    <row r="863" spans="1:14" hidden="1" outlineLevel="1">
      <c r="A863" s="43" t="s">
        <v>1311</v>
      </c>
      <c r="C863" s="44" t="s">
        <v>1315</v>
      </c>
      <c r="D863" s="7" t="s">
        <v>11</v>
      </c>
      <c r="E863" s="26">
        <v>40361</v>
      </c>
      <c r="F863" s="25">
        <v>1</v>
      </c>
      <c r="G863" s="28" t="s">
        <v>1099</v>
      </c>
      <c r="H863" s="37">
        <f ca="1">IF(AND(B863="",NOT(A863="")),VLOOKUP(A863,TaskPlan!A:M,13,FALSE),"")</f>
        <v>40483</v>
      </c>
      <c r="I863" s="38" t="str">
        <f ca="1">IF(AND(B863="",NOT(A863="")),VLOOKUP(A863,TaskPlan!A:M,12,FALSE),"")</f>
        <v>Closed</v>
      </c>
      <c r="J863" s="39" t="str">
        <f ca="1">IF(AND(B863="",NOT(A863="")),VLOOKUP(A863,TaskPlan!A:L,2,FALSE),"")</f>
        <v>Neil</v>
      </c>
      <c r="K863" s="39" t="str">
        <f ca="1">IF(AND(B863="",NOT(A863="")),IF(NOT(LEFT(VLOOKUP(A863,TaskPlan!A:L,3,FALSE),1) = "0"),VLOOKUP(A863,TaskPlan!A:L,3,FALSE),""),"")</f>
        <v/>
      </c>
      <c r="L863" s="55" t="str">
        <f ca="1">IF(AND(B863="",NOT(A863="")),IF(NOT(LEFT(VLOOKUP(A863,TaskPlan!A:L,3,FALSE),1) = "0"),VLOOKUP(A863,TaskPlan!A:M,4,FALSE),""),"")</f>
        <v/>
      </c>
      <c r="N863" s="1" t="str">
        <f ca="1">IF(ISNA(VLOOKUP(A863,Projects!B:B,1,FALSE)),"","Yes")</f>
        <v>Yes</v>
      </c>
    </row>
    <row r="864" spans="1:14" hidden="1" outlineLevel="1">
      <c r="A864" s="43" t="s">
        <v>1312</v>
      </c>
      <c r="C864" s="44" t="s">
        <v>1316</v>
      </c>
      <c r="D864" s="7" t="s">
        <v>11</v>
      </c>
      <c r="E864" s="26">
        <v>40361</v>
      </c>
      <c r="F864" s="25">
        <v>5</v>
      </c>
      <c r="G864" s="28" t="s">
        <v>1099</v>
      </c>
      <c r="H864" s="37">
        <f ca="1">IF(AND(B864="",NOT(A864="")),VLOOKUP(A864,TaskPlan!A:M,13,FALSE),"")</f>
        <v>40598</v>
      </c>
      <c r="I864" s="38" t="str">
        <f ca="1">IF(AND(B864="",NOT(A864="")),VLOOKUP(A864,TaskPlan!A:M,12,FALSE),"")</f>
        <v>Closed</v>
      </c>
      <c r="J864" s="39" t="str">
        <f ca="1">IF(AND(B864="",NOT(A864="")),VLOOKUP(A864,TaskPlan!A:L,2,FALSE),"")</f>
        <v>Paresh</v>
      </c>
      <c r="K864" s="39" t="str">
        <f ca="1">IF(AND(B864="",NOT(A864="")),IF(NOT(LEFT(VLOOKUP(A864,TaskPlan!A:L,3,FALSE),1) = "0"),VLOOKUP(A864,TaskPlan!A:L,3,FALSE),""),"")</f>
        <v/>
      </c>
      <c r="L864" s="55" t="str">
        <f ca="1">IF(AND(B864="",NOT(A864="")),IF(NOT(LEFT(VLOOKUP(A864,TaskPlan!A:L,3,FALSE),1) = "0"),VLOOKUP(A864,TaskPlan!A:M,4,FALSE),""),"")</f>
        <v/>
      </c>
      <c r="N864" s="1" t="str">
        <f ca="1">IF(ISNA(VLOOKUP(A864,Projects!B:B,1,FALSE)),"","Yes")</f>
        <v>Yes</v>
      </c>
    </row>
    <row r="865" spans="1:14" hidden="1" outlineLevel="1">
      <c r="A865" s="43" t="s">
        <v>1313</v>
      </c>
      <c r="C865" s="44" t="s">
        <v>1317</v>
      </c>
      <c r="D865" s="7" t="s">
        <v>11</v>
      </c>
      <c r="E865" s="26">
        <v>40361</v>
      </c>
      <c r="F865" s="25">
        <v>1</v>
      </c>
      <c r="G865" s="28" t="s">
        <v>1099</v>
      </c>
      <c r="H865" s="37">
        <f ca="1">IF(AND(B865="",NOT(A865="")),VLOOKUP(A865,TaskPlan!A:M,13,FALSE),"")</f>
        <v>40598</v>
      </c>
      <c r="I865" s="38" t="str">
        <f ca="1">IF(AND(B865="",NOT(A865="")),VLOOKUP(A865,TaskPlan!A:M,12,FALSE),"")</f>
        <v>Closed</v>
      </c>
      <c r="J865" s="39" t="str">
        <f ca="1">IF(AND(B865="",NOT(A865="")),VLOOKUP(A865,TaskPlan!A:L,2,FALSE),"")</f>
        <v>Neil</v>
      </c>
      <c r="K865" s="39" t="str">
        <f ca="1">IF(AND(B865="",NOT(A865="")),IF(NOT(LEFT(VLOOKUP(A865,TaskPlan!A:L,3,FALSE),1) = "0"),VLOOKUP(A865,TaskPlan!A:L,3,FALSE),""),"")</f>
        <v/>
      </c>
      <c r="L865" s="55" t="str">
        <f ca="1">IF(AND(B865="",NOT(A865="")),IF(NOT(LEFT(VLOOKUP(A865,TaskPlan!A:L,3,FALSE),1) = "0"),VLOOKUP(A865,TaskPlan!A:M,4,FALSE),""),"")</f>
        <v/>
      </c>
      <c r="N865" s="1" t="str">
        <f ca="1">IF(ISNA(VLOOKUP(A865,Projects!B:B,1,FALSE)),"","Yes")</f>
        <v>Yes</v>
      </c>
    </row>
    <row r="866" spans="1:14" hidden="1" outlineLevel="1">
      <c r="A866" s="43" t="s">
        <v>1321</v>
      </c>
      <c r="C866" s="44" t="s">
        <v>1318</v>
      </c>
      <c r="D866" s="7" t="s">
        <v>11</v>
      </c>
      <c r="E866" s="26">
        <v>40362</v>
      </c>
      <c r="F866" s="25">
        <v>5</v>
      </c>
      <c r="G866" s="28" t="s">
        <v>1099</v>
      </c>
      <c r="H866" s="37">
        <f ca="1">IF(AND(B866="",NOT(A866="")),VLOOKUP(A866,TaskPlan!A:M,13,FALSE),"")</f>
        <v>40598</v>
      </c>
      <c r="I866" s="38" t="str">
        <f ca="1">IF(AND(B866="",NOT(A866="")),VLOOKUP(A866,TaskPlan!A:M,12,FALSE),"")</f>
        <v>Closed</v>
      </c>
      <c r="J866" s="39" t="str">
        <f ca="1">IF(AND(B866="",NOT(A866="")),VLOOKUP(A866,TaskPlan!A:L,2,FALSE),"")</f>
        <v>Sreevani</v>
      </c>
      <c r="K866" s="39" t="str">
        <f ca="1">IF(AND(B866="",NOT(A866="")),IF(NOT(LEFT(VLOOKUP(A866,TaskPlan!A:L,3,FALSE),1) = "0"),VLOOKUP(A866,TaskPlan!A:L,3,FALSE),""),"")</f>
        <v/>
      </c>
      <c r="L866" s="55" t="str">
        <f ca="1">IF(AND(B866="",NOT(A866="")),IF(NOT(LEFT(VLOOKUP(A866,TaskPlan!A:L,3,FALSE),1) = "0"),VLOOKUP(A866,TaskPlan!A:M,4,FALSE),""),"")</f>
        <v/>
      </c>
      <c r="N866" s="1" t="str">
        <f ca="1">IF(ISNA(VLOOKUP(A866,Projects!B:B,1,FALSE)),"","Yes")</f>
        <v>Yes</v>
      </c>
    </row>
    <row r="867" spans="1:14" hidden="1" outlineLevel="1">
      <c r="A867" s="43" t="s">
        <v>1322</v>
      </c>
      <c r="C867" s="44" t="s">
        <v>1640</v>
      </c>
      <c r="D867" s="7" t="s">
        <v>11</v>
      </c>
      <c r="E867" s="26">
        <v>40483</v>
      </c>
      <c r="F867" s="25">
        <v>1</v>
      </c>
      <c r="G867" s="28" t="s">
        <v>1099</v>
      </c>
      <c r="H867" s="37">
        <f ca="1">IF(AND(B867="",NOT(A867="")),VLOOKUP(A867,TaskPlan!A:M,13,FALSE),"")</f>
        <v>40456</v>
      </c>
      <c r="I867" s="38" t="str">
        <f ca="1">IF(AND(B867="",NOT(A867="")),VLOOKUP(A867,TaskPlan!A:M,12,FALSE),"")</f>
        <v>Closed</v>
      </c>
      <c r="J867" s="39" t="str">
        <f ca="1">IF(AND(B867="",NOT(A867="")),VLOOKUP(A867,TaskPlan!A:L,2,FALSE),"")</f>
        <v>All</v>
      </c>
      <c r="K867" s="39" t="str">
        <f ca="1">IF(AND(B867="",NOT(A867="")),IF(NOT(LEFT(VLOOKUP(A867,TaskPlan!A:L,3,FALSE),1) = "0"),VLOOKUP(A867,TaskPlan!A:L,3,FALSE),""),"")</f>
        <v>4-HIGH</v>
      </c>
      <c r="L867" s="55">
        <f ca="1">IF(AND(B867="",NOT(A867="")),IF(NOT(LEFT(VLOOKUP(A867,TaskPlan!A:L,3,FALSE),1) = "0"),VLOOKUP(A867,TaskPlan!A:M,4,FALSE),""),"")</f>
        <v>40402</v>
      </c>
      <c r="N867" s="1" t="str">
        <f ca="1">IF(ISNA(VLOOKUP(A867,Projects!B:B,1,FALSE)),"","Yes")</f>
        <v>Yes</v>
      </c>
    </row>
    <row r="868" spans="1:14" hidden="1" outlineLevel="1">
      <c r="A868" s="43" t="s">
        <v>1323</v>
      </c>
      <c r="C868" s="44" t="s">
        <v>1319</v>
      </c>
      <c r="D868" s="7" t="s">
        <v>11</v>
      </c>
      <c r="E868" s="26">
        <v>40364</v>
      </c>
      <c r="F868" s="25">
        <v>1</v>
      </c>
      <c r="G868" s="28" t="s">
        <v>1099</v>
      </c>
      <c r="H868" s="37">
        <f ca="1">IF(AND(B868="",NOT(A868="")),VLOOKUP(A868,TaskPlan!A:M,13,FALSE),"")</f>
        <v>40598</v>
      </c>
      <c r="I868" s="38" t="str">
        <f ca="1">IF(AND(B868="",NOT(A868="")),VLOOKUP(A868,TaskPlan!A:M,12,FALSE),"")</f>
        <v>Closed</v>
      </c>
      <c r="J868" s="39" t="str">
        <f ca="1">IF(AND(B868="",NOT(A868="")),VLOOKUP(A868,TaskPlan!A:L,2,FALSE),"")</f>
        <v>Paresh</v>
      </c>
      <c r="K868" s="39" t="str">
        <f ca="1">IF(AND(B868="",NOT(A868="")),IF(NOT(LEFT(VLOOKUP(A868,TaskPlan!A:L,3,FALSE),1) = "0"),VLOOKUP(A868,TaskPlan!A:L,3,FALSE),""),"")</f>
        <v/>
      </c>
      <c r="L868" s="55" t="str">
        <f ca="1">IF(AND(B868="",NOT(A868="")),IF(NOT(LEFT(VLOOKUP(A868,TaskPlan!A:L,3,FALSE),1) = "0"),VLOOKUP(A868,TaskPlan!A:M,4,FALSE),""),"")</f>
        <v/>
      </c>
      <c r="N868" s="1" t="str">
        <f ca="1">IF(ISNA(VLOOKUP(A868,Projects!B:B,1,FALSE)),"","Yes")</f>
        <v>Yes</v>
      </c>
    </row>
    <row r="869" spans="1:14" hidden="1" outlineLevel="1">
      <c r="A869" s="43" t="s">
        <v>1324</v>
      </c>
      <c r="C869" s="44" t="s">
        <v>1320</v>
      </c>
      <c r="D869" s="7" t="s">
        <v>11</v>
      </c>
      <c r="E869" s="26">
        <v>40365</v>
      </c>
      <c r="F869" s="25">
        <v>1</v>
      </c>
      <c r="G869" s="28" t="s">
        <v>1099</v>
      </c>
      <c r="H869" s="37">
        <f ca="1">IF(AND(B869="",NOT(A869="")),VLOOKUP(A869,TaskPlan!A:M,13,FALSE),"")</f>
        <v>40598</v>
      </c>
      <c r="I869" s="38" t="str">
        <f ca="1">IF(AND(B869="",NOT(A869="")),VLOOKUP(A869,TaskPlan!A:M,12,FALSE),"")</f>
        <v>Closed</v>
      </c>
      <c r="J869" s="39" t="str">
        <f ca="1">IF(AND(B869="",NOT(A869="")),VLOOKUP(A869,TaskPlan!A:L,2,FALSE),"")</f>
        <v>Paresh</v>
      </c>
      <c r="K869" s="39" t="str">
        <f ca="1">IF(AND(B869="",NOT(A869="")),IF(NOT(LEFT(VLOOKUP(A869,TaskPlan!A:L,3,FALSE),1) = "0"),VLOOKUP(A869,TaskPlan!A:L,3,FALSE),""),"")</f>
        <v/>
      </c>
      <c r="L869" s="55" t="str">
        <f ca="1">IF(AND(B869="",NOT(A869="")),IF(NOT(LEFT(VLOOKUP(A869,TaskPlan!A:L,3,FALSE),1) = "0"),VLOOKUP(A869,TaskPlan!A:M,4,FALSE),""),"")</f>
        <v/>
      </c>
      <c r="N869" s="1" t="str">
        <f ca="1">IF(ISNA(VLOOKUP(A869,Projects!B:B,1,FALSE)),"","Yes")</f>
        <v>Yes</v>
      </c>
    </row>
    <row r="870" spans="1:14" hidden="1" outlineLevel="1">
      <c r="A870" s="43" t="s">
        <v>1638</v>
      </c>
      <c r="C870" s="44" t="s">
        <v>1639</v>
      </c>
      <c r="D870" s="7" t="s">
        <v>11</v>
      </c>
      <c r="E870" s="26">
        <v>40483</v>
      </c>
      <c r="F870" s="25">
        <v>1</v>
      </c>
      <c r="G870" s="28" t="s">
        <v>1099</v>
      </c>
      <c r="H870" s="37">
        <f ca="1">IF(AND(B870="",NOT(A870="")),VLOOKUP(A870,TaskPlan!A:M,13,FALSE),"")</f>
        <v>40598</v>
      </c>
      <c r="I870" s="38" t="str">
        <f ca="1">IF(AND(B870="",NOT(A870="")),VLOOKUP(A870,TaskPlan!A:M,12,FALSE),"")</f>
        <v>Closed</v>
      </c>
      <c r="J870" s="39" t="str">
        <f ca="1">IF(AND(B870="",NOT(A870="")),VLOOKUP(A870,TaskPlan!A:L,2,FALSE),"")</f>
        <v>All</v>
      </c>
      <c r="K870" s="39" t="str">
        <f ca="1">IF(AND(B870="",NOT(A870="")),IF(NOT(LEFT(VLOOKUP(A870,TaskPlan!A:L,3,FALSE),1) = "0"),VLOOKUP(A870,TaskPlan!A:L,3,FALSE),""),"")</f>
        <v/>
      </c>
      <c r="L870" s="55" t="str">
        <f ca="1">IF(AND(B870="",NOT(A870="")),IF(NOT(LEFT(VLOOKUP(A870,TaskPlan!A:L,3,FALSE),1) = "0"),VLOOKUP(A870,TaskPlan!A:M,4,FALSE),""),"")</f>
        <v/>
      </c>
      <c r="N870" s="1" t="str">
        <f ca="1">IF(ISNA(VLOOKUP(A870,Projects!B:B,1,FALSE)),"","Yes")</f>
        <v>Yes</v>
      </c>
    </row>
    <row r="871" spans="1:14" ht="25.5" hidden="1" outlineLevel="1">
      <c r="A871" s="43" t="s">
        <v>1790</v>
      </c>
      <c r="C871" s="44" t="s">
        <v>1837</v>
      </c>
      <c r="D871" s="7" t="s">
        <v>11</v>
      </c>
      <c r="E871" s="26">
        <v>40556</v>
      </c>
      <c r="F871" s="25">
        <v>4</v>
      </c>
      <c r="G871" s="28" t="s">
        <v>1099</v>
      </c>
      <c r="H871" s="37">
        <f ca="1">IF(AND(B871="",NOT(A871="")),VLOOKUP(A871,TaskPlan!A:M,13,FALSE),"")</f>
        <v>40598</v>
      </c>
      <c r="I871" s="38" t="str">
        <f ca="1">IF(AND(B871="",NOT(A871="")),VLOOKUP(A871,TaskPlan!A:M,12,FALSE),"")</f>
        <v>Closed</v>
      </c>
      <c r="J871" s="39" t="str">
        <f ca="1">IF(AND(B871="",NOT(A871="")),VLOOKUP(A871,TaskPlan!A:L,2,FALSE),"")</f>
        <v>Paresh</v>
      </c>
      <c r="K871" s="39" t="str">
        <f ca="1">IF(AND(B871="",NOT(A871="")),IF(NOT(LEFT(VLOOKUP(A871,TaskPlan!A:L,3,FALSE),1) = "0"),VLOOKUP(A871,TaskPlan!A:L,3,FALSE),""),"")</f>
        <v/>
      </c>
      <c r="L871" s="55" t="str">
        <f ca="1">IF(AND(B871="",NOT(A871="")),IF(NOT(LEFT(VLOOKUP(A871,TaskPlan!A:L,3,FALSE),1) = "0"),VLOOKUP(A871,TaskPlan!A:M,4,FALSE),""),"")</f>
        <v/>
      </c>
      <c r="N871" s="1" t="str">
        <f ca="1">IF(ISNA(VLOOKUP(A871,Projects!B:B,1,FALSE)),"","Yes")</f>
        <v>Yes</v>
      </c>
    </row>
    <row r="872" spans="1:14" hidden="1" outlineLevel="1">
      <c r="A872" s="43" t="s">
        <v>1838</v>
      </c>
      <c r="C872" s="44" t="s">
        <v>1839</v>
      </c>
      <c r="D872" s="7" t="s">
        <v>366</v>
      </c>
      <c r="E872" s="26">
        <v>40556</v>
      </c>
      <c r="F872" s="25">
        <v>5</v>
      </c>
      <c r="G872" s="28" t="s">
        <v>1099</v>
      </c>
      <c r="H872" s="37">
        <f ca="1">IF(AND(B872="",NOT(A872="")),VLOOKUP(A872,TaskPlan!A:M,13,FALSE),"")</f>
        <v>40598</v>
      </c>
      <c r="I872" s="38" t="str">
        <f ca="1">IF(AND(B872="",NOT(A872="")),VLOOKUP(A872,TaskPlan!A:M,12,FALSE),"")</f>
        <v>Closed</v>
      </c>
      <c r="J872" s="39" t="str">
        <f ca="1">IF(AND(B872="",NOT(A872="")),VLOOKUP(A872,TaskPlan!A:L,2,FALSE),"")</f>
        <v>Paresh</v>
      </c>
      <c r="K872" s="39" t="str">
        <f ca="1">IF(AND(B872="",NOT(A872="")),IF(NOT(LEFT(VLOOKUP(A872,TaskPlan!A:L,3,FALSE),1) = "0"),VLOOKUP(A872,TaskPlan!A:L,3,FALSE),""),"")</f>
        <v/>
      </c>
      <c r="L872" s="55" t="str">
        <f ca="1">IF(AND(B872="",NOT(A872="")),IF(NOT(LEFT(VLOOKUP(A872,TaskPlan!A:L,3,FALSE),1) = "0"),VLOOKUP(A872,TaskPlan!A:M,4,FALSE),""),"")</f>
        <v/>
      </c>
      <c r="N872" s="1" t="str">
        <f ca="1">IF(ISNA(VLOOKUP(A872,Projects!B:B,1,FALSE)),"","Yes")</f>
        <v/>
      </c>
    </row>
    <row r="873" spans="1:14" hidden="1" outlineLevel="1">
      <c r="A873" s="43" t="s">
        <v>1702</v>
      </c>
      <c r="B873" s="1" t="s">
        <v>15</v>
      </c>
      <c r="C873" s="45" t="s">
        <v>1764</v>
      </c>
      <c r="D873" s="7"/>
      <c r="E873" s="26"/>
      <c r="G873" s="28"/>
      <c r="L873" s="55"/>
    </row>
    <row r="874" spans="1:14" hidden="1" outlineLevel="1">
      <c r="A874" s="43" t="s">
        <v>1703</v>
      </c>
      <c r="C874" s="44" t="s">
        <v>1765</v>
      </c>
      <c r="D874" s="7" t="s">
        <v>11</v>
      </c>
      <c r="E874" s="26">
        <v>40521</v>
      </c>
      <c r="F874" s="25">
        <v>2</v>
      </c>
      <c r="G874" s="28" t="s">
        <v>1099</v>
      </c>
      <c r="H874" s="37">
        <f ca="1">IF(AND(B874="",NOT(A874="")),VLOOKUP(A874,TaskPlan!A:M,13,FALSE),"")</f>
        <v>40598</v>
      </c>
      <c r="I874" s="38" t="str">
        <f ca="1">IF(AND(B874="",NOT(A874="")),VLOOKUP(A874,TaskPlan!A:M,12,FALSE),"")</f>
        <v>In Progress</v>
      </c>
      <c r="J874" s="39" t="str">
        <f ca="1">IF(AND(B874="",NOT(A874="")),VLOOKUP(A874,TaskPlan!A:L,2,FALSE),"")</f>
        <v>Sachin</v>
      </c>
      <c r="K874" s="39" t="str">
        <f ca="1">IF(AND(B874="",NOT(A874="")),IF(NOT(LEFT(VLOOKUP(A874,TaskPlan!A:L,3,FALSE),1) = "0"),VLOOKUP(A874,TaskPlan!A:L,3,FALSE),""),"")</f>
        <v>4-HIGH</v>
      </c>
      <c r="L874" s="55">
        <f ca="1">IF(AND(B874="",NOT(A874="")),IF(NOT(LEFT(VLOOKUP(A874,TaskPlan!A:L,3,FALSE),1) = "0"),VLOOKUP(A874,TaskPlan!A:M,4,FALSE),""),"")</f>
        <v>0</v>
      </c>
      <c r="N874" s="1" t="str">
        <f ca="1">IF(ISNA(VLOOKUP(A874,Projects!B:B,1,FALSE)),"","Yes")</f>
        <v/>
      </c>
    </row>
    <row r="875" spans="1:14" hidden="1" outlineLevel="1">
      <c r="A875" s="43" t="s">
        <v>1766</v>
      </c>
      <c r="C875" s="44" t="s">
        <v>1767</v>
      </c>
      <c r="D875" s="7" t="s">
        <v>11</v>
      </c>
      <c r="E875" s="26">
        <v>40521</v>
      </c>
      <c r="F875" s="25">
        <v>2</v>
      </c>
      <c r="G875" s="28" t="s">
        <v>1099</v>
      </c>
      <c r="H875" s="37">
        <f ca="1">IF(AND(B875="",NOT(A875="")),VLOOKUP(A875,TaskPlan!A:M,13,FALSE),"")</f>
        <v>40598</v>
      </c>
      <c r="I875" s="38" t="str">
        <f ca="1">IF(AND(B875="",NOT(A875="")),VLOOKUP(A875,TaskPlan!A:M,12,FALSE),"")</f>
        <v>In Progress</v>
      </c>
      <c r="J875" s="39" t="str">
        <f ca="1">IF(AND(B875="",NOT(A875="")),VLOOKUP(A875,TaskPlan!A:L,2,FALSE),"")</f>
        <v>Sachin</v>
      </c>
      <c r="K875" s="39" t="str">
        <f ca="1">IF(AND(B875="",NOT(A875="")),IF(NOT(LEFT(VLOOKUP(A875,TaskPlan!A:L,3,FALSE),1) = "0"),VLOOKUP(A875,TaskPlan!A:L,3,FALSE),""),"")</f>
        <v>4-HIGH</v>
      </c>
      <c r="L875" s="55">
        <f ca="1">IF(AND(B875="",NOT(A875="")),IF(NOT(LEFT(VLOOKUP(A875,TaskPlan!A:L,3,FALSE),1) = "0"),VLOOKUP(A875,TaskPlan!A:M,4,FALSE),""),"")</f>
        <v>0</v>
      </c>
      <c r="N875" s="1" t="str">
        <f ca="1">IF(ISNA(VLOOKUP(A875,Projects!B:B,1,FALSE)),"","Yes")</f>
        <v/>
      </c>
    </row>
    <row r="876" spans="1:14" ht="25.5" hidden="1" outlineLevel="1">
      <c r="A876" s="43" t="s">
        <v>1768</v>
      </c>
      <c r="C876" s="44" t="s">
        <v>1769</v>
      </c>
      <c r="D876" s="7" t="s">
        <v>11</v>
      </c>
      <c r="E876" s="26">
        <v>40521</v>
      </c>
      <c r="F876" s="25">
        <v>5</v>
      </c>
      <c r="G876" s="28" t="s">
        <v>1099</v>
      </c>
      <c r="H876" s="37">
        <f ca="1">IF(AND(B876="",NOT(A876="")),VLOOKUP(A876,TaskPlan!A:M,13,FALSE),"")</f>
        <v>40598</v>
      </c>
      <c r="I876" s="38" t="str">
        <f ca="1">IF(AND(B876="",NOT(A876="")),VLOOKUP(A876,TaskPlan!A:M,12,FALSE),"")</f>
        <v>Not Started</v>
      </c>
      <c r="J876" s="39" t="str">
        <f ca="1">IF(AND(B876="",NOT(A876="")),VLOOKUP(A876,TaskPlan!A:L,2,FALSE),"")</f>
        <v>Sachin</v>
      </c>
      <c r="K876" s="39" t="str">
        <f ca="1">IF(AND(B876="",NOT(A876="")),IF(NOT(LEFT(VLOOKUP(A876,TaskPlan!A:L,3,FALSE),1) = "0"),VLOOKUP(A876,TaskPlan!A:L,3,FALSE),""),"")</f>
        <v>4-HIGH</v>
      </c>
      <c r="L876" s="55">
        <f ca="1">IF(AND(B876="",NOT(A876="")),IF(NOT(LEFT(VLOOKUP(A876,TaskPlan!A:L,3,FALSE),1) = "0"),VLOOKUP(A876,TaskPlan!A:M,4,FALSE),""),"")</f>
        <v>0</v>
      </c>
      <c r="N876" s="1" t="str">
        <f ca="1">IF(ISNA(VLOOKUP(A876,Projects!B:B,1,FALSE)),"","Yes")</f>
        <v/>
      </c>
    </row>
    <row r="877" spans="1:14" hidden="1" outlineLevel="1">
      <c r="A877" s="43" t="s">
        <v>1787</v>
      </c>
      <c r="B877" s="7" t="s">
        <v>15</v>
      </c>
      <c r="C877" s="45" t="s">
        <v>277</v>
      </c>
      <c r="D877" s="7"/>
      <c r="E877" s="26"/>
      <c r="G877" s="28"/>
      <c r="L877" s="55"/>
    </row>
    <row r="878" spans="1:14" hidden="1" outlineLevel="1">
      <c r="A878" s="43" t="s">
        <v>1788</v>
      </c>
      <c r="C878" s="44" t="s">
        <v>1789</v>
      </c>
      <c r="D878" s="7" t="s">
        <v>315</v>
      </c>
      <c r="E878" s="26">
        <v>40532</v>
      </c>
      <c r="F878" s="25">
        <v>2</v>
      </c>
      <c r="G878" s="28" t="s">
        <v>1213</v>
      </c>
      <c r="H878" s="37">
        <f ca="1">IF(AND(B878="",NOT(A878="")),VLOOKUP(A878,TaskPlan!A:M,13,FALSE),"")</f>
        <v>40532</v>
      </c>
      <c r="I878" s="38" t="str">
        <f ca="1">IF(AND(B878="",NOT(A878="")),VLOOKUP(A878,TaskPlan!A:M,12,FALSE),"")</f>
        <v>In Progress</v>
      </c>
      <c r="J878" s="39" t="str">
        <f ca="1">IF(AND(B878="",NOT(A878="")),VLOOKUP(A878,TaskPlan!A:L,2,FALSE),"")</f>
        <v>Paresh</v>
      </c>
      <c r="K878" s="39" t="str">
        <f ca="1">IF(AND(B878="",NOT(A878="")),IF(NOT(LEFT(VLOOKUP(A878,TaskPlan!A:L,3,FALSE),1) = "0"),VLOOKUP(A878,TaskPlan!A:L,3,FALSE),""),"")</f>
        <v>4-HIGH</v>
      </c>
      <c r="L878" s="55">
        <f ca="1">IF(AND(B878="",NOT(A878="")),IF(NOT(LEFT(VLOOKUP(A878,TaskPlan!A:L,3,FALSE),1) = "0"),VLOOKUP(A878,TaskPlan!A:M,4,FALSE),""),"")</f>
        <v>0</v>
      </c>
      <c r="N878" s="1" t="str">
        <f ca="1">IF(ISNA(VLOOKUP(A878,Projects!B:B,1,FALSE)),"","Yes")</f>
        <v/>
      </c>
    </row>
    <row r="879" spans="1:14" hidden="1" outlineLevel="1">
      <c r="A879" s="43" t="s">
        <v>1840</v>
      </c>
      <c r="C879" s="44" t="s">
        <v>1841</v>
      </c>
      <c r="D879" s="7" t="s">
        <v>32</v>
      </c>
      <c r="E879" s="26">
        <v>40556</v>
      </c>
      <c r="F879" s="25">
        <v>2</v>
      </c>
      <c r="G879" s="28" t="s">
        <v>1100</v>
      </c>
      <c r="H879" s="37">
        <f ca="1">IF(AND(B879="",NOT(A879="")),VLOOKUP(A879,TaskPlan!A:M,13,FALSE),"")</f>
        <v>40567</v>
      </c>
      <c r="I879" s="38" t="str">
        <f ca="1">IF(AND(B879="",NOT(A879="")),VLOOKUP(A879,TaskPlan!A:M,12,FALSE),"")</f>
        <v>In Progress</v>
      </c>
      <c r="J879" s="39" t="str">
        <f ca="1">IF(AND(B879="",NOT(A879="")),VLOOKUP(A879,TaskPlan!A:L,2,FALSE),"")</f>
        <v>Paresh</v>
      </c>
      <c r="K879" s="39" t="str">
        <f ca="1">IF(AND(B879="",NOT(A879="")),IF(NOT(LEFT(VLOOKUP(A879,TaskPlan!A:L,3,FALSE),1) = "0"),VLOOKUP(A879,TaskPlan!A:L,3,FALSE),""),"")</f>
        <v>1-LOW</v>
      </c>
      <c r="L879" s="55">
        <f ca="1">IF(AND(B879="",NOT(A879="")),IF(NOT(LEFT(VLOOKUP(A879,TaskPlan!A:L,3,FALSE),1) = "0"),VLOOKUP(A879,TaskPlan!A:M,4,FALSE),""),"")</f>
        <v>0</v>
      </c>
      <c r="N879" s="1" t="str">
        <f ca="1">IF(ISNA(VLOOKUP(A879,Projects!B:B,1,FALSE)),"","Yes")</f>
        <v/>
      </c>
    </row>
    <row r="880" spans="1:14" hidden="1" outlineLevel="1">
      <c r="A880" s="43" t="s">
        <v>1956</v>
      </c>
      <c r="C880" s="44" t="s">
        <v>1955</v>
      </c>
      <c r="D880" s="7" t="s">
        <v>32</v>
      </c>
      <c r="E880" s="26">
        <v>40598</v>
      </c>
      <c r="F880" s="25">
        <v>5</v>
      </c>
      <c r="G880" s="28" t="s">
        <v>1099</v>
      </c>
      <c r="H880" s="37">
        <f ca="1">IF(AND(B880="",NOT(A880="")),VLOOKUP(A880,TaskPlan!A:M,13,FALSE),"")</f>
        <v>40598</v>
      </c>
      <c r="I880" s="38" t="str">
        <f ca="1">IF(AND(B880="",NOT(A880="")),VLOOKUP(A880,TaskPlan!A:M,12,FALSE),"")</f>
        <v>In Progress</v>
      </c>
      <c r="J880" s="39" t="str">
        <f ca="1">IF(AND(B880="",NOT(A880="")),VLOOKUP(A880,TaskPlan!A:L,2,FALSE),"")</f>
        <v>Paresh</v>
      </c>
      <c r="K880" s="39" t="str">
        <f ca="1">IF(AND(B880="",NOT(A880="")),IF(NOT(LEFT(VLOOKUP(A880,TaskPlan!A:L,3,FALSE),1) = "0"),VLOOKUP(A880,TaskPlan!A:L,3,FALSE),""),"")</f>
        <v>5-HIGH</v>
      </c>
      <c r="L880" s="55">
        <f ca="1">IF(AND(B880="",NOT(A880="")),IF(NOT(LEFT(VLOOKUP(A880,TaskPlan!A:L,3,FALSE),1) = "0"),VLOOKUP(A880,TaskPlan!A:M,4,FALSE),""),"")</f>
        <v>0</v>
      </c>
      <c r="N880" s="1" t="str">
        <f ca="1">IF(ISNA(VLOOKUP(A880,Projects!B:B,1,FALSE)),"","Yes")</f>
        <v/>
      </c>
    </row>
    <row r="881" spans="1:14" hidden="1" outlineLevel="1">
      <c r="A881" s="43" t="s">
        <v>1957</v>
      </c>
      <c r="C881" s="44" t="s">
        <v>1955</v>
      </c>
      <c r="D881" s="7" t="s">
        <v>32</v>
      </c>
      <c r="E881" s="26">
        <v>40598</v>
      </c>
      <c r="F881" s="25">
        <v>5</v>
      </c>
      <c r="G881" s="28" t="s">
        <v>1099</v>
      </c>
      <c r="H881" s="37">
        <f ca="1">IF(AND(B881="",NOT(A881="")),VLOOKUP(A881,TaskPlan!A:M,13,FALSE),"")</f>
        <v>40598</v>
      </c>
      <c r="I881" s="38" t="str">
        <f ca="1">IF(AND(B881="",NOT(A881="")),VLOOKUP(A881,TaskPlan!A:M,12,FALSE),"")</f>
        <v>In Progress</v>
      </c>
      <c r="J881" s="39" t="str">
        <f ca="1">IF(AND(B881="",NOT(A881="")),VLOOKUP(A881,TaskPlan!A:L,2,FALSE),"")</f>
        <v>Sachin</v>
      </c>
      <c r="K881" s="39" t="str">
        <f ca="1">IF(AND(B881="",NOT(A881="")),IF(NOT(LEFT(VLOOKUP(A881,TaskPlan!A:L,3,FALSE),1) = "0"),VLOOKUP(A881,TaskPlan!A:L,3,FALSE),""),"")</f>
        <v>5-HIGH</v>
      </c>
      <c r="L881" s="55">
        <f ca="1">IF(AND(B881="",NOT(A881="")),IF(NOT(LEFT(VLOOKUP(A881,TaskPlan!A:L,3,FALSE),1) = "0"),VLOOKUP(A881,TaskPlan!A:M,4,FALSE),""),"")</f>
        <v>0</v>
      </c>
      <c r="N881" s="1" t="str">
        <f ca="1">IF(ISNA(VLOOKUP(A881,Projects!B:B,1,FALSE)),"","Yes")</f>
        <v/>
      </c>
    </row>
    <row r="882" spans="1:14" collapsed="1">
      <c r="A882" s="43"/>
      <c r="B882" s="7"/>
      <c r="C882" s="44"/>
      <c r="D882" s="7"/>
      <c r="E882" s="26"/>
      <c r="H882" s="37" t="str">
        <f ca="1">IF(AND(B882="",NOT(A882="")),VLOOKUP(A882,TaskPlan!A:M,13,FALSE),"")</f>
        <v/>
      </c>
      <c r="I882" s="38" t="str">
        <f ca="1">IF(AND(B882="",NOT(A882="")),VLOOKUP(A882,TaskPlan!A:M,12,FALSE),"")</f>
        <v/>
      </c>
      <c r="J882" s="39" t="str">
        <f ca="1">IF(AND(B882="",NOT(A882="")),VLOOKUP(A882,TaskPlan!A:L,2,FALSE),"")</f>
        <v/>
      </c>
      <c r="K882" s="39" t="str">
        <f ca="1">IF(AND(B882="",NOT(A882="")),IF(NOT(LEFT(VLOOKUP(A882,TaskPlan!A:L,3,FALSE),1) = "0"),VLOOKUP(A882,TaskPlan!A:L,3,FALSE),""),"")</f>
        <v/>
      </c>
      <c r="L882" s="55" t="str">
        <f ca="1">IF(AND(B882="",NOT(A882="")),IF(NOT(LEFT(VLOOKUP(A882,TaskPlan!A:L,3,FALSE),1) = "0"),VLOOKUP(A882,TaskPlan!A:M,4,FALSE),""),"")</f>
        <v/>
      </c>
      <c r="N882" s="1" t="str">
        <f ca="1">IF(ISNA(VLOOKUP(A882,Projects!B:B,1,FALSE)),"","Yes")</f>
        <v/>
      </c>
    </row>
    <row r="883" spans="1:14" ht="15.75">
      <c r="A883" s="43" t="s">
        <v>961</v>
      </c>
      <c r="B883" s="7" t="s">
        <v>15</v>
      </c>
      <c r="C883" s="36" t="s">
        <v>962</v>
      </c>
      <c r="E883" s="26"/>
      <c r="H883" s="37" t="str">
        <f ca="1">IF(AND(B883="",NOT(A883="")),VLOOKUP(A883,TaskPlan!A:M,13,FALSE),"")</f>
        <v/>
      </c>
      <c r="I883" s="38" t="str">
        <f ca="1">IF(AND(B883="",NOT(A883="")),VLOOKUP(A883,TaskPlan!A:M,12,FALSE),"")</f>
        <v/>
      </c>
      <c r="J883" s="39" t="str">
        <f ca="1">IF(AND(B883="",NOT(A883="")),VLOOKUP(A883,TaskPlan!A:L,2,FALSE),"")</f>
        <v/>
      </c>
      <c r="K883" s="39" t="str">
        <f ca="1">IF(AND(B883="",NOT(A883="")),IF(NOT(LEFT(VLOOKUP(A883,TaskPlan!A:L,3,FALSE),1) = "0"),VLOOKUP(A883,TaskPlan!A:L,3,FALSE),""),"")</f>
        <v/>
      </c>
      <c r="L883" s="55" t="str">
        <f ca="1">IF(AND(B883="",NOT(A883="")),IF(NOT(LEFT(VLOOKUP(A883,TaskPlan!A:L,3,FALSE),1) = "0"),VLOOKUP(A883,TaskPlan!A:M,4,FALSE),""),"")</f>
        <v/>
      </c>
      <c r="N883" s="1" t="str">
        <f ca="1">IF(ISNA(VLOOKUP(A883,Projects!B:B,1,FALSE)),"","Yes")</f>
        <v/>
      </c>
    </row>
    <row r="884" spans="1:14" hidden="1" outlineLevel="1">
      <c r="A884" s="43" t="s">
        <v>963</v>
      </c>
      <c r="B884" s="7" t="s">
        <v>15</v>
      </c>
      <c r="C884" s="45" t="s">
        <v>964</v>
      </c>
      <c r="H884" s="37" t="str">
        <f ca="1">IF(AND(B884="",NOT(A884="")),VLOOKUP(A884,TaskPlan!A:M,13,FALSE),"")</f>
        <v/>
      </c>
      <c r="I884" s="38" t="str">
        <f ca="1">IF(AND(B884="",NOT(A884="")),VLOOKUP(A884,TaskPlan!A:M,12,FALSE),"")</f>
        <v/>
      </c>
      <c r="J884" s="39" t="str">
        <f ca="1">IF(AND(B884="",NOT(A884="")),VLOOKUP(A884,TaskPlan!A:L,2,FALSE),"")</f>
        <v/>
      </c>
      <c r="K884" s="39" t="str">
        <f ca="1">IF(AND(B884="",NOT(A884="")),IF(NOT(LEFT(VLOOKUP(A884,TaskPlan!A:L,3,FALSE),1) = "0"),VLOOKUP(A884,TaskPlan!A:L,3,FALSE),""),"")</f>
        <v/>
      </c>
      <c r="L884" s="55" t="str">
        <f ca="1">IF(AND(B884="",NOT(A884="")),IF(NOT(LEFT(VLOOKUP(A884,TaskPlan!A:L,3,FALSE),1) = "0"),VLOOKUP(A884,TaskPlan!A:M,4,FALSE),""),"")</f>
        <v/>
      </c>
      <c r="N884" s="1" t="str">
        <f ca="1">IF(ISNA(VLOOKUP(A884,Projects!B:B,1,FALSE)),"","Yes")</f>
        <v/>
      </c>
    </row>
    <row r="885" spans="1:14" hidden="1" outlineLevel="1">
      <c r="A885" s="43" t="s">
        <v>968</v>
      </c>
      <c r="B885" s="7"/>
      <c r="C885" s="44" t="s">
        <v>969</v>
      </c>
      <c r="D885" s="7" t="s">
        <v>11</v>
      </c>
      <c r="E885" s="26">
        <v>40245</v>
      </c>
      <c r="F885" s="25">
        <v>15</v>
      </c>
      <c r="H885" s="37">
        <f ca="1">IF(AND(B885="",NOT(A885="")),VLOOKUP(A885,TaskPlan!A:M,13,FALSE),"")</f>
        <v>40283</v>
      </c>
      <c r="I885" s="38" t="str">
        <f ca="1">IF(AND(B885="",NOT(A885="")),VLOOKUP(A885,TaskPlan!A:M,12,FALSE),"")</f>
        <v>Closed</v>
      </c>
      <c r="J885" s="39" t="str">
        <f ca="1">IF(AND(B885="",NOT(A885="")),VLOOKUP(A885,TaskPlan!A:L,2,FALSE),"")</f>
        <v>Sachin</v>
      </c>
      <c r="K885" s="39" t="str">
        <f ca="1">IF(AND(B885="",NOT(A885="")),IF(NOT(LEFT(VLOOKUP(A885,TaskPlan!A:L,3,FALSE),1) = "0"),VLOOKUP(A885,TaskPlan!A:L,3,FALSE),""),"")</f>
        <v/>
      </c>
      <c r="L885" s="55" t="str">
        <f ca="1">IF(AND(B885="",NOT(A885="")),IF(NOT(LEFT(VLOOKUP(A885,TaskPlan!A:L,3,FALSE),1) = "0"),VLOOKUP(A885,TaskPlan!A:M,4,FALSE),""),"")</f>
        <v/>
      </c>
      <c r="N885" s="1" t="str">
        <f ca="1">IF(ISNA(VLOOKUP(A885,Projects!B:B,1,FALSE)),"","Yes")</f>
        <v/>
      </c>
    </row>
    <row r="886" spans="1:14" hidden="1" outlineLevel="1">
      <c r="A886" s="43" t="s">
        <v>965</v>
      </c>
      <c r="B886" s="7" t="s">
        <v>15</v>
      </c>
      <c r="C886" s="45" t="s">
        <v>966</v>
      </c>
      <c r="H886" s="37" t="str">
        <f ca="1">IF(AND(B886="",NOT(A886="")),VLOOKUP(A886,TaskPlan!A:M,13,FALSE),"")</f>
        <v/>
      </c>
      <c r="I886" s="38" t="str">
        <f ca="1">IF(AND(B886="",NOT(A886="")),VLOOKUP(A886,TaskPlan!A:M,12,FALSE),"")</f>
        <v/>
      </c>
      <c r="J886" s="39" t="str">
        <f ca="1">IF(AND(B886="",NOT(A886="")),VLOOKUP(A886,TaskPlan!A:L,2,FALSE),"")</f>
        <v/>
      </c>
      <c r="K886" s="39" t="str">
        <f ca="1">IF(AND(B886="",NOT(A886="")),IF(NOT(LEFT(VLOOKUP(A886,TaskPlan!A:L,3,FALSE),1) = "0"),VLOOKUP(A886,TaskPlan!A:L,3,FALSE),""),"")</f>
        <v/>
      </c>
      <c r="L886" s="55" t="str">
        <f ca="1">IF(AND(B886="",NOT(A886="")),IF(NOT(LEFT(VLOOKUP(A886,TaskPlan!A:L,3,FALSE),1) = "0"),VLOOKUP(A886,TaskPlan!A:M,4,FALSE),""),"")</f>
        <v/>
      </c>
      <c r="M886" s="58">
        <f ca="1">IF(B886=".",1,IF(AND(B886="",NOT(A886="")),IF(VLOOKUP(A886,TaskPlan!A:L,5,FALSE)&gt;0,VLOOKUP(A886,TaskPlan!A:L,5,FALSE),""),""))</f>
        <v>1</v>
      </c>
      <c r="N886" s="1" t="str">
        <f ca="1">IF(ISNA(VLOOKUP(A886,Projects!B:B,1,FALSE)),"","Yes")</f>
        <v/>
      </c>
    </row>
    <row r="887" spans="1:14" hidden="1" outlineLevel="1">
      <c r="A887" s="43" t="s">
        <v>967</v>
      </c>
      <c r="B887" s="7"/>
      <c r="C887" s="44" t="s">
        <v>971</v>
      </c>
      <c r="D887" s="7" t="s">
        <v>11</v>
      </c>
      <c r="E887" s="26">
        <v>40245</v>
      </c>
      <c r="F887" s="25">
        <v>1</v>
      </c>
      <c r="H887" s="37">
        <f ca="1">IF(AND(B887="",NOT(A887="")),VLOOKUP(A887,TaskPlan!A:M,13,FALSE),"")</f>
        <v>40283</v>
      </c>
      <c r="I887" s="38" t="str">
        <f ca="1">IF(AND(B887="",NOT(A887="")),VLOOKUP(A887,TaskPlan!A:M,12,FALSE),"")</f>
        <v>Closed</v>
      </c>
      <c r="J887" s="39" t="str">
        <f ca="1">IF(AND(B887="",NOT(A887="")),VLOOKUP(A887,TaskPlan!A:L,2,FALSE),"")</f>
        <v>Sachin</v>
      </c>
      <c r="K887" s="39" t="str">
        <f ca="1">IF(AND(B887="",NOT(A887="")),IF(NOT(LEFT(VLOOKUP(A887,TaskPlan!A:L,3,FALSE),1) = "0"),VLOOKUP(A887,TaskPlan!A:L,3,FALSE),""),"")</f>
        <v/>
      </c>
      <c r="L887" s="55" t="str">
        <f ca="1">IF(AND(B887="",NOT(A887="")),IF(NOT(LEFT(VLOOKUP(A887,TaskPlan!A:L,3,FALSE),1) = "0"),VLOOKUP(A887,TaskPlan!A:M,4,FALSE),""),"")</f>
        <v/>
      </c>
      <c r="M887" s="58" t="str">
        <f ca="1">IF(B887=".",1,IF(AND(B887="",NOT(A887="")),IF(VLOOKUP(A887,TaskPlan!A:L,5,FALSE)&gt;0,VLOOKUP(A887,TaskPlan!A:L,5,FALSE),""),""))</f>
        <v/>
      </c>
      <c r="N887" s="1" t="str">
        <f ca="1">IF(ISNA(VLOOKUP(A887,Projects!B:B,1,FALSE)),"","Yes")</f>
        <v/>
      </c>
    </row>
    <row r="888" spans="1:14" hidden="1" outlineLevel="1">
      <c r="A888" s="43" t="s">
        <v>970</v>
      </c>
      <c r="C888" s="44" t="s">
        <v>973</v>
      </c>
      <c r="D888" s="7" t="s">
        <v>11</v>
      </c>
      <c r="E888" s="26">
        <v>40245</v>
      </c>
      <c r="F888" s="25">
        <v>4</v>
      </c>
      <c r="H888" s="37">
        <f ca="1">IF(AND(B888="",NOT(A888="")),VLOOKUP(A888,TaskPlan!A:M,13,FALSE),"")</f>
        <v>40283</v>
      </c>
      <c r="I888" s="38" t="str">
        <f ca="1">IF(AND(B888="",NOT(A888="")),VLOOKUP(A888,TaskPlan!A:M,12,FALSE),"")</f>
        <v>Closed</v>
      </c>
      <c r="J888" s="39" t="str">
        <f ca="1">IF(AND(B888="",NOT(A888="")),VLOOKUP(A888,TaskPlan!A:L,2,FALSE),"")</f>
        <v>Sachin</v>
      </c>
      <c r="K888" s="39" t="str">
        <f ca="1">IF(AND(B888="",NOT(A888="")),IF(NOT(LEFT(VLOOKUP(A888,TaskPlan!A:L,3,FALSE),1) = "0"),VLOOKUP(A888,TaskPlan!A:L,3,FALSE),""),"")</f>
        <v/>
      </c>
      <c r="L888" s="55" t="str">
        <f ca="1">IF(AND(B888="",NOT(A888="")),IF(NOT(LEFT(VLOOKUP(A888,TaskPlan!A:L,3,FALSE),1) = "0"),VLOOKUP(A888,TaskPlan!A:M,4,FALSE),""),"")</f>
        <v/>
      </c>
      <c r="M888" s="58" t="str">
        <f ca="1">IF(B888=".",1,IF(AND(B888="",NOT(A888="")),IF(VLOOKUP(A888,TaskPlan!A:L,5,FALSE)&gt;0,VLOOKUP(A888,TaskPlan!A:L,5,FALSE),""),""))</f>
        <v/>
      </c>
      <c r="N888" s="1" t="str">
        <f ca="1">IF(ISNA(VLOOKUP(A888,Projects!B:B,1,FALSE)),"","Yes")</f>
        <v/>
      </c>
    </row>
    <row r="889" spans="1:14" hidden="1" outlineLevel="1">
      <c r="A889" s="43" t="s">
        <v>972</v>
      </c>
      <c r="C889" s="44" t="s">
        <v>974</v>
      </c>
      <c r="D889" s="7" t="s">
        <v>11</v>
      </c>
      <c r="E889" s="26">
        <v>40245</v>
      </c>
      <c r="F889" s="25">
        <v>5</v>
      </c>
      <c r="G889" s="28" t="s">
        <v>1099</v>
      </c>
      <c r="H889" s="37">
        <f ca="1">IF(AND(B889="",NOT(A889="")),VLOOKUP(A889,TaskPlan!A:M,13,FALSE),"")</f>
        <v>40303</v>
      </c>
      <c r="I889" s="38" t="str">
        <f ca="1">IF(AND(B889="",NOT(A889="")),VLOOKUP(A889,TaskPlan!A:M,12,FALSE),"")</f>
        <v>Closed</v>
      </c>
      <c r="J889" s="39" t="str">
        <f ca="1">IF(AND(B889="",NOT(A889="")),VLOOKUP(A889,TaskPlan!A:L,2,FALSE),"")</f>
        <v>Sachin</v>
      </c>
      <c r="K889" s="39" t="str">
        <f ca="1">IF(AND(B889="",NOT(A889="")),IF(NOT(LEFT(VLOOKUP(A889,TaskPlan!A:L,3,FALSE),1) = "0"),VLOOKUP(A889,TaskPlan!A:L,3,FALSE),""),"")</f>
        <v/>
      </c>
      <c r="L889" s="55" t="str">
        <f ca="1">IF(AND(B889="",NOT(A889="")),IF(NOT(LEFT(VLOOKUP(A889,TaskPlan!A:L,3,FALSE),1) = "0"),VLOOKUP(A889,TaskPlan!A:M,4,FALSE),""),"")</f>
        <v/>
      </c>
      <c r="M889" s="58" t="str">
        <f ca="1">IF(B889=".",1,IF(AND(B889="",NOT(A889="")),IF(VLOOKUP(A889,TaskPlan!A:L,5,FALSE)&gt;0,VLOOKUP(A889,TaskPlan!A:L,5,FALSE),""),""))</f>
        <v/>
      </c>
      <c r="N889" s="1" t="str">
        <f ca="1">IF(ISNA(VLOOKUP(A889,Projects!B:B,1,FALSE)),"","Yes")</f>
        <v/>
      </c>
    </row>
    <row r="890" spans="1:14" hidden="1" outlineLevel="1">
      <c r="A890" s="43" t="s">
        <v>975</v>
      </c>
      <c r="C890" s="44" t="s">
        <v>977</v>
      </c>
      <c r="D890" s="7" t="s">
        <v>11</v>
      </c>
      <c r="E890" s="26">
        <v>40245</v>
      </c>
      <c r="F890" s="25">
        <v>1</v>
      </c>
      <c r="G890" s="28" t="s">
        <v>1099</v>
      </c>
      <c r="H890" s="37">
        <f ca="1">IF(AND(B890="",NOT(A890="")),VLOOKUP(A890,TaskPlan!A:M,13,FALSE),"")</f>
        <v>40303</v>
      </c>
      <c r="I890" s="38" t="str">
        <f ca="1">IF(AND(B890="",NOT(A890="")),VLOOKUP(A890,TaskPlan!A:M,12,FALSE),"")</f>
        <v>Closed</v>
      </c>
      <c r="J890" s="39" t="str">
        <f ca="1">IF(AND(B890="",NOT(A890="")),VLOOKUP(A890,TaskPlan!A:L,2,FALSE),"")</f>
        <v>Sachin</v>
      </c>
      <c r="K890" s="39" t="str">
        <f ca="1">IF(AND(B890="",NOT(A890="")),IF(NOT(LEFT(VLOOKUP(A890,TaskPlan!A:L,3,FALSE),1) = "0"),VLOOKUP(A890,TaskPlan!A:L,3,FALSE),""),"")</f>
        <v/>
      </c>
      <c r="L890" s="55" t="str">
        <f ca="1">IF(AND(B890="",NOT(A890="")),IF(NOT(LEFT(VLOOKUP(A890,TaskPlan!A:L,3,FALSE),1) = "0"),VLOOKUP(A890,TaskPlan!A:M,4,FALSE),""),"")</f>
        <v/>
      </c>
      <c r="M890" s="58" t="str">
        <f ca="1">IF(B890=".",1,IF(AND(B890="",NOT(A890="")),IF(VLOOKUP(A890,TaskPlan!A:L,5,FALSE)&gt;0,VLOOKUP(A890,TaskPlan!A:L,5,FALSE),""),""))</f>
        <v/>
      </c>
      <c r="N890" s="1" t="str">
        <f ca="1">IF(ISNA(VLOOKUP(A890,Projects!B:B,1,FALSE)),"","Yes")</f>
        <v/>
      </c>
    </row>
    <row r="891" spans="1:14" hidden="1" outlineLevel="1">
      <c r="A891" s="43" t="s">
        <v>976</v>
      </c>
      <c r="C891" s="44" t="s">
        <v>978</v>
      </c>
      <c r="D891" s="7" t="s">
        <v>11</v>
      </c>
      <c r="E891" s="26">
        <v>40281</v>
      </c>
      <c r="F891" s="25">
        <v>10</v>
      </c>
      <c r="G891" s="28" t="s">
        <v>1099</v>
      </c>
      <c r="H891" s="37">
        <f ca="1">IF(AND(B891="",NOT(A891="")),VLOOKUP(A891,TaskPlan!A:M,13,FALSE),"")</f>
        <v>40304</v>
      </c>
      <c r="I891" s="38" t="str">
        <f ca="1">IF(AND(B891="",NOT(A891="")),VLOOKUP(A891,TaskPlan!A:M,12,FALSE),"")</f>
        <v>Closed</v>
      </c>
      <c r="J891" s="39" t="str">
        <f ca="1">IF(AND(B891="",NOT(A891="")),VLOOKUP(A891,TaskPlan!A:L,2,FALSE),"")</f>
        <v>Sachin</v>
      </c>
      <c r="K891" s="39" t="str">
        <f ca="1">IF(AND(B891="",NOT(A891="")),IF(NOT(LEFT(VLOOKUP(A891,TaskPlan!A:L,3,FALSE),1) = "0"),VLOOKUP(A891,TaskPlan!A:L,3,FALSE),""),"")</f>
        <v/>
      </c>
      <c r="L891" s="55" t="str">
        <f ca="1">IF(AND(B891="",NOT(A891="")),IF(NOT(LEFT(VLOOKUP(A891,TaskPlan!A:L,3,FALSE),1) = "0"),VLOOKUP(A891,TaskPlan!A:M,4,FALSE),""),"")</f>
        <v/>
      </c>
      <c r="M891" s="58" t="str">
        <f ca="1">IF(B891=".",1,IF(AND(B891="",NOT(A891="")),IF(VLOOKUP(A891,TaskPlan!A:L,5,FALSE)&gt;0,VLOOKUP(A891,TaskPlan!A:L,5,FALSE),""),""))</f>
        <v/>
      </c>
      <c r="N891" s="1" t="str">
        <f ca="1">IF(ISNA(VLOOKUP(A891,Projects!B:B,1,FALSE)),"","Yes")</f>
        <v/>
      </c>
    </row>
    <row r="892" spans="1:14" hidden="1" outlineLevel="1">
      <c r="A892" s="43" t="s">
        <v>1053</v>
      </c>
      <c r="C892" s="44" t="s">
        <v>1054</v>
      </c>
      <c r="D892" s="7" t="s">
        <v>11</v>
      </c>
      <c r="E892" s="26">
        <v>40281</v>
      </c>
      <c r="F892" s="25">
        <v>1</v>
      </c>
      <c r="G892" s="28" t="s">
        <v>1099</v>
      </c>
      <c r="H892" s="37">
        <f ca="1">IF(AND(B892="",NOT(A892="")),VLOOKUP(A892,TaskPlan!A:M,13,FALSE),"")</f>
        <v>40303</v>
      </c>
      <c r="I892" s="38" t="str">
        <f ca="1">IF(AND(B892="",NOT(A892="")),VLOOKUP(A892,TaskPlan!A:M,12,FALSE),"")</f>
        <v>Closed</v>
      </c>
      <c r="J892" s="39" t="str">
        <f ca="1">IF(AND(B892="",NOT(A892="")),VLOOKUP(A892,TaskPlan!A:L,2,FALSE),"")</f>
        <v>Sachin</v>
      </c>
      <c r="K892" s="39" t="str">
        <f ca="1">IF(AND(B892="",NOT(A892="")),IF(NOT(LEFT(VLOOKUP(A892,TaskPlan!A:L,3,FALSE),1) = "0"),VLOOKUP(A892,TaskPlan!A:L,3,FALSE),""),"")</f>
        <v/>
      </c>
      <c r="L892" s="55" t="str">
        <f ca="1">IF(AND(B892="",NOT(A892="")),IF(NOT(LEFT(VLOOKUP(A892,TaskPlan!A:L,3,FALSE),1) = "0"),VLOOKUP(A892,TaskPlan!A:M,4,FALSE),""),"")</f>
        <v/>
      </c>
      <c r="M892" s="58" t="str">
        <f ca="1">IF(B892=".",1,IF(AND(B892="",NOT(A892="")),IF(VLOOKUP(A892,TaskPlan!A:L,5,FALSE)&gt;0,VLOOKUP(A892,TaskPlan!A:L,5,FALSE),""),""))</f>
        <v/>
      </c>
      <c r="N892" s="1" t="str">
        <f ca="1">IF(ISNA(VLOOKUP(A892,Projects!B:B,1,FALSE)),"","Yes")</f>
        <v/>
      </c>
    </row>
    <row r="893" spans="1:14" hidden="1" outlineLevel="1">
      <c r="A893" s="43" t="s">
        <v>1138</v>
      </c>
      <c r="C893" s="44" t="s">
        <v>1139</v>
      </c>
      <c r="D893" s="7" t="s">
        <v>11</v>
      </c>
      <c r="E893" s="26">
        <v>40304</v>
      </c>
      <c r="F893" s="25">
        <v>1</v>
      </c>
      <c r="G893" s="28" t="s">
        <v>1099</v>
      </c>
      <c r="H893" s="37">
        <f ca="1">IF(AND(B893="",NOT(A893="")),VLOOKUP(A893,TaskPlan!A:M,13,FALSE),"")</f>
        <v>40353</v>
      </c>
      <c r="I893" s="38" t="str">
        <f ca="1">IF(AND(B893="",NOT(A893="")),VLOOKUP(A893,TaskPlan!A:M,12,FALSE),"")</f>
        <v>Closed</v>
      </c>
      <c r="J893" s="39" t="str">
        <f ca="1">IF(AND(B893="",NOT(A893="")),VLOOKUP(A893,TaskPlan!A:L,2,FALSE),"")</f>
        <v>Sachin</v>
      </c>
      <c r="K893" s="39" t="str">
        <f ca="1">IF(AND(B893="",NOT(A893="")),IF(NOT(LEFT(VLOOKUP(A893,TaskPlan!A:L,3,FALSE),1) = "0"),VLOOKUP(A893,TaskPlan!A:L,3,FALSE),""),"")</f>
        <v/>
      </c>
      <c r="L893" s="55" t="str">
        <f ca="1">IF(AND(B893="",NOT(A893="")),IF(NOT(LEFT(VLOOKUP(A893,TaskPlan!A:L,3,FALSE),1) = "0"),VLOOKUP(A893,TaskPlan!A:M,4,FALSE),""),"")</f>
        <v/>
      </c>
      <c r="M893" s="58" t="str">
        <f ca="1">IF(B893=".",1,IF(AND(B893="",NOT(A893="")),IF(VLOOKUP(A893,TaskPlan!A:L,5,FALSE)&gt;0,VLOOKUP(A893,TaskPlan!A:L,5,FALSE),""),""))</f>
        <v/>
      </c>
      <c r="N893" s="1" t="str">
        <f ca="1">IF(ISNA(VLOOKUP(A893,Projects!B:B,1,FALSE)),"","Yes")</f>
        <v/>
      </c>
    </row>
    <row r="894" spans="1:14" hidden="1" outlineLevel="1">
      <c r="A894" s="43" t="s">
        <v>1872</v>
      </c>
      <c r="B894" s="1" t="s">
        <v>15</v>
      </c>
      <c r="C894" s="45" t="s">
        <v>1873</v>
      </c>
      <c r="D894" s="7"/>
      <c r="E894" s="26"/>
      <c r="G894" s="28"/>
      <c r="L894" s="55"/>
    </row>
    <row r="895" spans="1:14" hidden="1" outlineLevel="1">
      <c r="A895" s="43" t="s">
        <v>1874</v>
      </c>
      <c r="C895" s="44" t="s">
        <v>1875</v>
      </c>
      <c r="D895" s="7" t="s">
        <v>11</v>
      </c>
      <c r="E895" s="26">
        <v>40563</v>
      </c>
      <c r="F895" s="25">
        <v>2</v>
      </c>
      <c r="G895" s="28" t="s">
        <v>1099</v>
      </c>
      <c r="H895" s="37">
        <f ca="1">IF(AND(B895="",NOT(A895="")),VLOOKUP(A895,TaskPlan!A:M,13,FALSE),"")</f>
        <v>40590</v>
      </c>
      <c r="I895" s="38" t="str">
        <f ca="1">IF(AND(B895="",NOT(A895="")),VLOOKUP(A895,TaskPlan!A:M,12,FALSE),"")</f>
        <v>Closed</v>
      </c>
      <c r="J895" s="39" t="str">
        <f ca="1">IF(AND(B895="",NOT(A895="")),VLOOKUP(A895,TaskPlan!A:L,2,FALSE),"")</f>
        <v>Sachin</v>
      </c>
      <c r="K895" s="39" t="str">
        <f ca="1">IF(AND(B895="",NOT(A895="")),IF(NOT(LEFT(VLOOKUP(A895,TaskPlan!A:L,3,FALSE),1) = "0"),VLOOKUP(A895,TaskPlan!A:L,3,FALSE),""),"")</f>
        <v/>
      </c>
      <c r="L895" s="55" t="str">
        <f ca="1">IF(AND(B895="",NOT(A895="")),IF(NOT(LEFT(VLOOKUP(A895,TaskPlan!A:L,3,FALSE),1) = "0"),VLOOKUP(A895,TaskPlan!A:M,4,FALSE),""),"")</f>
        <v/>
      </c>
      <c r="M895" s="58">
        <f ca="1">IF(B895=".",1,IF(AND(B895="",NOT(A895="")),IF(VLOOKUP(A895,TaskPlan!A:L,5,FALSE)&gt;0,VLOOKUP(A895,TaskPlan!A:L,5,FALSE),""),""))</f>
        <v>1</v>
      </c>
      <c r="N895" s="1" t="str">
        <f ca="1">IF(ISNA(VLOOKUP(A895,Projects!B:B,1,FALSE)),"","Yes")</f>
        <v/>
      </c>
    </row>
    <row r="896" spans="1:14" ht="25.5" hidden="1" outlineLevel="1">
      <c r="A896" s="43" t="s">
        <v>1943</v>
      </c>
      <c r="C896" s="44" t="s">
        <v>1944</v>
      </c>
      <c r="D896" s="7" t="s">
        <v>11</v>
      </c>
      <c r="E896" s="26">
        <v>40590</v>
      </c>
      <c r="F896" s="25">
        <v>5</v>
      </c>
      <c r="G896" s="28" t="s">
        <v>1098</v>
      </c>
      <c r="H896" s="37">
        <f ca="1">IF(AND(B896="",NOT(A896="")),VLOOKUP(A896,TaskPlan!A:M,13,FALSE),"")</f>
        <v>40590</v>
      </c>
      <c r="I896" s="38" t="str">
        <f ca="1">IF(AND(B896="",NOT(A896="")),VLOOKUP(A896,TaskPlan!A:M,12,FALSE),"")</f>
        <v>Not Started</v>
      </c>
      <c r="J896" s="39" t="str">
        <f ca="1">IF(AND(B896="",NOT(A896="")),VLOOKUP(A896,TaskPlan!A:L,2,FALSE),"")</f>
        <v>Sachin</v>
      </c>
      <c r="K896" s="39" t="str">
        <f ca="1">IF(AND(B896="",NOT(A896="")),IF(NOT(LEFT(VLOOKUP(A896,TaskPlan!A:L,3,FALSE),1) = "0"),VLOOKUP(A896,TaskPlan!A:L,3,FALSE),""),"")</f>
        <v>4-HIGH</v>
      </c>
      <c r="L896" s="55">
        <f ca="1">IF(AND(B896="",NOT(A896="")),IF(NOT(LEFT(VLOOKUP(A896,TaskPlan!A:L,3,FALSE),1) = "0"),VLOOKUP(A896,TaskPlan!A:M,4,FALSE),""),"")</f>
        <v>0</v>
      </c>
      <c r="M896" s="58" t="str">
        <f ca="1">IF(B896=".",1,IF(AND(B896="",NOT(A896="")),IF(VLOOKUP(A896,TaskPlan!A:L,5,FALSE)&gt;0,VLOOKUP(A896,TaskPlan!A:L,5,FALSE),""),""))</f>
        <v/>
      </c>
      <c r="N896" s="1" t="str">
        <f ca="1">IF(ISNA(VLOOKUP(A896,Projects!B:B,1,FALSE)),"","Yes")</f>
        <v/>
      </c>
    </row>
    <row r="897" spans="1:16" collapsed="1">
      <c r="A897" s="43"/>
      <c r="C897" s="44"/>
      <c r="D897" s="7"/>
      <c r="E897" s="26"/>
      <c r="H897" s="37" t="str">
        <f ca="1">IF(AND(B897="",NOT(A897="")),VLOOKUP(A897,TaskPlan!A:M,13,FALSE),"")</f>
        <v/>
      </c>
      <c r="I897" s="38" t="str">
        <f ca="1">IF(AND(B897="",NOT(A897="")),VLOOKUP(A897,TaskPlan!A:M,12,FALSE),"")</f>
        <v/>
      </c>
      <c r="L897" s="55" t="str">
        <f ca="1">IF(AND(B897="",NOT(A897="")),IF(NOT(LEFT(VLOOKUP(A897,TaskPlan!A:L,3,FALSE),1) = "0"),VLOOKUP(A897,TaskPlan!A:M,4,FALSE),""),"")</f>
        <v/>
      </c>
      <c r="M897" s="58" t="str">
        <f ca="1">IF(B897=".",1,IF(AND(B897="",NOT(A897="")),IF(VLOOKUP(A897,TaskPlan!A:L,5,FALSE)&gt;0,VLOOKUP(A897,TaskPlan!A:L,5,FALSE),""),""))</f>
        <v/>
      </c>
      <c r="N897" s="1" t="str">
        <f ca="1">IF(ISNA(VLOOKUP(A897,Projects!B:B,1,FALSE)),"","Yes")</f>
        <v/>
      </c>
    </row>
    <row r="898" spans="1:16" ht="15.75">
      <c r="A898" s="46" t="s">
        <v>983</v>
      </c>
      <c r="B898" s="1" t="s">
        <v>15</v>
      </c>
      <c r="C898" s="36" t="s">
        <v>984</v>
      </c>
      <c r="E898" s="26"/>
      <c r="H898" s="37" t="str">
        <f ca="1">IF(AND(B898="",NOT(A898="")),VLOOKUP(A898,TaskPlan!A:M,13,FALSE),"")</f>
        <v/>
      </c>
      <c r="I898" s="38" t="str">
        <f ca="1">IF(AND(B898="",NOT(A898="")),VLOOKUP(A898,TaskPlan!A:M,12,FALSE),"")</f>
        <v/>
      </c>
      <c r="L898" s="55" t="str">
        <f ca="1">IF(AND(B898="",NOT(A898="")),IF(NOT(LEFT(VLOOKUP(A898,TaskPlan!A:L,3,FALSE),1) = "0"),VLOOKUP(A898,TaskPlan!A:M,4,FALSE),""),"")</f>
        <v/>
      </c>
      <c r="M898" s="58">
        <f ca="1">IF(B898=".",1,IF(AND(B898="",NOT(A898="")),IF(VLOOKUP(A898,TaskPlan!A:L,5,FALSE)&gt;0,VLOOKUP(A898,TaskPlan!A:L,5,FALSE),""),""))</f>
        <v>1</v>
      </c>
      <c r="N898" s="1" t="str">
        <f ca="1">IF(ISNA(VLOOKUP(A898,Projects!B:B,1,FALSE)),"","Yes")</f>
        <v/>
      </c>
    </row>
    <row r="899" spans="1:16" hidden="1" outlineLevel="1">
      <c r="A899" s="46" t="s">
        <v>985</v>
      </c>
      <c r="B899" s="1" t="s">
        <v>15</v>
      </c>
      <c r="C899" s="45" t="s">
        <v>986</v>
      </c>
      <c r="E899" s="26"/>
      <c r="H899" s="37" t="str">
        <f ca="1">IF(AND(B899="",NOT(A899="")),VLOOKUP(A899,TaskPlan!A:M,13,FALSE),"")</f>
        <v/>
      </c>
      <c r="I899" s="38" t="str">
        <f ca="1">IF(AND(B899="",NOT(A899="")),VLOOKUP(A899,TaskPlan!A:M,12,FALSE),"")</f>
        <v/>
      </c>
      <c r="L899" s="55" t="str">
        <f ca="1">IF(AND(B899="",NOT(A899="")),IF(NOT(LEFT(VLOOKUP(A899,TaskPlan!A:L,3,FALSE),1) = "0"),VLOOKUP(A899,TaskPlan!A:M,4,FALSE),""),"")</f>
        <v/>
      </c>
      <c r="M899" s="58">
        <f ca="1">IF(B899=".",1,IF(AND(B899="",NOT(A899="")),IF(VLOOKUP(A899,TaskPlan!A:L,5,FALSE)&gt;0,VLOOKUP(A899,TaskPlan!A:L,5,FALSE),""),""))</f>
        <v>1</v>
      </c>
      <c r="N899" s="1" t="str">
        <f ca="1">IF(ISNA(VLOOKUP(A899,Projects!B:B,1,FALSE)),"","Yes")</f>
        <v/>
      </c>
    </row>
    <row r="900" spans="1:16" hidden="1" outlineLevel="1">
      <c r="A900" s="46" t="s">
        <v>987</v>
      </c>
      <c r="C900" s="42" t="s">
        <v>988</v>
      </c>
      <c r="D900" s="7" t="s">
        <v>11</v>
      </c>
      <c r="E900" s="26">
        <v>40252</v>
      </c>
      <c r="F900" s="25">
        <v>2</v>
      </c>
      <c r="H900" s="37">
        <f ca="1">IF(AND(B900="",NOT(A900="")),VLOOKUP(A900,TaskPlan!A:M,13,FALSE),"")</f>
        <v>40284</v>
      </c>
      <c r="I900" s="38" t="str">
        <f ca="1">IF(AND(B900="",NOT(A900="")),VLOOKUP(A900,TaskPlan!A:M,12,FALSE),"")</f>
        <v>Closed</v>
      </c>
      <c r="J900" s="39" t="str">
        <f ca="1">IF(AND(B900="",NOT(A900="")),VLOOKUP(A900,TaskPlan!A:L,2,FALSE),"")</f>
        <v>Ruth</v>
      </c>
      <c r="K900" s="39" t="str">
        <f ca="1">IF(AND(B900="",NOT(A900="")),IF(NOT(LEFT(VLOOKUP(A900,TaskPlan!A:L,3,FALSE),1) = "0"),VLOOKUP(A900,TaskPlan!A:L,3,FALSE),""),"")</f>
        <v/>
      </c>
      <c r="L900" s="55" t="str">
        <f ca="1">IF(AND(B900="",NOT(A900="")),IF(NOT(LEFT(VLOOKUP(A900,TaskPlan!A:L,3,FALSE),1) = "0"),VLOOKUP(A900,TaskPlan!A:M,4,FALSE),""),"")</f>
        <v/>
      </c>
      <c r="M900" s="58" t="str">
        <f ca="1">IF(B900=".",1,IF(AND(B900="",NOT(A900="")),IF(VLOOKUP(A900,TaskPlan!A:L,5,FALSE)&gt;0,VLOOKUP(A900,TaskPlan!A:L,5,FALSE),""),""))</f>
        <v/>
      </c>
      <c r="N900" s="1" t="str">
        <f ca="1">IF(ISNA(VLOOKUP(A900,Projects!B:B,1,FALSE)),"","Yes")</f>
        <v/>
      </c>
    </row>
    <row r="901" spans="1:16" hidden="1" outlineLevel="1">
      <c r="A901" s="43" t="s">
        <v>989</v>
      </c>
      <c r="C901" s="44" t="s">
        <v>990</v>
      </c>
      <c r="D901" s="7" t="s">
        <v>11</v>
      </c>
      <c r="E901" s="26">
        <v>40252</v>
      </c>
      <c r="F901" s="25">
        <v>4</v>
      </c>
      <c r="G901" s="28" t="s">
        <v>1099</v>
      </c>
      <c r="H901" s="37">
        <f ca="1">IF(AND(B901="",NOT(A901="")),VLOOKUP(A901,TaskPlan!A:M,13,FALSE),"")</f>
        <v>40303</v>
      </c>
      <c r="I901" s="38" t="str">
        <f ca="1">IF(AND(B901="",NOT(A901="")),VLOOKUP(A901,TaskPlan!A:M,12,FALSE),"")</f>
        <v>Closed</v>
      </c>
      <c r="J901" s="39" t="str">
        <f ca="1">IF(AND(B901="",NOT(A901="")),VLOOKUP(A901,TaskPlan!A:L,2,FALSE),"")</f>
        <v>Ruth</v>
      </c>
      <c r="K901" s="39" t="str">
        <f ca="1">IF(AND(B901="",NOT(A901="")),IF(NOT(LEFT(VLOOKUP(A901,TaskPlan!A:L,3,FALSE),1) = "0"),VLOOKUP(A901,TaskPlan!A:L,3,FALSE),""),"")</f>
        <v/>
      </c>
      <c r="L901" s="55" t="str">
        <f ca="1">IF(AND(B901="",NOT(A901="")),IF(NOT(LEFT(VLOOKUP(A901,TaskPlan!A:L,3,FALSE),1) = "0"),VLOOKUP(A901,TaskPlan!A:M,4,FALSE),""),"")</f>
        <v/>
      </c>
      <c r="M901" s="58" t="str">
        <f ca="1">IF(B901=".",1,IF(AND(B901="",NOT(A901="")),IF(VLOOKUP(A901,TaskPlan!A:L,5,FALSE)&gt;0,VLOOKUP(A901,TaskPlan!A:L,5,FALSE),""),""))</f>
        <v/>
      </c>
      <c r="N901" s="1" t="str">
        <f ca="1">IF(ISNA(VLOOKUP(A901,Projects!B:B,1,FALSE)),"","Yes")</f>
        <v/>
      </c>
    </row>
    <row r="902" spans="1:16" hidden="1" outlineLevel="1">
      <c r="A902" s="43" t="s">
        <v>991</v>
      </c>
      <c r="C902" s="44" t="s">
        <v>992</v>
      </c>
      <c r="D902" s="7" t="s">
        <v>11</v>
      </c>
      <c r="E902" s="26">
        <v>40252</v>
      </c>
      <c r="F902" s="25">
        <v>1</v>
      </c>
      <c r="G902" s="28" t="s">
        <v>1099</v>
      </c>
      <c r="H902" s="37">
        <f ca="1">IF(AND(B902="",NOT(A902="")),VLOOKUP(A902,TaskPlan!A:M,13,FALSE),"")</f>
        <v>40303</v>
      </c>
      <c r="I902" s="38" t="str">
        <f ca="1">IF(AND(B902="",NOT(A902="")),VLOOKUP(A902,TaskPlan!A:M,12,FALSE),"")</f>
        <v>Closed</v>
      </c>
      <c r="J902" s="39" t="str">
        <f ca="1">IF(AND(B902="",NOT(A902="")),VLOOKUP(A902,TaskPlan!A:L,2,FALSE),"")</f>
        <v>Ruth</v>
      </c>
      <c r="K902" s="39" t="str">
        <f ca="1">IF(AND(B902="",NOT(A902="")),IF(NOT(LEFT(VLOOKUP(A902,TaskPlan!A:L,3,FALSE),1) = "0"),VLOOKUP(A902,TaskPlan!A:L,3,FALSE),""),"")</f>
        <v/>
      </c>
      <c r="L902" s="55" t="str">
        <f ca="1">IF(AND(B902="",NOT(A902="")),IF(NOT(LEFT(VLOOKUP(A902,TaskPlan!A:L,3,FALSE),1) = "0"),VLOOKUP(A902,TaskPlan!A:M,4,FALSE),""),"")</f>
        <v/>
      </c>
      <c r="M902" s="58" t="str">
        <f ca="1">IF(B902=".",1,IF(AND(B902="",NOT(A902="")),IF(VLOOKUP(A902,TaskPlan!A:L,5,FALSE)&gt;0,VLOOKUP(A902,TaskPlan!A:L,5,FALSE),""),""))</f>
        <v/>
      </c>
      <c r="N902" s="1" t="str">
        <f ca="1">IF(ISNA(VLOOKUP(A902,Projects!B:B,1,FALSE)),"","Yes")</f>
        <v/>
      </c>
    </row>
    <row r="903" spans="1:16" hidden="1" outlineLevel="1">
      <c r="A903" s="43" t="s">
        <v>993</v>
      </c>
      <c r="C903" s="44" t="s">
        <v>994</v>
      </c>
      <c r="D903" s="7" t="s">
        <v>11</v>
      </c>
      <c r="E903" s="26">
        <v>40252</v>
      </c>
      <c r="F903" s="25">
        <v>10</v>
      </c>
      <c r="G903" s="28" t="s">
        <v>1099</v>
      </c>
      <c r="H903" s="37">
        <f ca="1">IF(AND(B903="",NOT(A903="")),VLOOKUP(A903,TaskPlan!A:M,13,FALSE),"")</f>
        <v>40303</v>
      </c>
      <c r="I903" s="38" t="str">
        <f ca="1">IF(AND(B903="",NOT(A903="")),VLOOKUP(A903,TaskPlan!A:M,12,FALSE),"")</f>
        <v>Closed</v>
      </c>
      <c r="J903" s="39" t="str">
        <f ca="1">IF(AND(B903="",NOT(A903="")),VLOOKUP(A903,TaskPlan!A:L,2,FALSE),"")</f>
        <v>Ruth</v>
      </c>
      <c r="K903" s="39" t="str">
        <f ca="1">IF(AND(B903="",NOT(A903="")),IF(NOT(LEFT(VLOOKUP(A903,TaskPlan!A:L,3,FALSE),1) = "0"),VLOOKUP(A903,TaskPlan!A:L,3,FALSE),""),"")</f>
        <v/>
      </c>
      <c r="L903" s="55" t="str">
        <f ca="1">IF(AND(B903="",NOT(A903="")),IF(NOT(LEFT(VLOOKUP(A903,TaskPlan!A:L,3,FALSE),1) = "0"),VLOOKUP(A903,TaskPlan!A:M,4,FALSE),""),"")</f>
        <v/>
      </c>
      <c r="M903" s="58" t="str">
        <f ca="1">IF(B903=".",1,IF(AND(B903="",NOT(A903="")),IF(VLOOKUP(A903,TaskPlan!A:L,5,FALSE)&gt;0,VLOOKUP(A903,TaskPlan!A:L,5,FALSE),""),""))</f>
        <v/>
      </c>
      <c r="N903" s="1" t="str">
        <f ca="1">IF(ISNA(VLOOKUP(A903,Projects!B:B,1,FALSE)),"","Yes")</f>
        <v/>
      </c>
    </row>
    <row r="904" spans="1:16" hidden="1" outlineLevel="1">
      <c r="A904" s="43" t="s">
        <v>997</v>
      </c>
      <c r="C904" s="44" t="s">
        <v>995</v>
      </c>
      <c r="D904" s="7" t="s">
        <v>11</v>
      </c>
      <c r="E904" s="26">
        <v>40252</v>
      </c>
      <c r="F904" s="25">
        <v>2</v>
      </c>
      <c r="G904" s="28" t="s">
        <v>1099</v>
      </c>
      <c r="H904" s="37">
        <f ca="1">IF(AND(B904="",NOT(A904="")),VLOOKUP(A904,TaskPlan!A:M,13,FALSE),"")</f>
        <v>40336</v>
      </c>
      <c r="I904" s="38" t="str">
        <f ca="1">IF(AND(B904="",NOT(A904="")),VLOOKUP(A904,TaskPlan!A:M,12,FALSE),"")</f>
        <v>Closed</v>
      </c>
      <c r="J904" s="39" t="str">
        <f ca="1">IF(AND(B904="",NOT(A904="")),VLOOKUP(A904,TaskPlan!A:L,2,FALSE),"")</f>
        <v>Ruth</v>
      </c>
      <c r="K904" s="39" t="str">
        <f ca="1">IF(AND(B904="",NOT(A904="")),IF(NOT(LEFT(VLOOKUP(A904,TaskPlan!A:L,3,FALSE),1) = "0"),VLOOKUP(A904,TaskPlan!A:L,3,FALSE),""),"")</f>
        <v/>
      </c>
      <c r="L904" s="55" t="str">
        <f ca="1">IF(AND(B904="",NOT(A904="")),IF(NOT(LEFT(VLOOKUP(A904,TaskPlan!A:L,3,FALSE),1) = "0"),VLOOKUP(A904,TaskPlan!A:M,4,FALSE),""),"")</f>
        <v/>
      </c>
      <c r="M904" s="58" t="str">
        <f ca="1">IF(B904=".",1,IF(AND(B904="",NOT(A904="")),IF(VLOOKUP(A904,TaskPlan!A:L,5,FALSE)&gt;0,VLOOKUP(A904,TaskPlan!A:L,5,FALSE),""),""))</f>
        <v/>
      </c>
      <c r="N904" s="1" t="str">
        <f ca="1">IF(ISNA(VLOOKUP(A904,Projects!B:B,1,FALSE)),"","Yes")</f>
        <v/>
      </c>
      <c r="O904" s="53"/>
      <c r="P904" s="54"/>
    </row>
    <row r="905" spans="1:16" hidden="1" outlineLevel="1">
      <c r="A905" s="43" t="s">
        <v>998</v>
      </c>
      <c r="C905" s="44" t="s">
        <v>996</v>
      </c>
      <c r="D905" s="7" t="s">
        <v>11</v>
      </c>
      <c r="E905" s="26">
        <v>40252</v>
      </c>
      <c r="F905" s="25">
        <v>5</v>
      </c>
      <c r="G905" s="28" t="s">
        <v>1099</v>
      </c>
      <c r="H905" s="37">
        <f ca="1">IF(AND(B905="",NOT(A905="")),VLOOKUP(A905,TaskPlan!A:M,13,FALSE),"")</f>
        <v>40350</v>
      </c>
      <c r="I905" s="38" t="str">
        <f ca="1">IF(AND(B905="",NOT(A905="")),VLOOKUP(A905,TaskPlan!A:M,12,FALSE),"")</f>
        <v>Closed</v>
      </c>
      <c r="J905" s="39" t="str">
        <f ca="1">IF(AND(B905="",NOT(A905="")),VLOOKUP(A905,TaskPlan!A:L,2,FALSE),"")</f>
        <v>Ruth</v>
      </c>
      <c r="K905" s="39" t="str">
        <f ca="1">IF(AND(B905="",NOT(A905="")),IF(NOT(LEFT(VLOOKUP(A905,TaskPlan!A:L,3,FALSE),1) = "0"),VLOOKUP(A905,TaskPlan!A:L,3,FALSE),""),"")</f>
        <v/>
      </c>
      <c r="L905" s="55" t="str">
        <f ca="1">IF(AND(B905="",NOT(A905="")),IF(NOT(LEFT(VLOOKUP(A905,TaskPlan!A:L,3,FALSE),1) = "0"),VLOOKUP(A905,TaskPlan!A:M,4,FALSE),""),"")</f>
        <v/>
      </c>
      <c r="M905" s="58" t="str">
        <f ca="1">IF(B905=".",1,IF(AND(B905="",NOT(A905="")),IF(VLOOKUP(A905,TaskPlan!A:L,5,FALSE)&gt;0,VLOOKUP(A905,TaskPlan!A:L,5,FALSE),""),""))</f>
        <v/>
      </c>
      <c r="N905" s="1" t="str">
        <f ca="1">IF(ISNA(VLOOKUP(A905,Projects!B:B,1,FALSE)),"","Yes")</f>
        <v/>
      </c>
    </row>
    <row r="906" spans="1:16" hidden="1" outlineLevel="1">
      <c r="A906" s="43" t="s">
        <v>1365</v>
      </c>
      <c r="C906" s="44" t="s">
        <v>1366</v>
      </c>
      <c r="D906" s="7" t="s">
        <v>29</v>
      </c>
      <c r="E906" s="26">
        <v>40387</v>
      </c>
      <c r="F906" s="25">
        <v>1</v>
      </c>
      <c r="G906" s="28" t="s">
        <v>1098</v>
      </c>
      <c r="H906" s="37">
        <f ca="1">IF(AND(B906="",NOT(A906="")),VLOOKUP(A906,TaskPlan!A:M,13,FALSE),"")</f>
        <v>40387</v>
      </c>
      <c r="I906" s="38" t="str">
        <f ca="1">IF(AND(B906="",NOT(A906="")),VLOOKUP(A906,TaskPlan!A:M,12,FALSE),"")</f>
        <v>Not Started</v>
      </c>
      <c r="J906" s="39" t="str">
        <f ca="1">IF(AND(B906="",NOT(A906="")),VLOOKUP(A906,TaskPlan!A:L,2,FALSE),"")</f>
        <v>Unassigned</v>
      </c>
      <c r="K906" s="39" t="str">
        <f ca="1">IF(AND(B906="",NOT(A906="")),IF(NOT(LEFT(VLOOKUP(A906,TaskPlan!A:L,3,FALSE),1) = "0"),VLOOKUP(A906,TaskPlan!A:L,3,FALSE),""),"")</f>
        <v>2-LOW</v>
      </c>
      <c r="L906" s="55">
        <f ca="1">IF(AND(B906="",NOT(A906="")),IF(NOT(LEFT(VLOOKUP(A906,TaskPlan!A:L,3,FALSE),1) = "0"),VLOOKUP(A906,TaskPlan!A:M,4,FALSE),""),"")</f>
        <v>0</v>
      </c>
      <c r="M906" s="58" t="str">
        <f ca="1">IF(B906=".",1,IF(AND(B906="",NOT(A906="")),IF(VLOOKUP(A906,TaskPlan!A:L,5,FALSE)&gt;0,VLOOKUP(A906,TaskPlan!A:L,5,FALSE),""),""))</f>
        <v/>
      </c>
    </row>
    <row r="907" spans="1:16" hidden="1" outlineLevel="1">
      <c r="A907" s="43" t="s">
        <v>1913</v>
      </c>
      <c r="B907" s="7" t="s">
        <v>15</v>
      </c>
      <c r="C907" s="45" t="s">
        <v>1916</v>
      </c>
      <c r="D907" s="7"/>
      <c r="E907" s="26"/>
      <c r="G907" s="28"/>
      <c r="H907" s="37" t="str">
        <f ca="1">IF(AND(B907="",NOT(A907="")),VLOOKUP(A907,TaskPlan!A:M,13,FALSE),"")</f>
        <v/>
      </c>
      <c r="I907" s="38" t="str">
        <f ca="1">IF(AND(B907="",NOT(A907="")),VLOOKUP(A907,TaskPlan!A:M,12,FALSE),"")</f>
        <v/>
      </c>
      <c r="J907" s="39" t="str">
        <f ca="1">IF(AND(B907="",NOT(A907="")),VLOOKUP(A907,TaskPlan!A:L,2,FALSE),"")</f>
        <v/>
      </c>
      <c r="K907" s="39" t="str">
        <f ca="1">IF(AND(B907="",NOT(A907="")),IF(NOT(LEFT(VLOOKUP(A907,TaskPlan!A:L,3,FALSE),1) = "0"),VLOOKUP(A907,TaskPlan!A:L,3,FALSE),""),"")</f>
        <v/>
      </c>
      <c r="L907" s="55" t="str">
        <f ca="1">IF(AND(B907="",NOT(A907="")),IF(NOT(LEFT(VLOOKUP(A907,TaskPlan!A:L,3,FALSE),1) = "0"),VLOOKUP(A907,TaskPlan!A:M,4,FALSE),""),"")</f>
        <v/>
      </c>
      <c r="M907" s="58">
        <f ca="1">IF(B907=".",1,IF(AND(B907="",NOT(A907="")),IF(VLOOKUP(A907,TaskPlan!A:L,5,FALSE)&gt;0,VLOOKUP(A907,TaskPlan!A:L,5,FALSE),""),""))</f>
        <v>1</v>
      </c>
    </row>
    <row r="908" spans="1:16" hidden="1" outlineLevel="1">
      <c r="A908" s="43" t="s">
        <v>1915</v>
      </c>
      <c r="B908" s="7"/>
      <c r="C908" s="44" t="s">
        <v>1914</v>
      </c>
      <c r="D908" s="7" t="s">
        <v>11</v>
      </c>
      <c r="E908" s="26">
        <v>40589</v>
      </c>
      <c r="F908" s="25">
        <v>3</v>
      </c>
      <c r="G908" s="28" t="s">
        <v>1099</v>
      </c>
      <c r="H908" s="37">
        <f ca="1">IF(AND(B908="",NOT(A908="")),VLOOKUP(A908,TaskPlan!A:M,13,FALSE),"")</f>
        <v>40589</v>
      </c>
      <c r="I908" s="38" t="str">
        <f ca="1">IF(AND(B908="",NOT(A908="")),VLOOKUP(A908,TaskPlan!A:M,12,FALSE),"")</f>
        <v>Not Started</v>
      </c>
      <c r="J908" s="39" t="str">
        <f ca="1">IF(AND(B908="",NOT(A908="")),VLOOKUP(A908,TaskPlan!A:L,2,FALSE),"")</f>
        <v>Neil</v>
      </c>
      <c r="K908" s="39" t="str">
        <f ca="1">IF(AND(B908="",NOT(A908="")),IF(NOT(LEFT(VLOOKUP(A908,TaskPlan!A:L,3,FALSE),1) = "0"),VLOOKUP(A908,TaskPlan!A:L,3,FALSE),""),"")</f>
        <v>4-HIGH</v>
      </c>
      <c r="L908" s="55">
        <f ca="1">IF(AND(B908="",NOT(A908="")),IF(NOT(LEFT(VLOOKUP(A908,TaskPlan!A:L,3,FALSE),1) = "0"),VLOOKUP(A908,TaskPlan!A:M,4,FALSE),""),"")</f>
        <v>0</v>
      </c>
      <c r="M908" s="58" t="str">
        <f ca="1">IF(B908=".",1,IF(AND(B908="",NOT(A908="")),IF(VLOOKUP(A908,TaskPlan!A:L,5,FALSE)&gt;0,VLOOKUP(A908,TaskPlan!A:L,5,FALSE),""),""))</f>
        <v/>
      </c>
    </row>
    <row r="909" spans="1:16" hidden="1" outlineLevel="1">
      <c r="A909" s="43" t="s">
        <v>1917</v>
      </c>
      <c r="B909" s="7"/>
      <c r="C909" s="44" t="s">
        <v>1918</v>
      </c>
      <c r="D909" s="7" t="s">
        <v>11</v>
      </c>
      <c r="E909" s="26">
        <v>40589</v>
      </c>
      <c r="F909" s="25">
        <v>2</v>
      </c>
      <c r="G909" s="28" t="s">
        <v>1099</v>
      </c>
      <c r="H909" s="37">
        <f ca="1">IF(AND(B909="",NOT(A909="")),VLOOKUP(A909,TaskPlan!A:M,13,FALSE),"")</f>
        <v>40567</v>
      </c>
      <c r="I909" s="38" t="str">
        <f ca="1">IF(AND(B909="",NOT(A909="")),VLOOKUP(A909,TaskPlan!A:M,12,FALSE),"")</f>
        <v>In Progress</v>
      </c>
      <c r="J909" s="39" t="str">
        <f ca="1">IF(AND(B909="",NOT(A909="")),VLOOKUP(A909,TaskPlan!A:L,2,FALSE),"")</f>
        <v>Neil</v>
      </c>
      <c r="K909" s="39" t="str">
        <f ca="1">IF(AND(B909="",NOT(A909="")),IF(NOT(LEFT(VLOOKUP(A909,TaskPlan!A:L,3,FALSE),1) = "0"),VLOOKUP(A909,TaskPlan!A:L,3,FALSE),""),"")</f>
        <v>4-HIGH</v>
      </c>
      <c r="L909" s="55">
        <f ca="1">IF(AND(B909="",NOT(A909="")),IF(NOT(LEFT(VLOOKUP(A909,TaskPlan!A:L,3,FALSE),1) = "0"),VLOOKUP(A909,TaskPlan!A:M,4,FALSE),""),"")</f>
        <v>0</v>
      </c>
      <c r="M909" s="58" t="str">
        <f ca="1">IF(B909=".",1,IF(AND(B909="",NOT(A909="")),IF(VLOOKUP(A909,TaskPlan!A:L,5,FALSE)&gt;0,VLOOKUP(A909,TaskPlan!A:L,5,FALSE),""),""))</f>
        <v/>
      </c>
    </row>
    <row r="910" spans="1:16" collapsed="1">
      <c r="H910" s="37" t="str">
        <f ca="1">IF(AND(B910="",NOT(A910="")),VLOOKUP(A910,TaskPlan!A:M,13,FALSE),"")</f>
        <v/>
      </c>
      <c r="I910" s="38" t="str">
        <f ca="1">IF(AND(B910="",NOT(A910="")),VLOOKUP(A910,TaskPlan!A:M,12,FALSE),"")</f>
        <v/>
      </c>
      <c r="M910" s="58" t="str">
        <f ca="1">IF(B910=".",1,IF(AND(B910="",NOT(A910="")),IF(VLOOKUP(A910,TaskPlan!A:L,5,FALSE)&gt;0,VLOOKUP(A910,TaskPlan!A:L,5,FALSE),""),""))</f>
        <v/>
      </c>
      <c r="N910" s="1" t="str">
        <f ca="1">IF(ISNA(VLOOKUP(A910,Projects!B:B,1,FALSE)),"","Yes")</f>
        <v/>
      </c>
    </row>
    <row r="911" spans="1:16" ht="15.75">
      <c r="A911" s="43" t="s">
        <v>1080</v>
      </c>
      <c r="B911" s="7" t="s">
        <v>15</v>
      </c>
      <c r="C911" s="36" t="s">
        <v>1081</v>
      </c>
      <c r="H911" s="37" t="str">
        <f ca="1">IF(AND(B911="",NOT(A911="")),VLOOKUP(A911,TaskPlan!A:M,13,FALSE),"")</f>
        <v/>
      </c>
      <c r="I911" s="38" t="str">
        <f ca="1">IF(AND(B911="",NOT(A911="")),VLOOKUP(A911,TaskPlan!A:M,12,FALSE),"")</f>
        <v/>
      </c>
      <c r="M911" s="58">
        <f ca="1">IF(B911=".",1,IF(AND(B911="",NOT(A911="")),IF(VLOOKUP(A911,TaskPlan!A:L,5,FALSE)&gt;0,VLOOKUP(A911,TaskPlan!A:L,5,FALSE),""),""))</f>
        <v>1</v>
      </c>
      <c r="N911" s="1" t="str">
        <f ca="1">IF(ISNA(VLOOKUP(A911,Projects!B:B,1,FALSE)),"","Yes")</f>
        <v/>
      </c>
    </row>
    <row r="912" spans="1:16" hidden="1" outlineLevel="1">
      <c r="A912" s="43" t="s">
        <v>1082</v>
      </c>
      <c r="B912" s="7" t="s">
        <v>15</v>
      </c>
      <c r="C912" s="45" t="s">
        <v>986</v>
      </c>
      <c r="H912" s="37" t="str">
        <f ca="1">IF(AND(B912="",NOT(A912="")),VLOOKUP(A912,TaskPlan!A:M,13,FALSE),"")</f>
        <v/>
      </c>
      <c r="I912" s="38" t="str">
        <f ca="1">IF(AND(B912="",NOT(A912="")),VLOOKUP(A912,TaskPlan!A:M,12,FALSE),"")</f>
        <v/>
      </c>
      <c r="M912" s="58">
        <f ca="1">IF(B912=".",1,IF(AND(B912="",NOT(A912="")),IF(VLOOKUP(A912,TaskPlan!A:L,5,FALSE)&gt;0,VLOOKUP(A912,TaskPlan!A:L,5,FALSE),""),""))</f>
        <v>1</v>
      </c>
      <c r="N912" s="1" t="str">
        <f ca="1">IF(ISNA(VLOOKUP(A912,Projects!B:B,1,FALSE)),"","Yes")</f>
        <v/>
      </c>
    </row>
    <row r="913" spans="1:14" hidden="1" outlineLevel="1">
      <c r="A913" s="43" t="s">
        <v>1083</v>
      </c>
      <c r="C913" s="44" t="s">
        <v>1231</v>
      </c>
      <c r="D913" s="7" t="s">
        <v>759</v>
      </c>
      <c r="E913" s="26">
        <v>40353</v>
      </c>
      <c r="F913" s="25">
        <v>1</v>
      </c>
      <c r="G913" s="28" t="s">
        <v>1099</v>
      </c>
      <c r="H913" s="37">
        <f ca="1">IF(AND(B913="",NOT(A913="")),VLOOKUP(A913,TaskPlan!A:M,13,FALSE),"")</f>
        <v>40373</v>
      </c>
      <c r="I913" s="38" t="str">
        <f ca="1">IF(AND(B913="",NOT(A913="")),VLOOKUP(A913,TaskPlan!A:M,12,FALSE),"")</f>
        <v>Closed</v>
      </c>
      <c r="J913" s="39" t="str">
        <f ca="1">IF(AND(B913="",NOT(A913="")),VLOOKUP(A913,TaskPlan!A:L,2,FALSE),"")</f>
        <v>Sreevani</v>
      </c>
      <c r="K913" s="39" t="str">
        <f ca="1">IF(AND(B913="",NOT(A913="")),IF(NOT(LEFT(VLOOKUP(A913,TaskPlan!A:L,3,FALSE),1) = "0"),VLOOKUP(A913,TaskPlan!A:L,3,FALSE),""),"")</f>
        <v/>
      </c>
      <c r="L913" s="55" t="str">
        <f ca="1">IF(AND(B913="",NOT(A913="")),IF(NOT(LEFT(VLOOKUP(A913,TaskPlan!A:L,3,FALSE),1) = "0"),VLOOKUP(A913,TaskPlan!A:M,4,FALSE),""),"")</f>
        <v/>
      </c>
      <c r="M913" s="58" t="str">
        <f ca="1">IF(B913=".",1,IF(AND(B913="",NOT(A913="")),IF(VLOOKUP(A913,TaskPlan!A:L,5,FALSE)&gt;0,VLOOKUP(A913,TaskPlan!A:L,5,FALSE),""),""))</f>
        <v/>
      </c>
      <c r="N913" s="1" t="str">
        <f ca="1">IF(ISNA(VLOOKUP(A913,Projects!B:B,1,FALSE)),"","Yes")</f>
        <v>Yes</v>
      </c>
    </row>
    <row r="914" spans="1:14" hidden="1" outlineLevel="1">
      <c r="A914" s="46" t="s">
        <v>1230</v>
      </c>
      <c r="C914" s="42" t="s">
        <v>1232</v>
      </c>
      <c r="D914" s="1" t="s">
        <v>11</v>
      </c>
      <c r="E914" s="24">
        <v>40353</v>
      </c>
      <c r="F914" s="25">
        <v>3</v>
      </c>
      <c r="G914" s="28" t="s">
        <v>1099</v>
      </c>
      <c r="H914" s="37">
        <f ca="1">IF(AND(B914="",NOT(A914="")),VLOOKUP(A914,TaskPlan!A:M,13,FALSE),"")</f>
        <v>40589</v>
      </c>
      <c r="I914" s="38" t="str">
        <f ca="1">IF(AND(B914="",NOT(A914="")),VLOOKUP(A914,TaskPlan!A:M,12,FALSE),"")</f>
        <v>Closed</v>
      </c>
      <c r="J914" s="39" t="str">
        <f ca="1">IF(AND(B914="",NOT(A914="")),VLOOKUP(A914,TaskPlan!A:L,2,FALSE),"")</f>
        <v>Sreevani</v>
      </c>
      <c r="K914" s="39" t="str">
        <f ca="1">IF(AND(B914="",NOT(A914="")),IF(NOT(LEFT(VLOOKUP(A914,TaskPlan!A:L,3,FALSE),1) = "0"),VLOOKUP(A914,TaskPlan!A:L,3,FALSE),""),"")</f>
        <v/>
      </c>
      <c r="L914" s="55" t="str">
        <f ca="1">IF(AND(B914="",NOT(A914="")),IF(NOT(LEFT(VLOOKUP(A914,TaskPlan!A:L,3,FALSE),1) = "0"),VLOOKUP(A914,TaskPlan!A:M,4,FALSE),""),"")</f>
        <v/>
      </c>
      <c r="M914" s="58" t="str">
        <f ca="1">IF(B914=".",1,IF(AND(B914="",NOT(A914="")),IF(VLOOKUP(A914,TaskPlan!A:L,5,FALSE)&gt;0,VLOOKUP(A914,TaskPlan!A:L,5,FALSE),""),""))</f>
        <v/>
      </c>
      <c r="N914" s="1" t="str">
        <f ca="1">IF(ISNA(VLOOKUP(A914,Projects!B:B,1,FALSE)),"","Yes")</f>
        <v>Yes</v>
      </c>
    </row>
    <row r="915" spans="1:14" hidden="1" outlineLevel="1">
      <c r="A915" s="46" t="s">
        <v>1238</v>
      </c>
      <c r="C915" s="42" t="s">
        <v>1233</v>
      </c>
      <c r="D915" s="1" t="s">
        <v>11</v>
      </c>
      <c r="E915" s="24">
        <v>40353</v>
      </c>
      <c r="F915" s="25">
        <v>1</v>
      </c>
      <c r="G915" s="28" t="s">
        <v>1099</v>
      </c>
      <c r="H915" s="37">
        <f ca="1">IF(AND(B915="",NOT(A915="")),VLOOKUP(A915,TaskPlan!A:M,13,FALSE),"")</f>
        <v>40407</v>
      </c>
      <c r="I915" s="38" t="str">
        <f ca="1">IF(AND(B915="",NOT(A915="")),VLOOKUP(A915,TaskPlan!A:M,12,FALSE),"")</f>
        <v>Closed</v>
      </c>
      <c r="J915" s="39" t="str">
        <f ca="1">IF(AND(B915="",NOT(A915="")),VLOOKUP(A915,TaskPlan!A:L,2,FALSE),"")</f>
        <v>All</v>
      </c>
      <c r="K915" s="39" t="str">
        <f ca="1">IF(AND(B915="",NOT(A915="")),IF(NOT(LEFT(VLOOKUP(A915,TaskPlan!A:L,3,FALSE),1) = "0"),VLOOKUP(A915,TaskPlan!A:L,3,FALSE),""),"")</f>
        <v/>
      </c>
      <c r="L915" s="55" t="str">
        <f ca="1">IF(AND(B915="",NOT(A915="")),IF(NOT(LEFT(VLOOKUP(A915,TaskPlan!A:L,3,FALSE),1) = "0"),VLOOKUP(A915,TaskPlan!A:M,4,FALSE),""),"")</f>
        <v/>
      </c>
      <c r="M915" s="58" t="str">
        <f ca="1">IF(B915=".",1,IF(AND(B915="",NOT(A915="")),IF(VLOOKUP(A915,TaskPlan!A:L,5,FALSE)&gt;0,VLOOKUP(A915,TaskPlan!A:L,5,FALSE),""),""))</f>
        <v/>
      </c>
      <c r="N915" s="1" t="str">
        <f ca="1">IF(ISNA(VLOOKUP(A915,Projects!B:B,1,FALSE)),"","Yes")</f>
        <v>Yes</v>
      </c>
    </row>
    <row r="916" spans="1:14" hidden="1" outlineLevel="1">
      <c r="A916" s="46" t="s">
        <v>1239</v>
      </c>
      <c r="C916" s="42" t="s">
        <v>1234</v>
      </c>
      <c r="D916" s="1" t="s">
        <v>11</v>
      </c>
      <c r="E916" s="24">
        <v>40353</v>
      </c>
      <c r="F916" s="25">
        <v>8</v>
      </c>
      <c r="G916" s="28" t="s">
        <v>1099</v>
      </c>
      <c r="H916" s="37">
        <f ca="1">IF(AND(B916="",NOT(A916="")),VLOOKUP(A916,TaskPlan!A:M,13,FALSE),"")</f>
        <v>40407</v>
      </c>
      <c r="I916" s="38" t="str">
        <f ca="1">IF(AND(B916="",NOT(A916="")),VLOOKUP(A916,TaskPlan!A:M,12,FALSE),"")</f>
        <v>Closed</v>
      </c>
      <c r="J916" s="39" t="str">
        <f ca="1">IF(AND(B916="",NOT(A916="")),VLOOKUP(A916,TaskPlan!A:L,2,FALSE),"")</f>
        <v>Sreevani</v>
      </c>
      <c r="K916" s="39" t="str">
        <f ca="1">IF(AND(B916="",NOT(A916="")),IF(NOT(LEFT(VLOOKUP(A916,TaskPlan!A:L,3,FALSE),1) = "0"),VLOOKUP(A916,TaskPlan!A:L,3,FALSE),""),"")</f>
        <v/>
      </c>
      <c r="L916" s="55" t="str">
        <f ca="1">IF(AND(B916="",NOT(A916="")),IF(NOT(LEFT(VLOOKUP(A916,TaskPlan!A:L,3,FALSE),1) = "0"),VLOOKUP(A916,TaskPlan!A:M,4,FALSE),""),"")</f>
        <v/>
      </c>
      <c r="M916" s="58" t="str">
        <f ca="1">IF(B916=".",1,IF(AND(B916="",NOT(A916="")),IF(VLOOKUP(A916,TaskPlan!A:L,5,FALSE)&gt;0,VLOOKUP(A916,TaskPlan!A:L,5,FALSE),""),""))</f>
        <v/>
      </c>
      <c r="N916" s="1" t="str">
        <f ca="1">IF(ISNA(VLOOKUP(A916,Projects!B:B,1,FALSE)),"","Yes")</f>
        <v>Yes</v>
      </c>
    </row>
    <row r="917" spans="1:14" hidden="1" outlineLevel="1">
      <c r="A917" s="46" t="s">
        <v>1240</v>
      </c>
      <c r="C917" s="42" t="s">
        <v>1235</v>
      </c>
      <c r="D917" s="1" t="s">
        <v>11</v>
      </c>
      <c r="E917" s="24">
        <v>40353</v>
      </c>
      <c r="F917" s="25">
        <v>1</v>
      </c>
      <c r="G917" s="28" t="s">
        <v>1099</v>
      </c>
      <c r="H917" s="37">
        <f ca="1">IF(AND(B917="",NOT(A917="")),VLOOKUP(A917,TaskPlan!A:M,13,FALSE),"")</f>
        <v>40410</v>
      </c>
      <c r="I917" s="38" t="str">
        <f ca="1">IF(AND(B917="",NOT(A917="")),VLOOKUP(A917,TaskPlan!A:M,12,FALSE),"")</f>
        <v>Closed</v>
      </c>
      <c r="J917" s="39" t="str">
        <f ca="1">IF(AND(B917="",NOT(A917="")),VLOOKUP(A917,TaskPlan!A:L,2,FALSE),"")</f>
        <v>All</v>
      </c>
      <c r="K917" s="39" t="str">
        <f ca="1">IF(AND(B917="",NOT(A917="")),IF(NOT(LEFT(VLOOKUP(A917,TaskPlan!A:L,3,FALSE),1) = "0"),VLOOKUP(A917,TaskPlan!A:L,3,FALSE),""),"")</f>
        <v/>
      </c>
      <c r="L917" s="55" t="str">
        <f ca="1">IF(AND(B917="",NOT(A917="")),IF(NOT(LEFT(VLOOKUP(A917,TaskPlan!A:L,3,FALSE),1) = "0"),VLOOKUP(A917,TaskPlan!A:M,4,FALSE),""),"")</f>
        <v/>
      </c>
      <c r="M917" s="58" t="str">
        <f ca="1">IF(B917=".",1,IF(AND(B917="",NOT(A917="")),IF(VLOOKUP(A917,TaskPlan!A:L,5,FALSE)&gt;0,VLOOKUP(A917,TaskPlan!A:L,5,FALSE),""),""))</f>
        <v/>
      </c>
      <c r="N917" s="1" t="str">
        <f ca="1">IF(ISNA(VLOOKUP(A917,Projects!B:B,1,FALSE)),"","Yes")</f>
        <v>Yes</v>
      </c>
    </row>
    <row r="918" spans="1:14" hidden="1" outlineLevel="1">
      <c r="A918" s="46" t="s">
        <v>1241</v>
      </c>
      <c r="C918" s="42" t="s">
        <v>1236</v>
      </c>
      <c r="D918" s="1" t="s">
        <v>11</v>
      </c>
      <c r="E918" s="24">
        <v>40353</v>
      </c>
      <c r="F918" s="25">
        <v>3</v>
      </c>
      <c r="G918" s="28" t="s">
        <v>1099</v>
      </c>
      <c r="H918" s="37">
        <f ca="1">IF(AND(B918="",NOT(A918="")),VLOOKUP(A918,TaskPlan!A:M,13,FALSE),"")</f>
        <v>40428</v>
      </c>
      <c r="I918" s="38" t="str">
        <f ca="1">IF(AND(B918="",NOT(A918="")),VLOOKUP(A918,TaskPlan!A:M,12,FALSE),"")</f>
        <v>Closed</v>
      </c>
      <c r="J918" s="39" t="str">
        <f ca="1">IF(AND(B918="",NOT(A918="")),VLOOKUP(A918,TaskPlan!A:L,2,FALSE),"")</f>
        <v>Sreevani</v>
      </c>
      <c r="K918" s="39" t="str">
        <f ca="1">IF(AND(B918="",NOT(A918="")),IF(NOT(LEFT(VLOOKUP(A918,TaskPlan!A:L,3,FALSE),1) = "0"),VLOOKUP(A918,TaskPlan!A:L,3,FALSE),""),"")</f>
        <v/>
      </c>
      <c r="L918" s="55" t="str">
        <f ca="1">IF(AND(B918="",NOT(A918="")),IF(NOT(LEFT(VLOOKUP(A918,TaskPlan!A:L,3,FALSE),1) = "0"),VLOOKUP(A918,TaskPlan!A:M,4,FALSE),""),"")</f>
        <v/>
      </c>
      <c r="M918" s="58" t="str">
        <f ca="1">IF(B918=".",1,IF(AND(B918="",NOT(A918="")),IF(VLOOKUP(A918,TaskPlan!A:L,5,FALSE)&gt;0,VLOOKUP(A918,TaskPlan!A:L,5,FALSE),""),""))</f>
        <v/>
      </c>
      <c r="N918" s="1" t="str">
        <f ca="1">IF(ISNA(VLOOKUP(A918,Projects!B:B,1,FALSE)),"","Yes")</f>
        <v>Yes</v>
      </c>
    </row>
    <row r="919" spans="1:14" hidden="1" outlineLevel="1">
      <c r="A919" s="46" t="s">
        <v>1242</v>
      </c>
      <c r="C919" s="42" t="s">
        <v>1237</v>
      </c>
      <c r="D919" s="1" t="s">
        <v>11</v>
      </c>
      <c r="E919" s="24">
        <v>40353</v>
      </c>
      <c r="F919" s="25">
        <v>1</v>
      </c>
      <c r="G919" s="28" t="s">
        <v>1099</v>
      </c>
      <c r="H919" s="37">
        <f ca="1">IF(AND(B919="",NOT(A919="")),VLOOKUP(A919,TaskPlan!A:M,13,FALSE),"")</f>
        <v>40443</v>
      </c>
      <c r="I919" s="38" t="str">
        <f ca="1">IF(AND(B919="",NOT(A919="")),VLOOKUP(A919,TaskPlan!A:M,12,FALSE),"")</f>
        <v>Closed</v>
      </c>
      <c r="J919" s="39" t="str">
        <f ca="1">IF(AND(B919="",NOT(A919="")),VLOOKUP(A919,TaskPlan!A:L,2,FALSE),"")</f>
        <v>Sreevani</v>
      </c>
      <c r="K919" s="39" t="str">
        <f ca="1">IF(AND(B919="",NOT(A919="")),IF(NOT(LEFT(VLOOKUP(A919,TaskPlan!A:L,3,FALSE),1) = "0"),VLOOKUP(A919,TaskPlan!A:L,3,FALSE),""),"")</f>
        <v/>
      </c>
      <c r="L919" s="55" t="str">
        <f ca="1">IF(AND(B919="",NOT(A919="")),IF(NOT(LEFT(VLOOKUP(A919,TaskPlan!A:L,3,FALSE),1) = "0"),VLOOKUP(A919,TaskPlan!A:M,4,FALSE),""),"")</f>
        <v/>
      </c>
      <c r="M919" s="58" t="str">
        <f ca="1">IF(B919=".",1,IF(AND(B919="",NOT(A919="")),IF(VLOOKUP(A919,TaskPlan!A:L,5,FALSE)&gt;0,VLOOKUP(A919,TaskPlan!A:L,5,FALSE),""),""))</f>
        <v/>
      </c>
      <c r="N919" s="1" t="str">
        <f ca="1">IF(ISNA(VLOOKUP(A919,Projects!B:B,1,FALSE)),"","Yes")</f>
        <v>Yes</v>
      </c>
    </row>
    <row r="920" spans="1:14" hidden="1" outlineLevel="1">
      <c r="A920" s="46" t="s">
        <v>1583</v>
      </c>
      <c r="B920" s="1" t="s">
        <v>15</v>
      </c>
      <c r="C920" s="45" t="s">
        <v>277</v>
      </c>
      <c r="M920" s="58">
        <f ca="1">IF(B920=".",1,IF(AND(B920="",NOT(A920="")),IF(VLOOKUP(A920,TaskPlan!A:L,5,FALSE)&gt;0,VLOOKUP(A920,TaskPlan!A:L,5,FALSE),""),""))</f>
        <v>1</v>
      </c>
      <c r="N920" s="1" t="str">
        <f ca="1">IF(ISNA(VLOOKUP(A920,Projects!B:B,1,FALSE)),"","Yes")</f>
        <v/>
      </c>
    </row>
    <row r="921" spans="1:14" ht="25.5" hidden="1" outlineLevel="1">
      <c r="A921" s="43" t="s">
        <v>1584</v>
      </c>
      <c r="C921" s="44" t="s">
        <v>1585</v>
      </c>
      <c r="D921" s="7" t="s">
        <v>11</v>
      </c>
      <c r="E921" s="24">
        <v>40456</v>
      </c>
      <c r="F921" s="25">
        <v>1</v>
      </c>
      <c r="G921" s="25" t="s">
        <v>289</v>
      </c>
      <c r="H921" s="37">
        <f ca="1">IF(AND(B921="",NOT(A921="")),VLOOKUP(A921,TaskPlan!A:M,13,FALSE),"")</f>
        <v>40459</v>
      </c>
      <c r="I921" s="38" t="str">
        <f ca="1">IF(AND(B921="",NOT(A921="")),VLOOKUP(A921,TaskPlan!A:M,12,FALSE),"")</f>
        <v>Closed</v>
      </c>
      <c r="J921" s="39" t="str">
        <f ca="1">IF(AND(B921="",NOT(A921="")),VLOOKUP(A921,TaskPlan!A:L,2,FALSE),"")</f>
        <v>Sreevani</v>
      </c>
      <c r="K921" s="39" t="str">
        <f ca="1">IF(AND(B921="",NOT(A921="")),IF(NOT(LEFT(VLOOKUP(A921,TaskPlan!A:L,3,FALSE),1) = "0"),VLOOKUP(A921,TaskPlan!A:L,3,FALSE),""),"")</f>
        <v/>
      </c>
      <c r="L921" s="55" t="str">
        <f ca="1">IF(AND(B921="",NOT(A921="")),IF(NOT(LEFT(VLOOKUP(A921,TaskPlan!A:L,3,FALSE),1) = "0"),VLOOKUP(A921,TaskPlan!A:M,4,FALSE),""),"")</f>
        <v/>
      </c>
      <c r="M921" s="58" t="str">
        <f ca="1">IF(B921=".",1,IF(AND(B921="",NOT(A921="")),IF(VLOOKUP(A921,TaskPlan!A:L,5,FALSE)&gt;0,VLOOKUP(A921,TaskPlan!A:L,5,FALSE),""),""))</f>
        <v/>
      </c>
      <c r="N921" s="1" t="str">
        <f ca="1">IF(ISNA(VLOOKUP(A921,Projects!B:B,1,FALSE)),"","Yes")</f>
        <v/>
      </c>
    </row>
    <row r="922" spans="1:14" collapsed="1">
      <c r="M922" s="58" t="str">
        <f ca="1">IF(B922=".",1,IF(AND(B922="",NOT(A922="")),IF(VLOOKUP(A922,TaskPlan!A:L,5,FALSE)&gt;0,VLOOKUP(A922,TaskPlan!A:L,5,FALSE),""),""))</f>
        <v/>
      </c>
      <c r="N922" s="1" t="str">
        <f ca="1">IF(ISNA(VLOOKUP(A922,Projects!B:B,1,FALSE)),"","Yes")</f>
        <v/>
      </c>
    </row>
    <row r="923" spans="1:14" ht="15.75">
      <c r="A923" s="43" t="s">
        <v>1483</v>
      </c>
      <c r="B923" s="7" t="s">
        <v>15</v>
      </c>
      <c r="C923" s="36" t="s">
        <v>1484</v>
      </c>
      <c r="M923" s="58">
        <f ca="1">IF(B923=".",1,IF(AND(B923="",NOT(A923="")),IF(VLOOKUP(A923,TaskPlan!A:L,5,FALSE)&gt;0,VLOOKUP(A923,TaskPlan!A:L,5,FALSE),""),""))</f>
        <v>1</v>
      </c>
      <c r="N923" s="1" t="str">
        <f ca="1">IF(ISNA(VLOOKUP(A923,Projects!B:B,1,FALSE)),"","Yes")</f>
        <v/>
      </c>
    </row>
    <row r="924" spans="1:14" hidden="1" outlineLevel="1">
      <c r="A924" s="43" t="s">
        <v>1485</v>
      </c>
      <c r="B924" s="7" t="s">
        <v>15</v>
      </c>
      <c r="C924" s="45" t="s">
        <v>1486</v>
      </c>
      <c r="M924" s="58">
        <f ca="1">IF(B924=".",1,IF(AND(B924="",NOT(A924="")),IF(VLOOKUP(A924,TaskPlan!A:L,5,FALSE)&gt;0,VLOOKUP(A924,TaskPlan!A:L,5,FALSE),""),""))</f>
        <v>1</v>
      </c>
      <c r="N924" s="1" t="str">
        <f ca="1">IF(ISNA(VLOOKUP(A924,Projects!B:B,1,FALSE)),"","Yes")</f>
        <v/>
      </c>
    </row>
    <row r="925" spans="1:14" hidden="1" outlineLevel="1">
      <c r="A925" s="43" t="s">
        <v>1487</v>
      </c>
      <c r="C925" s="44" t="s">
        <v>1488</v>
      </c>
      <c r="D925" s="1" t="s">
        <v>11</v>
      </c>
      <c r="E925" s="24">
        <v>40429</v>
      </c>
      <c r="F925" s="25">
        <v>1</v>
      </c>
      <c r="G925" s="28" t="s">
        <v>1099</v>
      </c>
      <c r="H925" s="37">
        <f ca="1">IF(AND(B925="",NOT(A925="")),VLOOKUP(A925,TaskPlan!A:M,13,FALSE),"")</f>
        <v>40491</v>
      </c>
      <c r="I925" s="38" t="str">
        <f ca="1">IF(AND(B925="",NOT(A925="")),VLOOKUP(A925,TaskPlan!A:M,12,FALSE),"")</f>
        <v>Closed</v>
      </c>
      <c r="J925" s="39" t="str">
        <f ca="1">IF(AND(B925="",NOT(A925="")),VLOOKUP(A925,TaskPlan!A:L,2,FALSE),"")</f>
        <v>Neil</v>
      </c>
      <c r="K925" s="39" t="str">
        <f ca="1">IF(AND(B925="",NOT(A925="")),IF(NOT(LEFT(VLOOKUP(A925,TaskPlan!A:L,3,FALSE),1) = "0"),VLOOKUP(A925,TaskPlan!A:L,3,FALSE),""),"")</f>
        <v/>
      </c>
      <c r="L925" s="55" t="str">
        <f ca="1">IF(AND(B925="",NOT(A925="")),IF(NOT(LEFT(VLOOKUP(A925,TaskPlan!A:L,3,FALSE),1) = "0"),VLOOKUP(A925,TaskPlan!A:M,4,FALSE),""),"")</f>
        <v/>
      </c>
      <c r="M925" s="58" t="str">
        <f ca="1">IF(B925=".",1,IF(AND(B925="",NOT(A925="")),IF(VLOOKUP(A925,TaskPlan!A:L,5,FALSE)&gt;0,VLOOKUP(A925,TaskPlan!A:L,5,FALSE),""),""))</f>
        <v/>
      </c>
      <c r="N925" s="1" t="str">
        <f ca="1">IF(ISNA(VLOOKUP(A925,Projects!B:B,1,FALSE)),"","Yes")</f>
        <v>Yes</v>
      </c>
    </row>
    <row r="926" spans="1:14" hidden="1" outlineLevel="1">
      <c r="A926" s="43" t="s">
        <v>1492</v>
      </c>
      <c r="C926" s="44" t="s">
        <v>1489</v>
      </c>
      <c r="D926" s="1" t="s">
        <v>11</v>
      </c>
      <c r="E926" s="24">
        <v>40429</v>
      </c>
      <c r="F926" s="25">
        <v>1</v>
      </c>
      <c r="G926" s="28" t="s">
        <v>1099</v>
      </c>
      <c r="H926" s="37">
        <f ca="1">IF(AND(B926="",NOT(A926="")),VLOOKUP(A926,TaskPlan!A:M,13,FALSE),"")</f>
        <v>40491</v>
      </c>
      <c r="I926" s="38" t="str">
        <f ca="1">IF(AND(B926="",NOT(A926="")),VLOOKUP(A926,TaskPlan!A:M,12,FALSE),"")</f>
        <v>Closed</v>
      </c>
      <c r="J926" s="39" t="str">
        <f ca="1">IF(AND(B926="",NOT(A926="")),VLOOKUP(A926,TaskPlan!A:L,2,FALSE),"")</f>
        <v>Neil</v>
      </c>
      <c r="K926" s="39" t="str">
        <f ca="1">IF(AND(B926="",NOT(A926="")),IF(NOT(LEFT(VLOOKUP(A926,TaskPlan!A:L,3,FALSE),1) = "0"),VLOOKUP(A926,TaskPlan!A:L,3,FALSE),""),"")</f>
        <v/>
      </c>
      <c r="L926" s="55" t="str">
        <f ca="1">IF(AND(B926="",NOT(A926="")),IF(NOT(LEFT(VLOOKUP(A926,TaskPlan!A:L,3,FALSE),1) = "0"),VLOOKUP(A926,TaskPlan!A:M,4,FALSE),""),"")</f>
        <v/>
      </c>
      <c r="M926" s="58" t="str">
        <f ca="1">IF(B926=".",1,IF(AND(B926="",NOT(A926="")),IF(VLOOKUP(A926,TaskPlan!A:L,5,FALSE)&gt;0,VLOOKUP(A926,TaskPlan!A:L,5,FALSE),""),""))</f>
        <v/>
      </c>
      <c r="N926" s="1" t="str">
        <f ca="1">IF(ISNA(VLOOKUP(A926,Projects!B:B,1,FALSE)),"","Yes")</f>
        <v>Yes</v>
      </c>
    </row>
    <row r="927" spans="1:14" hidden="1" outlineLevel="1">
      <c r="A927" s="43" t="s">
        <v>1493</v>
      </c>
      <c r="C927" s="44" t="s">
        <v>1490</v>
      </c>
      <c r="D927" s="1" t="s">
        <v>11</v>
      </c>
      <c r="E927" s="24">
        <v>40429</v>
      </c>
      <c r="F927" s="25">
        <v>3</v>
      </c>
      <c r="G927" s="28" t="s">
        <v>1099</v>
      </c>
      <c r="H927" s="37">
        <f ca="1">IF(AND(B927="",NOT(A927="")),VLOOKUP(A927,TaskPlan!A:M,13,FALSE),"")</f>
        <v>40443</v>
      </c>
      <c r="I927" s="38" t="str">
        <f ca="1">IF(AND(B927="",NOT(A927="")),VLOOKUP(A927,TaskPlan!A:M,12,FALSE),"")</f>
        <v>Closed</v>
      </c>
      <c r="J927" s="39" t="str">
        <f ca="1">IF(AND(B927="",NOT(A927="")),VLOOKUP(A927,TaskPlan!A:L,2,FALSE),"")</f>
        <v>Sreevani</v>
      </c>
      <c r="K927" s="39" t="str">
        <f ca="1">IF(AND(B927="",NOT(A927="")),IF(NOT(LEFT(VLOOKUP(A927,TaskPlan!A:L,3,FALSE),1) = "0"),VLOOKUP(A927,TaskPlan!A:L,3,FALSE),""),"")</f>
        <v/>
      </c>
      <c r="L927" s="55" t="str">
        <f ca="1">IF(AND(B927="",NOT(A927="")),IF(NOT(LEFT(VLOOKUP(A927,TaskPlan!A:L,3,FALSE),1) = "0"),VLOOKUP(A927,TaskPlan!A:M,4,FALSE),""),"")</f>
        <v/>
      </c>
      <c r="M927" s="58" t="str">
        <f ca="1">IF(B927=".",1,IF(AND(B927="",NOT(A927="")),IF(VLOOKUP(A927,TaskPlan!A:L,5,FALSE)&gt;0,VLOOKUP(A927,TaskPlan!A:L,5,FALSE),""),""))</f>
        <v/>
      </c>
      <c r="N927" s="1" t="str">
        <f ca="1">IF(ISNA(VLOOKUP(A927,Projects!B:B,1,FALSE)),"","Yes")</f>
        <v>Yes</v>
      </c>
    </row>
    <row r="928" spans="1:14" hidden="1" outlineLevel="1">
      <c r="A928" s="43" t="s">
        <v>1494</v>
      </c>
      <c r="C928" s="44" t="s">
        <v>1497</v>
      </c>
      <c r="D928" s="1" t="s">
        <v>11</v>
      </c>
      <c r="E928" s="24">
        <v>40429</v>
      </c>
      <c r="F928" s="25">
        <v>1</v>
      </c>
      <c r="G928" s="28" t="s">
        <v>1099</v>
      </c>
      <c r="H928" s="37">
        <f ca="1">IF(AND(B928="",NOT(A928="")),VLOOKUP(A928,TaskPlan!A:M,13,FALSE),"")</f>
        <v>40457</v>
      </c>
      <c r="I928" s="38" t="str">
        <f ca="1">IF(AND(B928="",NOT(A928="")),VLOOKUP(A928,TaskPlan!A:M,12,FALSE),"")</f>
        <v>Closed</v>
      </c>
      <c r="J928" s="39" t="str">
        <f ca="1">IF(AND(B928="",NOT(A928="")),VLOOKUP(A928,TaskPlan!A:L,2,FALSE),"")</f>
        <v>Sreevani</v>
      </c>
      <c r="K928" s="39" t="str">
        <f ca="1">IF(AND(B928="",NOT(A928="")),IF(NOT(LEFT(VLOOKUP(A928,TaskPlan!A:L,3,FALSE),1) = "0"),VLOOKUP(A928,TaskPlan!A:L,3,FALSE),""),"")</f>
        <v/>
      </c>
      <c r="L928" s="55" t="str">
        <f ca="1">IF(AND(B928="",NOT(A928="")),IF(NOT(LEFT(VLOOKUP(A928,TaskPlan!A:L,3,FALSE),1) = "0"),VLOOKUP(A928,TaskPlan!A:M,4,FALSE),""),"")</f>
        <v/>
      </c>
      <c r="M928" s="58" t="str">
        <f ca="1">IF(B928=".",1,IF(AND(B928="",NOT(A928="")),IF(VLOOKUP(A928,TaskPlan!A:L,5,FALSE)&gt;0,VLOOKUP(A928,TaskPlan!A:L,5,FALSE),""),""))</f>
        <v/>
      </c>
      <c r="N928" s="1" t="str">
        <f ca="1">IF(ISNA(VLOOKUP(A928,Projects!B:B,1,FALSE)),"","Yes")</f>
        <v>Yes</v>
      </c>
    </row>
    <row r="929" spans="1:14" hidden="1" outlineLevel="1">
      <c r="A929" s="43" t="s">
        <v>1495</v>
      </c>
      <c r="C929" s="44" t="s">
        <v>1498</v>
      </c>
      <c r="D929" s="1" t="s">
        <v>11</v>
      </c>
      <c r="E929" s="24">
        <v>40429</v>
      </c>
      <c r="F929" s="25">
        <v>1</v>
      </c>
      <c r="G929" s="28" t="s">
        <v>1099</v>
      </c>
      <c r="H929" s="37">
        <f ca="1">IF(AND(B929="",NOT(A929="")),VLOOKUP(A929,TaskPlan!A:M,13,FALSE),"")</f>
        <v>40491</v>
      </c>
      <c r="I929" s="38" t="str">
        <f ca="1">IF(AND(B929="",NOT(A929="")),VLOOKUP(A929,TaskPlan!A:M,12,FALSE),"")</f>
        <v>Closed</v>
      </c>
      <c r="J929" s="39" t="str">
        <f ca="1">IF(AND(B929="",NOT(A929="")),VLOOKUP(A929,TaskPlan!A:L,2,FALSE),"")</f>
        <v>All</v>
      </c>
      <c r="K929" s="39" t="str">
        <f ca="1">IF(AND(B929="",NOT(A929="")),IF(NOT(LEFT(VLOOKUP(A929,TaskPlan!A:L,3,FALSE),1) = "0"),VLOOKUP(A929,TaskPlan!A:L,3,FALSE),""),"")</f>
        <v/>
      </c>
      <c r="L929" s="55" t="str">
        <f ca="1">IF(AND(B929="",NOT(A929="")),IF(NOT(LEFT(VLOOKUP(A929,TaskPlan!A:L,3,FALSE),1) = "0"),VLOOKUP(A929,TaskPlan!A:M,4,FALSE),""),"")</f>
        <v/>
      </c>
      <c r="M929" s="58" t="str">
        <f ca="1">IF(B929=".",1,IF(AND(B929="",NOT(A929="")),IF(VLOOKUP(A929,TaskPlan!A:L,5,FALSE)&gt;0,VLOOKUP(A929,TaskPlan!A:L,5,FALSE),""),""))</f>
        <v/>
      </c>
      <c r="N929" s="1" t="str">
        <f ca="1">IF(ISNA(VLOOKUP(A929,Projects!B:B,1,FALSE)),"","Yes")</f>
        <v>Yes</v>
      </c>
    </row>
    <row r="930" spans="1:14" hidden="1" outlineLevel="1">
      <c r="A930" s="43" t="s">
        <v>1496</v>
      </c>
      <c r="C930" s="44" t="s">
        <v>1491</v>
      </c>
      <c r="D930" s="1" t="s">
        <v>11</v>
      </c>
      <c r="E930" s="24">
        <v>40429</v>
      </c>
      <c r="F930" s="28">
        <v>1</v>
      </c>
      <c r="G930" s="28" t="s">
        <v>1099</v>
      </c>
      <c r="H930" s="37">
        <f ca="1">IF(AND(B930="",NOT(A930="")),VLOOKUP(A930,TaskPlan!A:M,13,FALSE),"")</f>
        <v>40491</v>
      </c>
      <c r="I930" s="38" t="str">
        <f ca="1">IF(AND(B930="",NOT(A930="")),VLOOKUP(A930,TaskPlan!A:M,12,FALSE),"")</f>
        <v>Closed</v>
      </c>
      <c r="J930" s="39" t="str">
        <f ca="1">IF(AND(B930="",NOT(A930="")),VLOOKUP(A930,TaskPlan!A:L,2,FALSE),"")</f>
        <v>Sreevani</v>
      </c>
      <c r="K930" s="39" t="str">
        <f ca="1">IF(AND(B930="",NOT(A930="")),IF(NOT(LEFT(VLOOKUP(A930,TaskPlan!A:L,3,FALSE),1) = "0"),VLOOKUP(A930,TaskPlan!A:L,3,FALSE),""),"")</f>
        <v/>
      </c>
      <c r="L930" s="55" t="str">
        <f ca="1">IF(AND(B930="",NOT(A930="")),IF(NOT(LEFT(VLOOKUP(A930,TaskPlan!A:L,3,FALSE),1) = "0"),VLOOKUP(A930,TaskPlan!A:M,4,FALSE),""),"")</f>
        <v/>
      </c>
      <c r="M930" s="58" t="str">
        <f ca="1">IF(B930=".",1,IF(AND(B930="",NOT(A930="")),IF(VLOOKUP(A930,TaskPlan!A:L,5,FALSE)&gt;0,VLOOKUP(A930,TaskPlan!A:L,5,FALSE),""),""))</f>
        <v/>
      </c>
      <c r="N930" s="1" t="str">
        <f ca="1">IF(ISNA(VLOOKUP(A930,Projects!B:B,1,FALSE)),"","Yes")</f>
        <v>Yes</v>
      </c>
    </row>
    <row r="931" spans="1:14" hidden="1" outlineLevel="1">
      <c r="A931" s="43" t="s">
        <v>1694</v>
      </c>
      <c r="B931" s="7" t="s">
        <v>15</v>
      </c>
      <c r="C931" s="45" t="s">
        <v>1695</v>
      </c>
      <c r="M931" s="58">
        <f ca="1">IF(B931=".",1,IF(AND(B931="",NOT(A931="")),IF(VLOOKUP(A931,TaskPlan!A:L,5,FALSE)&gt;0,VLOOKUP(A931,TaskPlan!A:L,5,FALSE),""),""))</f>
        <v>1</v>
      </c>
      <c r="N931" s="1" t="str">
        <f ca="1">IF(ISNA(VLOOKUP(A931,Projects!B:B,1,FALSE)),"","Yes")</f>
        <v/>
      </c>
    </row>
    <row r="932" spans="1:14" hidden="1" outlineLevel="1">
      <c r="A932" s="43" t="s">
        <v>1696</v>
      </c>
      <c r="B932" s="7"/>
      <c r="C932" s="44" t="s">
        <v>1803</v>
      </c>
      <c r="D932" s="7" t="s">
        <v>11</v>
      </c>
      <c r="E932" s="24">
        <v>40554</v>
      </c>
      <c r="F932" s="28">
        <v>1</v>
      </c>
      <c r="G932" s="28" t="s">
        <v>1099</v>
      </c>
      <c r="H932" s="37">
        <f ca="1">IF(AND(B932="",NOT(A932="")),VLOOKUP(A932,TaskPlan!A:M,13,FALSE),"")</f>
        <v>40590</v>
      </c>
      <c r="I932" s="38" t="str">
        <f ca="1">IF(AND(B932="",NOT(A932="")),VLOOKUP(A932,TaskPlan!A:M,12,FALSE),"")</f>
        <v>Closed</v>
      </c>
      <c r="J932" s="39" t="str">
        <f ca="1">IF(AND(B932="",NOT(A932="")),VLOOKUP(A932,TaskPlan!A:L,2,FALSE),"")</f>
        <v>Sreevani</v>
      </c>
      <c r="K932" s="39" t="str">
        <f ca="1">IF(AND(B932="",NOT(A932="")),IF(NOT(LEFT(VLOOKUP(A932,TaskPlan!A:L,3,FALSE),1) = "0"),VLOOKUP(A932,TaskPlan!A:L,3,FALSE),""),"")</f>
        <v/>
      </c>
      <c r="L932" s="55" t="str">
        <f ca="1">IF(AND(B932="",NOT(A932="")),IF(NOT(LEFT(VLOOKUP(A932,TaskPlan!A:L,3,FALSE),1) = "0"),VLOOKUP(A932,TaskPlan!A:M,4,FALSE),""),"")</f>
        <v/>
      </c>
      <c r="M932" s="58" t="str">
        <f ca="1">IF(B932=".",1,IF(AND(B932="",NOT(A932="")),IF(VLOOKUP(A932,TaskPlan!A:L,5,FALSE)&gt;0,VLOOKUP(A932,TaskPlan!A:L,5,FALSE),""),""))</f>
        <v/>
      </c>
      <c r="N932" s="1" t="str">
        <f ca="1">IF(ISNA(VLOOKUP(A932,Projects!B:B,1,FALSE)),"","Yes")</f>
        <v/>
      </c>
    </row>
    <row r="933" spans="1:14" hidden="1" outlineLevel="1">
      <c r="A933" s="43" t="s">
        <v>1818</v>
      </c>
      <c r="B933" s="7"/>
      <c r="C933" s="44" t="s">
        <v>1822</v>
      </c>
      <c r="D933" s="7" t="s">
        <v>11</v>
      </c>
      <c r="E933" s="24">
        <v>40554</v>
      </c>
      <c r="F933" s="28">
        <v>3</v>
      </c>
      <c r="G933" s="28" t="s">
        <v>1099</v>
      </c>
      <c r="H933" s="37">
        <f ca="1">IF(AND(B933="",NOT(A933="")),VLOOKUP(A933,TaskPlan!A:M,13,FALSE),"")</f>
        <v>40590</v>
      </c>
      <c r="I933" s="38" t="str">
        <f ca="1">IF(AND(B933="",NOT(A933="")),VLOOKUP(A933,TaskPlan!A:M,12,FALSE),"")</f>
        <v>In Progress</v>
      </c>
      <c r="J933" s="39" t="str">
        <f ca="1">IF(AND(B933="",NOT(A933="")),VLOOKUP(A933,TaskPlan!A:L,2,FALSE),"")</f>
        <v>Parth</v>
      </c>
      <c r="K933" s="39" t="str">
        <f ca="1">IF(AND(B933="",NOT(A933="")),IF(NOT(LEFT(VLOOKUP(A933,TaskPlan!A:L,3,FALSE),1) = "0"),VLOOKUP(A933,TaskPlan!A:L,3,FALSE),""),"")</f>
        <v>3-MED</v>
      </c>
      <c r="L933" s="55">
        <f ca="1">IF(AND(B933="",NOT(A933="")),IF(NOT(LEFT(VLOOKUP(A933,TaskPlan!A:L,3,FALSE),1) = "0"),VLOOKUP(A933,TaskPlan!A:M,4,FALSE),""),"")</f>
        <v>0</v>
      </c>
      <c r="M933" s="58">
        <f ca="1">IF(B933=".",1,IF(AND(B933="",NOT(A933="")),IF(VLOOKUP(A933,TaskPlan!A:L,5,FALSE)&gt;0,VLOOKUP(A933,TaskPlan!A:L,5,FALSE),""),""))</f>
        <v>1</v>
      </c>
      <c r="N933" s="1" t="str">
        <f ca="1">IF(ISNA(VLOOKUP(A933,Projects!B:B,1,FALSE)),"","Yes")</f>
        <v/>
      </c>
    </row>
    <row r="934" spans="1:14" hidden="1" outlineLevel="1">
      <c r="A934" s="43" t="s">
        <v>1819</v>
      </c>
      <c r="B934" s="7"/>
      <c r="C934" s="44" t="s">
        <v>1823</v>
      </c>
      <c r="D934" s="7" t="s">
        <v>11</v>
      </c>
      <c r="E934" s="24">
        <v>40554</v>
      </c>
      <c r="F934" s="28">
        <v>1</v>
      </c>
      <c r="G934" s="28" t="s">
        <v>1099</v>
      </c>
      <c r="H934" s="37">
        <f ca="1">IF(AND(B934="",NOT(A934="")),VLOOKUP(A934,TaskPlan!A:M,13,FALSE),"")</f>
        <v>40554</v>
      </c>
      <c r="I934" s="38" t="str">
        <f ca="1">IF(AND(B934="",NOT(A934="")),VLOOKUP(A934,TaskPlan!A:M,12,FALSE),"")</f>
        <v>Not Started</v>
      </c>
      <c r="J934" s="39" t="str">
        <f ca="1">IF(AND(B934="",NOT(A934="")),VLOOKUP(A934,TaskPlan!A:L,2,FALSE),"")</f>
        <v>Parth</v>
      </c>
      <c r="K934" s="39" t="str">
        <f ca="1">IF(AND(B934="",NOT(A934="")),IF(NOT(LEFT(VLOOKUP(A934,TaskPlan!A:L,3,FALSE),1) = "0"),VLOOKUP(A934,TaskPlan!A:L,3,FALSE),""),"")</f>
        <v>3-MED</v>
      </c>
      <c r="L934" s="55">
        <f ca="1">IF(AND(B934="",NOT(A934="")),IF(NOT(LEFT(VLOOKUP(A934,TaskPlan!A:L,3,FALSE),1) = "0"),VLOOKUP(A934,TaskPlan!A:M,4,FALSE),""),"")</f>
        <v>0</v>
      </c>
      <c r="M934" s="58" t="str">
        <f ca="1">IF(B934=".",1,IF(AND(B934="",NOT(A934="")),IF(VLOOKUP(A934,TaskPlan!A:L,5,FALSE)&gt;0,VLOOKUP(A934,TaskPlan!A:L,5,FALSE),""),""))</f>
        <v/>
      </c>
      <c r="N934" s="1" t="str">
        <f ca="1">IF(ISNA(VLOOKUP(A934,Projects!B:B,1,FALSE)),"","Yes")</f>
        <v/>
      </c>
    </row>
    <row r="935" spans="1:14" hidden="1" outlineLevel="1">
      <c r="A935" s="43" t="s">
        <v>1821</v>
      </c>
      <c r="B935" s="7"/>
      <c r="C935" s="44" t="s">
        <v>1824</v>
      </c>
      <c r="D935" s="7" t="s">
        <v>11</v>
      </c>
      <c r="E935" s="24">
        <v>40554</v>
      </c>
      <c r="F935" s="28">
        <v>1</v>
      </c>
      <c r="G935" s="28" t="s">
        <v>1099</v>
      </c>
      <c r="H935" s="37">
        <f ca="1">IF(AND(B935="",NOT(A935="")),VLOOKUP(A935,TaskPlan!A:M,13,FALSE),"")</f>
        <v>40554</v>
      </c>
      <c r="I935" s="38" t="str">
        <f ca="1">IF(AND(B935="",NOT(A935="")),VLOOKUP(A935,TaskPlan!A:M,12,FALSE),"")</f>
        <v>Not Started</v>
      </c>
      <c r="J935" s="39" t="str">
        <f ca="1">IF(AND(B935="",NOT(A935="")),VLOOKUP(A935,TaskPlan!A:L,2,FALSE),"")</f>
        <v>Parth</v>
      </c>
      <c r="K935" s="39" t="str">
        <f ca="1">IF(AND(B935="",NOT(A935="")),IF(NOT(LEFT(VLOOKUP(A935,TaskPlan!A:L,3,FALSE),1) = "0"),VLOOKUP(A935,TaskPlan!A:L,3,FALSE),""),"")</f>
        <v>3-MED</v>
      </c>
      <c r="L935" s="55">
        <f ca="1">IF(AND(B935="",NOT(A935="")),IF(NOT(LEFT(VLOOKUP(A935,TaskPlan!A:L,3,FALSE),1) = "0"),VLOOKUP(A935,TaskPlan!A:M,4,FALSE),""),"")</f>
        <v>0</v>
      </c>
      <c r="M935" s="58" t="str">
        <f ca="1">IF(B935=".",1,IF(AND(B935="",NOT(A935="")),IF(VLOOKUP(A935,TaskPlan!A:L,5,FALSE)&gt;0,VLOOKUP(A935,TaskPlan!A:L,5,FALSE),""),""))</f>
        <v/>
      </c>
      <c r="N935" s="1" t="str">
        <f ca="1">IF(ISNA(VLOOKUP(A935,Projects!B:B,1,FALSE)),"","Yes")</f>
        <v/>
      </c>
    </row>
    <row r="936" spans="1:14" hidden="1" outlineLevel="1">
      <c r="A936" s="43" t="s">
        <v>1820</v>
      </c>
      <c r="B936" s="7"/>
      <c r="C936" s="44" t="s">
        <v>1825</v>
      </c>
      <c r="D936" s="7" t="s">
        <v>11</v>
      </c>
      <c r="E936" s="24">
        <v>40554</v>
      </c>
      <c r="F936" s="28">
        <v>1</v>
      </c>
      <c r="G936" s="28" t="s">
        <v>1099</v>
      </c>
      <c r="H936" s="37">
        <f ca="1">IF(AND(B936="",NOT(A936="")),VLOOKUP(A936,TaskPlan!A:M,13,FALSE),"")</f>
        <v>40554</v>
      </c>
      <c r="I936" s="38" t="str">
        <f ca="1">IF(AND(B936="",NOT(A936="")),VLOOKUP(A936,TaskPlan!A:M,12,FALSE),"")</f>
        <v>Not Started</v>
      </c>
      <c r="J936" s="39" t="str">
        <f ca="1">IF(AND(B936="",NOT(A936="")),VLOOKUP(A936,TaskPlan!A:L,2,FALSE),"")</f>
        <v>Parth</v>
      </c>
      <c r="K936" s="39" t="str">
        <f ca="1">IF(AND(B936="",NOT(A936="")),IF(NOT(LEFT(VLOOKUP(A936,TaskPlan!A:L,3,FALSE),1) = "0"),VLOOKUP(A936,TaskPlan!A:L,3,FALSE),""),"")</f>
        <v>3-MED</v>
      </c>
      <c r="L936" s="55">
        <f ca="1">IF(AND(B936="",NOT(A936="")),IF(NOT(LEFT(VLOOKUP(A936,TaskPlan!A:L,3,FALSE),1) = "0"),VLOOKUP(A936,TaskPlan!A:M,4,FALSE),""),"")</f>
        <v>0</v>
      </c>
      <c r="M936" s="58" t="str">
        <f ca="1">IF(B936=".",1,IF(AND(B936="",NOT(A936="")),IF(VLOOKUP(A936,TaskPlan!A:L,5,FALSE)&gt;0,VLOOKUP(A936,TaskPlan!A:L,5,FALSE),""),""))</f>
        <v/>
      </c>
      <c r="N936" s="1" t="str">
        <f ca="1">IF(ISNA(VLOOKUP(A936,Projects!B:B,1,FALSE)),"","Yes")</f>
        <v/>
      </c>
    </row>
    <row r="937" spans="1:14" hidden="1" outlineLevel="1">
      <c r="A937" s="43" t="s">
        <v>1804</v>
      </c>
      <c r="B937" s="7" t="s">
        <v>15</v>
      </c>
      <c r="C937" s="45" t="s">
        <v>1805</v>
      </c>
      <c r="M937" s="58">
        <f ca="1">IF(B937=".",1,IF(AND(B937="",NOT(A937="")),IF(VLOOKUP(A937,TaskPlan!A:L,5,FALSE)&gt;0,VLOOKUP(A937,TaskPlan!A:L,5,FALSE),""),""))</f>
        <v>1</v>
      </c>
      <c r="N937" s="1" t="str">
        <f ca="1">IF(ISNA(VLOOKUP(A937,Projects!B:B,1,FALSE)),"","Yes")</f>
        <v/>
      </c>
    </row>
    <row r="938" spans="1:14" hidden="1" outlineLevel="1">
      <c r="A938" s="43" t="s">
        <v>1812</v>
      </c>
      <c r="B938" s="7"/>
      <c r="C938" s="44" t="s">
        <v>1806</v>
      </c>
      <c r="D938" s="7" t="s">
        <v>11</v>
      </c>
      <c r="E938" s="24">
        <v>40554</v>
      </c>
      <c r="F938" s="25">
        <v>1</v>
      </c>
      <c r="G938" s="28" t="s">
        <v>1099</v>
      </c>
      <c r="H938" s="37">
        <f ca="1">IF(AND(B938="",NOT(A938="")),VLOOKUP(A938,TaskPlan!A:M,13,FALSE),"")</f>
        <v>40590</v>
      </c>
      <c r="I938" s="38" t="str">
        <f ca="1">IF(AND(B938="",NOT(A938="")),VLOOKUP(A938,TaskPlan!A:M,12,FALSE),"")</f>
        <v>Closed</v>
      </c>
      <c r="J938" s="39" t="str">
        <f ca="1">IF(AND(B938="",NOT(A938="")),VLOOKUP(A938,TaskPlan!A:L,2,FALSE),"")</f>
        <v>Sreevani</v>
      </c>
      <c r="K938" s="39" t="str">
        <f ca="1">IF(AND(B938="",NOT(A938="")),IF(NOT(LEFT(VLOOKUP(A938,TaskPlan!A:L,3,FALSE),1) = "0"),VLOOKUP(A938,TaskPlan!A:L,3,FALSE),""),"")</f>
        <v/>
      </c>
      <c r="L938" s="55" t="str">
        <f ca="1">IF(AND(B938="",NOT(A938="")),IF(NOT(LEFT(VLOOKUP(A938,TaskPlan!A:L,3,FALSE),1) = "0"),VLOOKUP(A938,TaskPlan!A:M,4,FALSE),""),"")</f>
        <v/>
      </c>
      <c r="M938" s="58" t="str">
        <f ca="1">IF(B938=".",1,IF(AND(B938="",NOT(A938="")),IF(VLOOKUP(A938,TaskPlan!A:L,5,FALSE)&gt;0,VLOOKUP(A938,TaskPlan!A:L,5,FALSE),""),""))</f>
        <v/>
      </c>
      <c r="N938" s="1" t="str">
        <f ca="1">IF(ISNA(VLOOKUP(A938,Projects!B:B,1,FALSE)),"","Yes")</f>
        <v/>
      </c>
    </row>
    <row r="939" spans="1:14" hidden="1" outlineLevel="1">
      <c r="A939" s="43" t="s">
        <v>1813</v>
      </c>
      <c r="B939" s="7"/>
      <c r="C939" s="44" t="s">
        <v>1807</v>
      </c>
      <c r="D939" s="7" t="s">
        <v>11</v>
      </c>
      <c r="E939" s="24">
        <v>40554</v>
      </c>
      <c r="F939" s="25">
        <v>5</v>
      </c>
      <c r="G939" s="28" t="s">
        <v>1099</v>
      </c>
      <c r="H939" s="37">
        <f ca="1">IF(AND(B939="",NOT(A939="")),VLOOKUP(A939,TaskPlan!A:M,13,FALSE),"")</f>
        <v>40590</v>
      </c>
      <c r="I939" s="38" t="str">
        <f ca="1">IF(AND(B939="",NOT(A939="")),VLOOKUP(A939,TaskPlan!A:M,12,FALSE),"")</f>
        <v>Closed</v>
      </c>
      <c r="J939" s="39" t="str">
        <f ca="1">IF(AND(B939="",NOT(A939="")),VLOOKUP(A939,TaskPlan!A:L,2,FALSE),"")</f>
        <v>Sreevani</v>
      </c>
      <c r="K939" s="39" t="str">
        <f ca="1">IF(AND(B939="",NOT(A939="")),IF(NOT(LEFT(VLOOKUP(A939,TaskPlan!A:L,3,FALSE),1) = "0"),VLOOKUP(A939,TaskPlan!A:L,3,FALSE),""),"")</f>
        <v/>
      </c>
      <c r="L939" s="55" t="str">
        <f ca="1">IF(AND(B939="",NOT(A939="")),IF(NOT(LEFT(VLOOKUP(A939,TaskPlan!A:L,3,FALSE),1) = "0"),VLOOKUP(A939,TaskPlan!A:M,4,FALSE),""),"")</f>
        <v/>
      </c>
      <c r="M939" s="58" t="str">
        <f ca="1">IF(B939=".",1,IF(AND(B939="",NOT(A939="")),IF(VLOOKUP(A939,TaskPlan!A:L,5,FALSE)&gt;0,VLOOKUP(A939,TaskPlan!A:L,5,FALSE),""),""))</f>
        <v/>
      </c>
      <c r="N939" s="1" t="str">
        <f ca="1">IF(ISNA(VLOOKUP(A939,Projects!B:B,1,FALSE)),"","Yes")</f>
        <v/>
      </c>
    </row>
    <row r="940" spans="1:14" hidden="1" outlineLevel="1">
      <c r="A940" s="43" t="s">
        <v>1814</v>
      </c>
      <c r="B940" s="7"/>
      <c r="C940" s="44" t="s">
        <v>1808</v>
      </c>
      <c r="D940" s="7" t="s">
        <v>11</v>
      </c>
      <c r="E940" s="24">
        <v>40554</v>
      </c>
      <c r="F940" s="25">
        <v>1</v>
      </c>
      <c r="G940" s="28" t="s">
        <v>1099</v>
      </c>
      <c r="H940" s="37">
        <f ca="1">IF(AND(B940="",NOT(A940="")),VLOOKUP(A940,TaskPlan!A:M,13,FALSE),"")</f>
        <v>40590</v>
      </c>
      <c r="I940" s="38" t="str">
        <f ca="1">IF(AND(B940="",NOT(A940="")),VLOOKUP(A940,TaskPlan!A:M,12,FALSE),"")</f>
        <v>In Progress</v>
      </c>
      <c r="J940" s="39" t="str">
        <f ca="1">IF(AND(B940="",NOT(A940="")),VLOOKUP(A940,TaskPlan!A:L,2,FALSE),"")</f>
        <v>Sreevani</v>
      </c>
      <c r="K940" s="39" t="str">
        <f ca="1">IF(AND(B940="",NOT(A940="")),IF(NOT(LEFT(VLOOKUP(A940,TaskPlan!A:L,3,FALSE),1) = "0"),VLOOKUP(A940,TaskPlan!A:L,3,FALSE),""),"")</f>
        <v>3-MED</v>
      </c>
      <c r="L940" s="55">
        <f ca="1">IF(AND(B940="",NOT(A940="")),IF(NOT(LEFT(VLOOKUP(A940,TaskPlan!A:L,3,FALSE),1) = "0"),VLOOKUP(A940,TaskPlan!A:M,4,FALSE),""),"")</f>
        <v>0</v>
      </c>
      <c r="M940" s="58" t="str">
        <f ca="1">IF(B940=".",1,IF(AND(B940="",NOT(A940="")),IF(VLOOKUP(A940,TaskPlan!A:L,5,FALSE)&gt;0,VLOOKUP(A940,TaskPlan!A:L,5,FALSE),""),""))</f>
        <v/>
      </c>
      <c r="N940" s="1" t="str">
        <f ca="1">IF(ISNA(VLOOKUP(A940,Projects!B:B,1,FALSE)),"","Yes")</f>
        <v/>
      </c>
    </row>
    <row r="941" spans="1:14" hidden="1" outlineLevel="1">
      <c r="A941" s="43" t="s">
        <v>1815</v>
      </c>
      <c r="B941" s="7"/>
      <c r="C941" s="44" t="s">
        <v>1809</v>
      </c>
      <c r="D941" s="7" t="s">
        <v>11</v>
      </c>
      <c r="E941" s="24">
        <v>40554</v>
      </c>
      <c r="F941" s="25">
        <v>1</v>
      </c>
      <c r="G941" s="28" t="s">
        <v>1099</v>
      </c>
      <c r="H941" s="37">
        <f ca="1">IF(AND(B941="",NOT(A941="")),VLOOKUP(A941,TaskPlan!A:M,13,FALSE),"")</f>
        <v>40554</v>
      </c>
      <c r="I941" s="38" t="str">
        <f ca="1">IF(AND(B941="",NOT(A941="")),VLOOKUP(A941,TaskPlan!A:M,12,FALSE),"")</f>
        <v>Not Started</v>
      </c>
      <c r="J941" s="39" t="str">
        <f ca="1">IF(AND(B941="",NOT(A941="")),VLOOKUP(A941,TaskPlan!A:L,2,FALSE),"")</f>
        <v>Sreevani</v>
      </c>
      <c r="K941" s="39" t="str">
        <f ca="1">IF(AND(B941="",NOT(A941="")),IF(NOT(LEFT(VLOOKUP(A941,TaskPlan!A:L,3,FALSE),1) = "0"),VLOOKUP(A941,TaskPlan!A:L,3,FALSE),""),"")</f>
        <v>3-MED</v>
      </c>
      <c r="L941" s="55">
        <f ca="1">IF(AND(B941="",NOT(A941="")),IF(NOT(LEFT(VLOOKUP(A941,TaskPlan!A:L,3,FALSE),1) = "0"),VLOOKUP(A941,TaskPlan!A:M,4,FALSE),""),"")</f>
        <v>0</v>
      </c>
      <c r="M941" s="58" t="str">
        <f ca="1">IF(B941=".",1,IF(AND(B941="",NOT(A941="")),IF(VLOOKUP(A941,TaskPlan!A:L,5,FALSE)&gt;0,VLOOKUP(A941,TaskPlan!A:L,5,FALSE),""),""))</f>
        <v/>
      </c>
      <c r="N941" s="1" t="str">
        <f ca="1">IF(ISNA(VLOOKUP(A941,Projects!B:B,1,FALSE)),"","Yes")</f>
        <v/>
      </c>
    </row>
    <row r="942" spans="1:14" hidden="1" outlineLevel="1">
      <c r="A942" s="43" t="s">
        <v>1816</v>
      </c>
      <c r="B942" s="7"/>
      <c r="C942" s="44" t="s">
        <v>1810</v>
      </c>
      <c r="D942" s="7" t="s">
        <v>11</v>
      </c>
      <c r="E942" s="24">
        <v>40554</v>
      </c>
      <c r="F942" s="25">
        <v>1</v>
      </c>
      <c r="G942" s="28" t="s">
        <v>1099</v>
      </c>
      <c r="H942" s="37">
        <f ca="1">IF(AND(B942="",NOT(A942="")),VLOOKUP(A942,TaskPlan!A:M,13,FALSE),"")</f>
        <v>40554</v>
      </c>
      <c r="I942" s="38" t="str">
        <f ca="1">IF(AND(B942="",NOT(A942="")),VLOOKUP(A942,TaskPlan!A:M,12,FALSE),"")</f>
        <v>Not Started</v>
      </c>
      <c r="J942" s="39" t="str">
        <f ca="1">IF(AND(B942="",NOT(A942="")),VLOOKUP(A942,TaskPlan!A:L,2,FALSE),"")</f>
        <v>Sreevani</v>
      </c>
      <c r="K942" s="39" t="str">
        <f ca="1">IF(AND(B942="",NOT(A942="")),IF(NOT(LEFT(VLOOKUP(A942,TaskPlan!A:L,3,FALSE),1) = "0"),VLOOKUP(A942,TaskPlan!A:L,3,FALSE),""),"")</f>
        <v>3-MED</v>
      </c>
      <c r="L942" s="55">
        <f ca="1">IF(AND(B942="",NOT(A942="")),IF(NOT(LEFT(VLOOKUP(A942,TaskPlan!A:L,3,FALSE),1) = "0"),VLOOKUP(A942,TaskPlan!A:M,4,FALSE),""),"")</f>
        <v>0</v>
      </c>
      <c r="M942" s="58" t="str">
        <f ca="1">IF(B942=".",1,IF(AND(B942="",NOT(A942="")),IF(VLOOKUP(A942,TaskPlan!A:L,5,FALSE)&gt;0,VLOOKUP(A942,TaskPlan!A:L,5,FALSE),""),""))</f>
        <v/>
      </c>
      <c r="N942" s="1" t="str">
        <f ca="1">IF(ISNA(VLOOKUP(A942,Projects!B:B,1,FALSE)),"","Yes")</f>
        <v/>
      </c>
    </row>
    <row r="943" spans="1:14" hidden="1" outlineLevel="1">
      <c r="A943" s="43" t="s">
        <v>1817</v>
      </c>
      <c r="B943" s="7"/>
      <c r="C943" s="44" t="s">
        <v>1811</v>
      </c>
      <c r="D943" s="7" t="s">
        <v>11</v>
      </c>
      <c r="E943" s="24">
        <v>40554</v>
      </c>
      <c r="F943" s="25">
        <v>2</v>
      </c>
      <c r="G943" s="28" t="s">
        <v>1099</v>
      </c>
      <c r="H943" s="37">
        <f ca="1">IF(AND(B943="",NOT(A943="")),VLOOKUP(A943,TaskPlan!A:M,13,FALSE),"")</f>
        <v>40554</v>
      </c>
      <c r="I943" s="38" t="str">
        <f ca="1">IF(AND(B943="",NOT(A943="")),VLOOKUP(A943,TaskPlan!A:M,12,FALSE),"")</f>
        <v>Not Started</v>
      </c>
      <c r="J943" s="39" t="str">
        <f ca="1">IF(AND(B943="",NOT(A943="")),VLOOKUP(A943,TaskPlan!A:L,2,FALSE),"")</f>
        <v>Sreevani</v>
      </c>
      <c r="K943" s="39" t="str">
        <f ca="1">IF(AND(B943="",NOT(A943="")),IF(NOT(LEFT(VLOOKUP(A943,TaskPlan!A:L,3,FALSE),1) = "0"),VLOOKUP(A943,TaskPlan!A:L,3,FALSE),""),"")</f>
        <v>3-MED</v>
      </c>
      <c r="L943" s="55">
        <f ca="1">IF(AND(B943="",NOT(A943="")),IF(NOT(LEFT(VLOOKUP(A943,TaskPlan!A:L,3,FALSE),1) = "0"),VLOOKUP(A943,TaskPlan!A:M,4,FALSE),""),"")</f>
        <v>0</v>
      </c>
      <c r="M943" s="58" t="str">
        <f ca="1">IF(B943=".",1,IF(AND(B943="",NOT(A943="")),IF(VLOOKUP(A943,TaskPlan!A:L,5,FALSE)&gt;0,VLOOKUP(A943,TaskPlan!A:L,5,FALSE),""),""))</f>
        <v/>
      </c>
      <c r="N943" s="1" t="str">
        <f ca="1">IF(ISNA(VLOOKUP(A943,Projects!B:B,1,FALSE)),"","Yes")</f>
        <v/>
      </c>
    </row>
    <row r="944" spans="1:14" collapsed="1">
      <c r="M944" s="58" t="str">
        <f ca="1">IF(B944=".",1,IF(AND(B944="",NOT(A944="")),IF(VLOOKUP(A944,TaskPlan!A:L,5,FALSE)&gt;0,VLOOKUP(A944,TaskPlan!A:L,5,FALSE),""),""))</f>
        <v/>
      </c>
      <c r="N944" s="1" t="str">
        <f ca="1">IF(ISNA(VLOOKUP(A944,Projects!B:B,1,FALSE)),"","Yes")</f>
        <v/>
      </c>
    </row>
    <row r="945" spans="1:14" ht="15.75">
      <c r="A945" s="46" t="s">
        <v>1522</v>
      </c>
      <c r="B945" s="1" t="s">
        <v>15</v>
      </c>
      <c r="C945" s="36" t="s">
        <v>1523</v>
      </c>
      <c r="M945" s="58">
        <f ca="1">IF(B945=".",1,IF(AND(B945="",NOT(A945="")),IF(VLOOKUP(A945,TaskPlan!A:L,5,FALSE)&gt;0,VLOOKUP(A945,TaskPlan!A:L,5,FALSE),""),""))</f>
        <v>1</v>
      </c>
      <c r="N945" s="1" t="str">
        <f ca="1">IF(ISNA(VLOOKUP(A945,Projects!B:B,1,FALSE)),"","Yes")</f>
        <v/>
      </c>
    </row>
    <row r="946" spans="1:14" hidden="1" outlineLevel="1">
      <c r="A946" s="46" t="s">
        <v>1524</v>
      </c>
      <c r="B946" s="1" t="s">
        <v>15</v>
      </c>
      <c r="C946" s="45" t="s">
        <v>1525</v>
      </c>
      <c r="M946" s="58">
        <f ca="1">IF(B946=".",1,IF(AND(B946="",NOT(A946="")),IF(VLOOKUP(A946,TaskPlan!A:L,5,FALSE)&gt;0,VLOOKUP(A946,TaskPlan!A:L,5,FALSE),""),""))</f>
        <v>1</v>
      </c>
      <c r="N946" s="1" t="str">
        <f ca="1">IF(ISNA(VLOOKUP(A946,Projects!B:B,1,FALSE)),"","Yes")</f>
        <v/>
      </c>
    </row>
    <row r="947" spans="1:14" hidden="1" outlineLevel="1">
      <c r="A947" s="43" t="s">
        <v>1526</v>
      </c>
      <c r="C947" s="44" t="s">
        <v>1527</v>
      </c>
      <c r="D947" s="7" t="s">
        <v>11</v>
      </c>
      <c r="E947" s="24">
        <v>40438</v>
      </c>
      <c r="F947" s="25">
        <v>5</v>
      </c>
      <c r="G947" s="28" t="s">
        <v>1099</v>
      </c>
      <c r="H947" s="37">
        <f ca="1">IF(AND(B947="",NOT(A947="")),VLOOKUP(A947,TaskPlan!A:M,13,FALSE),"")</f>
        <v>40567</v>
      </c>
      <c r="I947" s="38" t="str">
        <f ca="1">IF(AND(B947="",NOT(A947="")),VLOOKUP(A947,TaskPlan!A:M,12,FALSE),"")</f>
        <v>Closed</v>
      </c>
      <c r="J947" s="39" t="str">
        <f ca="1">IF(AND(B947="",NOT(A947="")),VLOOKUP(A947,TaskPlan!A:L,2,FALSE),"")</f>
        <v>Neil</v>
      </c>
      <c r="K947" s="39" t="str">
        <f ca="1">IF(AND(B947="",NOT(A947="")),IF(NOT(LEFT(VLOOKUP(A947,TaskPlan!A:L,3,FALSE),1) = "0"),VLOOKUP(A947,TaskPlan!A:L,3,FALSE),""),"")</f>
        <v/>
      </c>
      <c r="L947" s="55" t="str">
        <f ca="1">IF(AND(B947="",NOT(A947="")),IF(NOT(LEFT(VLOOKUP(A947,TaskPlan!A:L,3,FALSE),1) = "0"),VLOOKUP(A947,TaskPlan!A:M,4,FALSE),""),"")</f>
        <v/>
      </c>
      <c r="M947" s="58" t="str">
        <f ca="1">IF(B947=".",1,IF(AND(B947="",NOT(A947="")),IF(VLOOKUP(A947,TaskPlan!A:L,5,FALSE)&gt;0,VLOOKUP(A947,TaskPlan!A:L,5,FALSE),""),""))</f>
        <v/>
      </c>
      <c r="N947" s="1" t="str">
        <f ca="1">IF(ISNA(VLOOKUP(A947,Projects!B:B,1,FALSE)),"","Yes")</f>
        <v>Yes</v>
      </c>
    </row>
    <row r="948" spans="1:14" hidden="1" outlineLevel="1">
      <c r="A948" s="43" t="s">
        <v>1529</v>
      </c>
      <c r="C948" s="44" t="s">
        <v>1528</v>
      </c>
      <c r="D948" s="7" t="s">
        <v>11</v>
      </c>
      <c r="E948" s="24">
        <v>40438</v>
      </c>
      <c r="F948" s="25">
        <v>5</v>
      </c>
      <c r="G948" s="28" t="s">
        <v>1099</v>
      </c>
      <c r="H948" s="37">
        <f ca="1">IF(AND(B948="",NOT(A948="")),VLOOKUP(A948,TaskPlan!A:M,13,FALSE),"")</f>
        <v>40553</v>
      </c>
      <c r="I948" s="38" t="str">
        <f ca="1">IF(AND(B948="",NOT(A948="")),VLOOKUP(A948,TaskPlan!A:M,12,FALSE),"")</f>
        <v>Closed</v>
      </c>
      <c r="J948" s="39" t="str">
        <f ca="1">IF(AND(B948="",NOT(A948="")),VLOOKUP(A948,TaskPlan!A:L,2,FALSE),"")</f>
        <v>Sreevani</v>
      </c>
      <c r="K948" s="39" t="str">
        <f ca="1">IF(AND(B948="",NOT(A948="")),IF(NOT(LEFT(VLOOKUP(A948,TaskPlan!A:L,3,FALSE),1) = "0"),VLOOKUP(A948,TaskPlan!A:L,3,FALSE),""),"")</f>
        <v/>
      </c>
      <c r="L948" s="55" t="str">
        <f ca="1">IF(AND(B948="",NOT(A948="")),IF(NOT(LEFT(VLOOKUP(A948,TaskPlan!A:L,3,FALSE),1) = "0"),VLOOKUP(A948,TaskPlan!A:M,4,FALSE),""),"")</f>
        <v/>
      </c>
      <c r="M948" s="58" t="str">
        <f ca="1">IF(B948=".",1,IF(AND(B948="",NOT(A948="")),IF(VLOOKUP(A948,TaskPlan!A:L,5,FALSE)&gt;0,VLOOKUP(A948,TaskPlan!A:L,5,FALSE),""),""))</f>
        <v/>
      </c>
      <c r="N948" s="1" t="str">
        <f ca="1">IF(ISNA(VLOOKUP(A948,Projects!B:B,1,FALSE)),"","Yes")</f>
        <v>Yes</v>
      </c>
    </row>
    <row r="949" spans="1:14" ht="25.5" hidden="1" outlineLevel="1">
      <c r="A949" s="43" t="s">
        <v>1633</v>
      </c>
      <c r="C949" s="44" t="s">
        <v>1634</v>
      </c>
      <c r="D949" s="7" t="s">
        <v>11</v>
      </c>
      <c r="E949" s="24">
        <v>40477</v>
      </c>
      <c r="F949" s="25">
        <v>5</v>
      </c>
      <c r="G949" s="28" t="s">
        <v>1099</v>
      </c>
      <c r="H949" s="37">
        <f ca="1">IF(AND(B949="",NOT(A949="")),VLOOKUP(A949,TaskPlan!A:M,13,FALSE),"")</f>
        <v>40553</v>
      </c>
      <c r="I949" s="38" t="str">
        <f ca="1">IF(AND(B949="",NOT(A949="")),VLOOKUP(A949,TaskPlan!A:M,12,FALSE),"")</f>
        <v>Closed</v>
      </c>
      <c r="J949" s="39" t="str">
        <f ca="1">IF(AND(B949="",NOT(A949="")),VLOOKUP(A949,TaskPlan!A:L,2,FALSE),"")</f>
        <v>Sreevani</v>
      </c>
      <c r="K949" s="39" t="str">
        <f ca="1">IF(AND(B949="",NOT(A949="")),IF(NOT(LEFT(VLOOKUP(A949,TaskPlan!A:L,3,FALSE),1) = "0"),VLOOKUP(A949,TaskPlan!A:L,3,FALSE),""),"")</f>
        <v/>
      </c>
      <c r="L949" s="55" t="str">
        <f ca="1">IF(AND(B949="",NOT(A949="")),IF(NOT(LEFT(VLOOKUP(A949,TaskPlan!A:L,3,FALSE),1) = "0"),VLOOKUP(A949,TaskPlan!A:M,4,FALSE),""),"")</f>
        <v/>
      </c>
      <c r="M949" s="58" t="str">
        <f ca="1">IF(B949=".",1,IF(AND(B949="",NOT(A949="")),IF(VLOOKUP(A949,TaskPlan!A:L,5,FALSE)&gt;0,VLOOKUP(A949,TaskPlan!A:L,5,FALSE),""),""))</f>
        <v/>
      </c>
      <c r="N949" s="1" t="str">
        <f ca="1">IF(ISNA(VLOOKUP(A949,Projects!B:B,1,FALSE)),"","Yes")</f>
        <v>Yes</v>
      </c>
    </row>
    <row r="950" spans="1:14" hidden="1" outlineLevel="1">
      <c r="A950" s="43" t="s">
        <v>1801</v>
      </c>
      <c r="C950" s="44" t="s">
        <v>1802</v>
      </c>
      <c r="D950" s="7" t="s">
        <v>11</v>
      </c>
      <c r="E950" s="24">
        <v>40553</v>
      </c>
      <c r="F950" s="25">
        <v>20</v>
      </c>
      <c r="G950" s="28" t="s">
        <v>1099</v>
      </c>
      <c r="H950" s="37">
        <f ca="1">IF(AND(B950="",NOT(A950="")),VLOOKUP(A950,TaskPlan!A:M,13,FALSE),"")</f>
        <v>40589</v>
      </c>
      <c r="I950" s="38" t="str">
        <f ca="1">IF(AND(B950="",NOT(A950="")),VLOOKUP(A950,TaskPlan!A:M,12,FALSE),"")</f>
        <v>Closed</v>
      </c>
      <c r="J950" s="39" t="str">
        <f ca="1">IF(AND(B950="",NOT(A950="")),VLOOKUP(A950,TaskPlan!A:L,2,FALSE),"")</f>
        <v>Sreevani</v>
      </c>
      <c r="K950" s="39" t="str">
        <f ca="1">IF(AND(B950="",NOT(A950="")),IF(NOT(LEFT(VLOOKUP(A950,TaskPlan!A:L,3,FALSE),1) = "0"),VLOOKUP(A950,TaskPlan!A:L,3,FALSE),""),"")</f>
        <v/>
      </c>
      <c r="L950" s="55" t="str">
        <f ca="1">IF(AND(B950="",NOT(A950="")),IF(NOT(LEFT(VLOOKUP(A950,TaskPlan!A:L,3,FALSE),1) = "0"),VLOOKUP(A950,TaskPlan!A:M,4,FALSE),""),"")</f>
        <v/>
      </c>
      <c r="M950" s="58" t="str">
        <f ca="1">IF(B950=".",1,IF(AND(B950="",NOT(A950="")),IF(VLOOKUP(A950,TaskPlan!A:L,5,FALSE)&gt;0,VLOOKUP(A950,TaskPlan!A:L,5,FALSE),""),""))</f>
        <v/>
      </c>
      <c r="N950" s="1" t="str">
        <f ca="1">IF(ISNA(VLOOKUP(A950,Projects!B:B,1,FALSE)),"","Yes")</f>
        <v/>
      </c>
    </row>
    <row r="951" spans="1:14" hidden="1" outlineLevel="1">
      <c r="A951" s="43" t="s">
        <v>1911</v>
      </c>
      <c r="C951" s="44" t="s">
        <v>1912</v>
      </c>
      <c r="D951" s="7" t="s">
        <v>11</v>
      </c>
      <c r="E951" s="24">
        <v>40589</v>
      </c>
      <c r="F951" s="25">
        <v>2</v>
      </c>
      <c r="G951" s="28" t="s">
        <v>1099</v>
      </c>
      <c r="H951" s="37">
        <f ca="1">IF(AND(B951="",NOT(A951="")),VLOOKUP(A951,TaskPlan!A:M,13,FALSE),"")</f>
        <v>40589</v>
      </c>
      <c r="I951" s="38" t="str">
        <f ca="1">IF(AND(B951="",NOT(A951="")),VLOOKUP(A951,TaskPlan!A:M,12,FALSE),"")</f>
        <v>Not Started</v>
      </c>
      <c r="J951" s="39" t="str">
        <f ca="1">IF(AND(B951="",NOT(A951="")),VLOOKUP(A951,TaskPlan!A:L,2,FALSE),"")</f>
        <v>Neil</v>
      </c>
      <c r="K951" s="39" t="str">
        <f ca="1">IF(AND(B951="",NOT(A951="")),IF(NOT(LEFT(VLOOKUP(A951,TaskPlan!A:L,3,FALSE),1) = "0"),VLOOKUP(A951,TaskPlan!A:L,3,FALSE),""),"")</f>
        <v>3-MED</v>
      </c>
      <c r="L951" s="55">
        <f ca="1">IF(AND(B951="",NOT(A951="")),IF(NOT(LEFT(VLOOKUP(A951,TaskPlan!A:L,3,FALSE),1) = "0"),VLOOKUP(A951,TaskPlan!A:M,4,FALSE),""),"")</f>
        <v>0</v>
      </c>
      <c r="M951" s="58" t="str">
        <f ca="1">IF(B951=".",1,IF(AND(B951="",NOT(A951="")),IF(VLOOKUP(A951,TaskPlan!A:L,5,FALSE)&gt;0,VLOOKUP(A951,TaskPlan!A:L,5,FALSE),""),""))</f>
        <v/>
      </c>
      <c r="N951" s="1" t="str">
        <f ca="1">IF(ISNA(VLOOKUP(A951,Projects!B:B,1,FALSE)),"","Yes")</f>
        <v/>
      </c>
    </row>
    <row r="952" spans="1:14" collapsed="1">
      <c r="H952" s="37" t="str">
        <f ca="1">IF(AND(B952="",NOT(A952="")),VLOOKUP(A952,TaskPlan!A:M,13,FALSE),"")</f>
        <v/>
      </c>
      <c r="I952" s="38" t="str">
        <f ca="1">IF(AND(B952="",NOT(A952="")),VLOOKUP(A952,TaskPlan!A:M,12,FALSE),"")</f>
        <v/>
      </c>
      <c r="J952" s="39" t="str">
        <f ca="1">IF(AND(B952="",NOT(A952="")),VLOOKUP(A952,TaskPlan!A:L,2,FALSE),"")</f>
        <v/>
      </c>
      <c r="K952" s="39" t="str">
        <f ca="1">IF(AND(B952="",NOT(A952="")),IF(NOT(LEFT(VLOOKUP(A952,TaskPlan!A:L,3,FALSE),1) = "0"),VLOOKUP(A952,TaskPlan!A:L,3,FALSE),""),"")</f>
        <v/>
      </c>
      <c r="L952" s="55" t="str">
        <f ca="1">IF(AND(B952="",NOT(A952="")),IF(NOT(LEFT(VLOOKUP(A952,TaskPlan!A:L,3,FALSE),1) = "0"),VLOOKUP(A952,TaskPlan!A:M,4,FALSE),""),"")</f>
        <v/>
      </c>
      <c r="M952" s="58" t="str">
        <f ca="1">IF(B952=".",1,IF(AND(B952="",NOT(A952="")),IF(VLOOKUP(A952,TaskPlan!A:L,5,FALSE)&gt;0,VLOOKUP(A952,TaskPlan!A:L,5,FALSE),""),""))</f>
        <v/>
      </c>
      <c r="N952" s="1" t="str">
        <f ca="1">IF(ISNA(VLOOKUP(A952,Projects!B:B,1,FALSE)),"","Yes")</f>
        <v/>
      </c>
    </row>
    <row r="953" spans="1:14" ht="15.75">
      <c r="A953" s="46" t="s">
        <v>1563</v>
      </c>
      <c r="B953" s="1" t="s">
        <v>15</v>
      </c>
      <c r="C953" s="36" t="s">
        <v>1564</v>
      </c>
      <c r="H953" s="37" t="str">
        <f ca="1">IF(AND(B953="",NOT(A953="")),VLOOKUP(A953,TaskPlan!A:M,13,FALSE),"")</f>
        <v/>
      </c>
      <c r="I953" s="38" t="str">
        <f ca="1">IF(AND(B953="",NOT(A953="")),VLOOKUP(A953,TaskPlan!A:M,12,FALSE),"")</f>
        <v/>
      </c>
      <c r="J953" s="39" t="str">
        <f ca="1">IF(AND(B953="",NOT(A953="")),VLOOKUP(A953,TaskPlan!A:L,2,FALSE),"")</f>
        <v/>
      </c>
      <c r="K953" s="39" t="str">
        <f ca="1">IF(AND(B953="",NOT(A953="")),IF(NOT(LEFT(VLOOKUP(A953,TaskPlan!A:L,3,FALSE),1) = "0"),VLOOKUP(A953,TaskPlan!A:L,3,FALSE),""),"")</f>
        <v/>
      </c>
      <c r="L953" s="55" t="str">
        <f ca="1">IF(AND(B953="",NOT(A953="")),IF(NOT(LEFT(VLOOKUP(A953,TaskPlan!A:L,3,FALSE),1) = "0"),VLOOKUP(A953,TaskPlan!A:M,4,FALSE),""),"")</f>
        <v/>
      </c>
      <c r="M953" s="58">
        <f ca="1">IF(B953=".",1,IF(AND(B953="",NOT(A953="")),IF(VLOOKUP(A953,TaskPlan!A:L,5,FALSE)&gt;0,VLOOKUP(A953,TaskPlan!A:L,5,FALSE),""),""))</f>
        <v>1</v>
      </c>
      <c r="N953" s="1" t="str">
        <f ca="1">IF(ISNA(VLOOKUP(A953,Projects!B:B,1,FALSE)),"","Yes")</f>
        <v/>
      </c>
    </row>
    <row r="954" spans="1:14" hidden="1" outlineLevel="1">
      <c r="A954" s="46" t="s">
        <v>1565</v>
      </c>
      <c r="C954" s="42" t="s">
        <v>1566</v>
      </c>
      <c r="D954" s="1" t="s">
        <v>1570</v>
      </c>
      <c r="E954" s="24">
        <v>40452</v>
      </c>
      <c r="F954" s="25">
        <v>1</v>
      </c>
      <c r="G954" s="28" t="s">
        <v>1099</v>
      </c>
      <c r="H954" s="37">
        <f ca="1">IF(AND(B954="",NOT(A954="")),VLOOKUP(A954,TaskPlan!A:M,13,FALSE),"")</f>
        <v>40452</v>
      </c>
      <c r="I954" s="38" t="str">
        <f ca="1">IF(AND(B954="",NOT(A954="")),VLOOKUP(A954,TaskPlan!A:M,12,FALSE),"")</f>
        <v>Tentative</v>
      </c>
      <c r="J954" s="39" t="str">
        <f ca="1">IF(AND(B954="",NOT(A954="")),VLOOKUP(A954,TaskPlan!A:L,2,FALSE),"")</f>
        <v>Unassigned</v>
      </c>
      <c r="K954" s="39" t="str">
        <f ca="1">IF(AND(B954="",NOT(A954="")),IF(NOT(LEFT(VLOOKUP(A954,TaskPlan!A:L,3,FALSE),1) = "0"),VLOOKUP(A954,TaskPlan!A:L,3,FALSE),""),"")</f>
        <v>2-LOW</v>
      </c>
      <c r="L954" s="55">
        <f ca="1">IF(AND(B954="",NOT(A954="")),IF(NOT(LEFT(VLOOKUP(A954,TaskPlan!A:L,3,FALSE),1) = "0"),VLOOKUP(A954,TaskPlan!A:M,4,FALSE),""),"")</f>
        <v>0</v>
      </c>
      <c r="M954" s="58" t="str">
        <f ca="1">IF(B954=".",1,IF(AND(B954="",NOT(A954="")),IF(VLOOKUP(A954,TaskPlan!A:L,5,FALSE)&gt;0,VLOOKUP(A954,TaskPlan!A:L,5,FALSE),""),""))</f>
        <v/>
      </c>
      <c r="N954" s="1" t="str">
        <f ca="1">IF(ISNA(VLOOKUP(A954,Projects!B:B,1,FALSE)),"","Yes")</f>
        <v/>
      </c>
    </row>
    <row r="955" spans="1:14" hidden="1" outlineLevel="1">
      <c r="H955" s="37" t="str">
        <f ca="1">IF(AND(B955="",NOT(A955="")),VLOOKUP(A955,TaskPlan!A:M,13,FALSE),"")</f>
        <v/>
      </c>
      <c r="I955" s="38" t="str">
        <f ca="1">IF(AND(B955="",NOT(A955="")),VLOOKUP(A955,TaskPlan!A:M,12,FALSE),"")</f>
        <v/>
      </c>
      <c r="J955" s="39" t="str">
        <f ca="1">IF(AND(B955="",NOT(A955="")),VLOOKUP(A955,TaskPlan!A:L,2,FALSE),"")</f>
        <v/>
      </c>
      <c r="K955" s="39" t="str">
        <f ca="1">IF(AND(B955="",NOT(A955="")),IF(NOT(LEFT(VLOOKUP(A955,TaskPlan!A:L,3,FALSE),1) = "0"),VLOOKUP(A955,TaskPlan!A:L,3,FALSE),""),"")</f>
        <v/>
      </c>
      <c r="L955" s="55" t="str">
        <f ca="1">IF(AND(B955="",NOT(A955="")),IF(NOT(LEFT(VLOOKUP(A955,TaskPlan!A:L,3,FALSE),1) = "0"),VLOOKUP(A955,TaskPlan!A:M,4,FALSE),""),"")</f>
        <v/>
      </c>
      <c r="M955" s="58" t="str">
        <f ca="1">IF(B955=".",1,IF(AND(B955="",NOT(A955="")),IF(VLOOKUP(A955,TaskPlan!A:L,5,FALSE)&gt;0,VLOOKUP(A955,TaskPlan!A:L,5,FALSE),""),""))</f>
        <v/>
      </c>
      <c r="N955" s="1" t="str">
        <f ca="1">IF(ISNA(VLOOKUP(A955,Projects!B:B,1,FALSE)),"","Yes")</f>
        <v/>
      </c>
    </row>
    <row r="956" spans="1:14" collapsed="1">
      <c r="H956" s="37" t="str">
        <f ca="1">IF(AND(B956="",NOT(A956="")),VLOOKUP(A956,TaskPlan!A:M,13,FALSE),"")</f>
        <v/>
      </c>
      <c r="I956" s="38" t="str">
        <f ca="1">IF(AND(B956="",NOT(A956="")),VLOOKUP(A956,TaskPlan!A:M,12,FALSE),"")</f>
        <v/>
      </c>
      <c r="J956" s="39" t="str">
        <f ca="1">IF(AND(B956="",NOT(A956="")),VLOOKUP(A956,TaskPlan!A:L,2,FALSE),"")</f>
        <v/>
      </c>
      <c r="K956" s="39" t="str">
        <f ca="1">IF(AND(B956="",NOT(A956="")),IF(NOT(LEFT(VLOOKUP(A956,TaskPlan!A:L,3,FALSE),1) = "0"),VLOOKUP(A956,TaskPlan!A:L,3,FALSE),""),"")</f>
        <v/>
      </c>
      <c r="L956" s="55" t="str">
        <f ca="1">IF(AND(B956="",NOT(A956="")),IF(NOT(LEFT(VLOOKUP(A956,TaskPlan!A:L,3,FALSE),1) = "0"),VLOOKUP(A956,TaskPlan!A:M,4,FALSE),""),"")</f>
        <v/>
      </c>
      <c r="M956" s="58" t="str">
        <f ca="1">IF(B956=".",1,IF(AND(B956="",NOT(A956="")),IF(VLOOKUP(A956,TaskPlan!A:L,5,FALSE)&gt;0,VLOOKUP(A956,TaskPlan!A:L,5,FALSE),""),""))</f>
        <v/>
      </c>
      <c r="N956" s="1" t="str">
        <f ca="1">IF(ISNA(VLOOKUP(A956,Projects!B:B,1,FALSE)),"","Yes")</f>
        <v/>
      </c>
    </row>
    <row r="957" spans="1:14" ht="15.75">
      <c r="A957" s="46" t="s">
        <v>1567</v>
      </c>
      <c r="B957" s="1" t="s">
        <v>15</v>
      </c>
      <c r="C957" s="36" t="s">
        <v>1568</v>
      </c>
      <c r="H957" s="37" t="str">
        <f ca="1">IF(AND(B957="",NOT(A957="")),VLOOKUP(A957,TaskPlan!A:M,13,FALSE),"")</f>
        <v/>
      </c>
      <c r="I957" s="38" t="str">
        <f ca="1">IF(AND(B957="",NOT(A957="")),VLOOKUP(A957,TaskPlan!A:M,12,FALSE),"")</f>
        <v/>
      </c>
      <c r="J957" s="39" t="str">
        <f ca="1">IF(AND(B957="",NOT(A957="")),VLOOKUP(A957,TaskPlan!A:L,2,FALSE),"")</f>
        <v/>
      </c>
      <c r="K957" s="39" t="str">
        <f ca="1">IF(AND(B957="",NOT(A957="")),IF(NOT(LEFT(VLOOKUP(A957,TaskPlan!A:L,3,FALSE),1) = "0"),VLOOKUP(A957,TaskPlan!A:L,3,FALSE),""),"")</f>
        <v/>
      </c>
      <c r="L957" s="55" t="str">
        <f ca="1">IF(AND(B957="",NOT(A957="")),IF(NOT(LEFT(VLOOKUP(A957,TaskPlan!A:L,3,FALSE),1) = "0"),VLOOKUP(A957,TaskPlan!A:M,4,FALSE),""),"")</f>
        <v/>
      </c>
      <c r="M957" s="58">
        <f ca="1">IF(B957=".",1,IF(AND(B957="",NOT(A957="")),IF(VLOOKUP(A957,TaskPlan!A:L,5,FALSE)&gt;0,VLOOKUP(A957,TaskPlan!A:L,5,FALSE),""),""))</f>
        <v>1</v>
      </c>
      <c r="N957" s="1" t="str">
        <f ca="1">IF(ISNA(VLOOKUP(A957,Projects!B:B,1,FALSE)),"","Yes")</f>
        <v/>
      </c>
    </row>
    <row r="958" spans="1:14" hidden="1" outlineLevel="1">
      <c r="A958" s="46" t="s">
        <v>1569</v>
      </c>
      <c r="C958" s="42" t="s">
        <v>988</v>
      </c>
      <c r="D958" s="1" t="s">
        <v>1570</v>
      </c>
      <c r="E958" s="24">
        <v>40452</v>
      </c>
      <c r="F958" s="25">
        <v>1</v>
      </c>
      <c r="G958" s="28" t="s">
        <v>1099</v>
      </c>
      <c r="H958" s="37">
        <f ca="1">IF(AND(B958="",NOT(A958="")),VLOOKUP(A958,TaskPlan!A:M,13,FALSE),"")</f>
        <v>40452</v>
      </c>
      <c r="I958" s="38" t="str">
        <f ca="1">IF(AND(B958="",NOT(A958="")),VLOOKUP(A958,TaskPlan!A:M,12,FALSE),"")</f>
        <v>Tentative</v>
      </c>
      <c r="J958" s="39" t="str">
        <f ca="1">IF(AND(B958="",NOT(A958="")),VLOOKUP(A958,TaskPlan!A:L,2,FALSE),"")</f>
        <v>Unassigned</v>
      </c>
      <c r="K958" s="39" t="str">
        <f ca="1">IF(AND(B958="",NOT(A958="")),IF(NOT(LEFT(VLOOKUP(A958,TaskPlan!A:L,3,FALSE),1) = "0"),VLOOKUP(A958,TaskPlan!A:L,3,FALSE),""),"")</f>
        <v>2-LOW</v>
      </c>
      <c r="L958" s="55">
        <f ca="1">IF(AND(B958="",NOT(A958="")),IF(NOT(LEFT(VLOOKUP(A958,TaskPlan!A:L,3,FALSE),1) = "0"),VLOOKUP(A958,TaskPlan!A:M,4,FALSE),""),"")</f>
        <v>0</v>
      </c>
      <c r="M958" s="58" t="str">
        <f ca="1">IF(B958=".",1,IF(AND(B958="",NOT(A958="")),IF(VLOOKUP(A958,TaskPlan!A:L,5,FALSE)&gt;0,VLOOKUP(A958,TaskPlan!A:L,5,FALSE),""),""))</f>
        <v/>
      </c>
      <c r="N958" s="1" t="str">
        <f ca="1">IF(ISNA(VLOOKUP(A958,Projects!B:B,1,FALSE)),"","Yes")</f>
        <v/>
      </c>
    </row>
    <row r="959" spans="1:14" hidden="1" outlineLevel="1">
      <c r="H959" s="37" t="str">
        <f ca="1">IF(AND(B959="",NOT(A959="")),VLOOKUP(A959,TaskPlan!A:M,13,FALSE),"")</f>
        <v/>
      </c>
      <c r="I959" s="38" t="str">
        <f ca="1">IF(AND(B959="",NOT(A959="")),VLOOKUP(A959,TaskPlan!A:M,12,FALSE),"")</f>
        <v/>
      </c>
      <c r="J959" s="39" t="str">
        <f ca="1">IF(AND(B959="",NOT(A959="")),VLOOKUP(A959,TaskPlan!A:L,2,FALSE),"")</f>
        <v/>
      </c>
      <c r="K959" s="39" t="str">
        <f ca="1">IF(AND(B959="",NOT(A959="")),IF(NOT(LEFT(VLOOKUP(A959,TaskPlan!A:L,3,FALSE),1) = "0"),VLOOKUP(A959,TaskPlan!A:L,3,FALSE),""),"")</f>
        <v/>
      </c>
      <c r="L959" s="55" t="str">
        <f ca="1">IF(AND(B959="",NOT(A959="")),IF(NOT(LEFT(VLOOKUP(A959,TaskPlan!A:L,3,FALSE),1) = "0"),VLOOKUP(A959,TaskPlan!A:M,4,FALSE),""),"")</f>
        <v/>
      </c>
      <c r="M959" s="58" t="str">
        <f ca="1">IF(B959=".",1,IF(AND(B959="",NOT(A959="")),IF(VLOOKUP(A959,TaskPlan!A:L,5,FALSE)&gt;0,VLOOKUP(A959,TaskPlan!A:L,5,FALSE),""),""))</f>
        <v/>
      </c>
      <c r="N959" s="1" t="str">
        <f ca="1">IF(ISNA(VLOOKUP(A959,Projects!B:B,1,FALSE)),"","Yes")</f>
        <v/>
      </c>
    </row>
    <row r="960" spans="1:14" collapsed="1">
      <c r="H960" s="37" t="str">
        <f ca="1">IF(AND(B960="",NOT(A960="")),VLOOKUP(A960,TaskPlan!A:M,13,FALSE),"")</f>
        <v/>
      </c>
      <c r="I960" s="38" t="str">
        <f ca="1">IF(AND(B960="",NOT(A960="")),VLOOKUP(A960,TaskPlan!A:M,12,FALSE),"")</f>
        <v/>
      </c>
      <c r="J960" s="39" t="str">
        <f ca="1">IF(AND(B960="",NOT(A960="")),VLOOKUP(A960,TaskPlan!A:L,2,FALSE),"")</f>
        <v/>
      </c>
      <c r="K960" s="39" t="str">
        <f ca="1">IF(AND(B960="",NOT(A960="")),IF(NOT(LEFT(VLOOKUP(A960,TaskPlan!A:L,3,FALSE),1) = "0"),VLOOKUP(A960,TaskPlan!A:L,3,FALSE),""),"")</f>
        <v/>
      </c>
      <c r="L960" s="55" t="str">
        <f ca="1">IF(AND(B960="",NOT(A960="")),IF(NOT(LEFT(VLOOKUP(A960,TaskPlan!A:L,3,FALSE),1) = "0"),VLOOKUP(A960,TaskPlan!A:M,4,FALSE),""),"")</f>
        <v/>
      </c>
      <c r="M960" s="58" t="str">
        <f ca="1">IF(B960=".",1,IF(AND(B960="",NOT(A960="")),IF(VLOOKUP(A960,TaskPlan!A:L,5,FALSE)&gt;0,VLOOKUP(A960,TaskPlan!A:L,5,FALSE),""),""))</f>
        <v/>
      </c>
      <c r="N960" s="1" t="str">
        <f ca="1">IF(ISNA(VLOOKUP(A960,Projects!B:B,1,FALSE)),"","Yes")</f>
        <v/>
      </c>
    </row>
    <row r="961" spans="1:14" ht="15.75">
      <c r="A961" s="46" t="s">
        <v>1588</v>
      </c>
      <c r="B961" s="1" t="s">
        <v>15</v>
      </c>
      <c r="C961" s="36" t="s">
        <v>1587</v>
      </c>
      <c r="H961" s="37" t="str">
        <f ca="1">IF(AND(B961="",NOT(A961="")),VLOOKUP(A961,TaskPlan!A:M,13,FALSE),"")</f>
        <v/>
      </c>
      <c r="I961" s="38" t="str">
        <f ca="1">IF(AND(B961="",NOT(A961="")),VLOOKUP(A961,TaskPlan!A:M,12,FALSE),"")</f>
        <v/>
      </c>
      <c r="J961" s="39" t="str">
        <f ca="1">IF(AND(B961="",NOT(A961="")),VLOOKUP(A961,TaskPlan!A:L,2,FALSE),"")</f>
        <v/>
      </c>
      <c r="K961" s="39" t="str">
        <f ca="1">IF(AND(B961="",NOT(A961="")),IF(NOT(LEFT(VLOOKUP(A961,TaskPlan!A:L,3,FALSE),1) = "0"),VLOOKUP(A961,TaskPlan!A:L,3,FALSE),""),"")</f>
        <v/>
      </c>
      <c r="L961" s="55" t="str">
        <f ca="1">IF(AND(B961="",NOT(A961="")),IF(NOT(LEFT(VLOOKUP(A961,TaskPlan!A:L,3,FALSE),1) = "0"),VLOOKUP(A961,TaskPlan!A:M,4,FALSE),""),"")</f>
        <v/>
      </c>
      <c r="M961" s="58">
        <f ca="1">IF(B961=".",1,IF(AND(B961="",NOT(A961="")),IF(VLOOKUP(A961,TaskPlan!A:L,5,FALSE)&gt;0,VLOOKUP(A961,TaskPlan!A:L,5,FALSE),""),""))</f>
        <v>1</v>
      </c>
      <c r="N961" s="1" t="str">
        <f ca="1">IF(ISNA(VLOOKUP(A961,Projects!B:B,1,FALSE)),"","Yes")</f>
        <v/>
      </c>
    </row>
    <row r="962" spans="1:14" hidden="1" outlineLevel="1">
      <c r="B962" s="1" t="s">
        <v>15</v>
      </c>
      <c r="C962" s="82" t="s">
        <v>1590</v>
      </c>
      <c r="H962" s="37" t="str">
        <f ca="1">IF(AND(B962="",NOT(A962="")),VLOOKUP(A962,TaskPlan!A:M,13,FALSE),"")</f>
        <v/>
      </c>
      <c r="I962" s="38" t="str">
        <f ca="1">IF(AND(B962="",NOT(A962="")),VLOOKUP(A962,TaskPlan!A:M,12,FALSE),"")</f>
        <v/>
      </c>
      <c r="J962" s="39" t="str">
        <f ca="1">IF(AND(B962="",NOT(A962="")),VLOOKUP(A962,TaskPlan!A:L,2,FALSE),"")</f>
        <v/>
      </c>
      <c r="K962" s="39" t="str">
        <f ca="1">IF(AND(B962="",NOT(A962="")),IF(NOT(LEFT(VLOOKUP(A962,TaskPlan!A:L,3,FALSE),1) = "0"),VLOOKUP(A962,TaskPlan!A:L,3,FALSE),""),"")</f>
        <v/>
      </c>
      <c r="L962" s="55" t="str">
        <f ca="1">IF(AND(B962="",NOT(A962="")),IF(NOT(LEFT(VLOOKUP(A962,TaskPlan!A:L,3,FALSE),1) = "0"),VLOOKUP(A962,TaskPlan!A:M,4,FALSE),""),"")</f>
        <v/>
      </c>
      <c r="M962" s="58">
        <f ca="1">IF(B962=".",1,IF(AND(B962="",NOT(A962="")),IF(VLOOKUP(A962,TaskPlan!A:L,5,FALSE)&gt;0,VLOOKUP(A962,TaskPlan!A:L,5,FALSE),""),""))</f>
        <v>1</v>
      </c>
      <c r="N962" s="1" t="str">
        <f ca="1">IF(ISNA(VLOOKUP(A962,Projects!B:B,1,FALSE)),"","Yes")</f>
        <v/>
      </c>
    </row>
    <row r="963" spans="1:14" hidden="1" outlineLevel="1">
      <c r="A963" s="46" t="s">
        <v>1589</v>
      </c>
      <c r="B963" s="7" t="s">
        <v>15</v>
      </c>
      <c r="C963" s="45" t="s">
        <v>1604</v>
      </c>
      <c r="H963" s="37" t="str">
        <f ca="1">IF(AND(B963="",NOT(A963="")),VLOOKUP(A963,TaskPlan!A:M,13,FALSE),"")</f>
        <v/>
      </c>
      <c r="I963" s="38" t="str">
        <f ca="1">IF(AND(B963="",NOT(A963="")),VLOOKUP(A963,TaskPlan!A:M,12,FALSE),"")</f>
        <v/>
      </c>
      <c r="J963" s="39" t="str">
        <f ca="1">IF(AND(B963="",NOT(A963="")),VLOOKUP(A963,TaskPlan!A:L,2,FALSE),"")</f>
        <v/>
      </c>
      <c r="K963" s="39" t="str">
        <f ca="1">IF(AND(B963="",NOT(A963="")),IF(NOT(LEFT(VLOOKUP(A963,TaskPlan!A:L,3,FALSE),1) = "0"),VLOOKUP(A963,TaskPlan!A:L,3,FALSE),""),"")</f>
        <v/>
      </c>
      <c r="L963" s="55" t="str">
        <f ca="1">IF(AND(B963="",NOT(A963="")),IF(NOT(LEFT(VLOOKUP(A963,TaskPlan!A:L,3,FALSE),1) = "0"),VLOOKUP(A963,TaskPlan!A:M,4,FALSE),""),"")</f>
        <v/>
      </c>
      <c r="M963" s="58">
        <f ca="1">IF(B963=".",1,IF(AND(B963="",NOT(A963="")),IF(VLOOKUP(A963,TaskPlan!A:L,5,FALSE)&gt;0,VLOOKUP(A963,TaskPlan!A:L,5,FALSE),""),""))</f>
        <v>1</v>
      </c>
      <c r="N963" s="1" t="str">
        <f ca="1">IF(ISNA(VLOOKUP(A963,Projects!B:B,1,FALSE)),"","Yes")</f>
        <v/>
      </c>
    </row>
    <row r="964" spans="1:14" hidden="1" outlineLevel="1">
      <c r="A964" s="43" t="s">
        <v>1606</v>
      </c>
      <c r="C964" s="42" t="s">
        <v>1566</v>
      </c>
      <c r="D964" s="7" t="s">
        <v>759</v>
      </c>
      <c r="E964" s="24">
        <v>40466</v>
      </c>
      <c r="F964" s="25">
        <v>5</v>
      </c>
      <c r="G964" s="28" t="s">
        <v>1099</v>
      </c>
      <c r="H964" s="37">
        <f ca="1">IF(AND(B964="",NOT(A964="")),VLOOKUP(A964,TaskPlan!A:M,13,FALSE),"")</f>
        <v>40490</v>
      </c>
      <c r="I964" s="38" t="str">
        <f ca="1">IF(AND(B964="",NOT(A964="")),VLOOKUP(A964,TaskPlan!A:M,12,FALSE),"")</f>
        <v>Not Started</v>
      </c>
      <c r="J964" s="39" t="str">
        <f ca="1">IF(AND(B964="",NOT(A964="")),VLOOKUP(A964,TaskPlan!A:L,2,FALSE),"")</f>
        <v>Unassigned</v>
      </c>
      <c r="K964" s="39" t="str">
        <f ca="1">IF(AND(B964="",NOT(A964="")),IF(NOT(LEFT(VLOOKUP(A964,TaskPlan!A:L,3,FALSE),1) = "0"),VLOOKUP(A964,TaskPlan!A:L,3,FALSE),""),"")</f>
        <v>3-MED</v>
      </c>
      <c r="L964" s="55">
        <f ca="1">IF(AND(B964="",NOT(A964="")),IF(NOT(LEFT(VLOOKUP(A964,TaskPlan!A:L,3,FALSE),1) = "0"),VLOOKUP(A964,TaskPlan!A:M,4,FALSE),""),"")</f>
        <v>0</v>
      </c>
      <c r="M964" s="58" t="str">
        <f ca="1">IF(B964=".",1,IF(AND(B964="",NOT(A964="")),IF(VLOOKUP(A964,TaskPlan!A:L,5,FALSE)&gt;0,VLOOKUP(A964,TaskPlan!A:L,5,FALSE),""),""))</f>
        <v/>
      </c>
      <c r="N964" s="1" t="str">
        <f ca="1">IF(ISNA(VLOOKUP(A964,Projects!B:B,1,FALSE)),"","Yes")</f>
        <v/>
      </c>
    </row>
    <row r="965" spans="1:14" hidden="1" outlineLevel="1">
      <c r="H965" s="37" t="str">
        <f ca="1">IF(AND(B965="",NOT(A965="")),VLOOKUP(A965,TaskPlan!A:M,13,FALSE),"")</f>
        <v/>
      </c>
      <c r="I965" s="38" t="str">
        <f ca="1">IF(AND(B965="",NOT(A965="")),VLOOKUP(A965,TaskPlan!A:M,12,FALSE),"")</f>
        <v/>
      </c>
      <c r="J965" s="39" t="str">
        <f ca="1">IF(AND(B965="",NOT(A965="")),VLOOKUP(A965,TaskPlan!A:L,2,FALSE),"")</f>
        <v/>
      </c>
      <c r="K965" s="39" t="str">
        <f ca="1">IF(AND(B965="",NOT(A965="")),IF(NOT(LEFT(VLOOKUP(A965,TaskPlan!A:L,3,FALSE),1) = "0"),VLOOKUP(A965,TaskPlan!A:L,3,FALSE),""),"")</f>
        <v/>
      </c>
      <c r="L965" s="55" t="str">
        <f ca="1">IF(AND(B965="",NOT(A965="")),IF(NOT(LEFT(VLOOKUP(A965,TaskPlan!A:L,3,FALSE),1) = "0"),VLOOKUP(A965,TaskPlan!A:M,4,FALSE),""),"")</f>
        <v/>
      </c>
      <c r="M965" s="58" t="str">
        <f ca="1">IF(B965=".",1,IF(AND(B965="",NOT(A965="")),IF(VLOOKUP(A965,TaskPlan!A:L,5,FALSE)&gt;0,VLOOKUP(A965,TaskPlan!A:L,5,FALSE),""),""))</f>
        <v/>
      </c>
      <c r="N965" s="1" t="str">
        <f ca="1">IF(ISNA(VLOOKUP(A965,Projects!B:B,1,FALSE)),"","Yes")</f>
        <v/>
      </c>
    </row>
    <row r="966" spans="1:14" collapsed="1">
      <c r="H966" s="37" t="str">
        <f ca="1">IF(AND(B966="",NOT(A966="")),VLOOKUP(A966,TaskPlan!A:M,13,FALSE),"")</f>
        <v/>
      </c>
      <c r="I966" s="38" t="str">
        <f ca="1">IF(AND(B966="",NOT(A966="")),VLOOKUP(A966,TaskPlan!A:M,12,FALSE),"")</f>
        <v/>
      </c>
      <c r="J966" s="39" t="str">
        <f ca="1">IF(AND(B966="",NOT(A966="")),VLOOKUP(A966,TaskPlan!A:L,2,FALSE),"")</f>
        <v/>
      </c>
      <c r="K966" s="39" t="str">
        <f ca="1">IF(AND(B966="",NOT(A966="")),IF(NOT(LEFT(VLOOKUP(A966,TaskPlan!A:L,3,FALSE),1) = "0"),VLOOKUP(A966,TaskPlan!A:L,3,FALSE),""),"")</f>
        <v/>
      </c>
      <c r="L966" s="55" t="str">
        <f ca="1">IF(AND(B966="",NOT(A966="")),IF(NOT(LEFT(VLOOKUP(A966,TaskPlan!A:L,3,FALSE),1) = "0"),VLOOKUP(A966,TaskPlan!A:M,4,FALSE),""),"")</f>
        <v/>
      </c>
      <c r="M966" s="58" t="str">
        <f ca="1">IF(B966=".",1,IF(AND(B966="",NOT(A966="")),IF(VLOOKUP(A966,TaskPlan!A:L,5,FALSE)&gt;0,VLOOKUP(A966,TaskPlan!A:L,5,FALSE),""),""))</f>
        <v/>
      </c>
      <c r="N966" s="1" t="str">
        <f ca="1">IF(ISNA(VLOOKUP(A966,Projects!B:B,1,FALSE)),"","Yes")</f>
        <v/>
      </c>
    </row>
    <row r="967" spans="1:14" ht="15.75">
      <c r="A967" s="46" t="s">
        <v>1602</v>
      </c>
      <c r="B967" s="1" t="s">
        <v>15</v>
      </c>
      <c r="C967" s="36" t="s">
        <v>1601</v>
      </c>
      <c r="H967" s="37" t="str">
        <f ca="1">IF(AND(B967="",NOT(A967="")),VLOOKUP(A967,TaskPlan!A:M,13,FALSE),"")</f>
        <v/>
      </c>
      <c r="I967" s="38" t="str">
        <f ca="1">IF(AND(B967="",NOT(A967="")),VLOOKUP(A967,TaskPlan!A:M,12,FALSE),"")</f>
        <v/>
      </c>
      <c r="J967" s="39" t="str">
        <f ca="1">IF(AND(B967="",NOT(A967="")),VLOOKUP(A967,TaskPlan!A:L,2,FALSE),"")</f>
        <v/>
      </c>
      <c r="K967" s="39" t="str">
        <f ca="1">IF(AND(B967="",NOT(A967="")),IF(NOT(LEFT(VLOOKUP(A967,TaskPlan!A:L,3,FALSE),1) = "0"),VLOOKUP(A967,TaskPlan!A:L,3,FALSE),""),"")</f>
        <v/>
      </c>
      <c r="L967" s="55" t="str">
        <f ca="1">IF(AND(B967="",NOT(A967="")),IF(NOT(LEFT(VLOOKUP(A967,TaskPlan!A:L,3,FALSE),1) = "0"),VLOOKUP(A967,TaskPlan!A:M,4,FALSE),""),"")</f>
        <v/>
      </c>
      <c r="M967" s="58">
        <f ca="1">IF(B967=".",1,IF(AND(B967="",NOT(A967="")),IF(VLOOKUP(A967,TaskPlan!A:L,5,FALSE)&gt;0,VLOOKUP(A967,TaskPlan!A:L,5,FALSE),""),""))</f>
        <v>1</v>
      </c>
      <c r="N967" s="1" t="str">
        <f ca="1">IF(ISNA(VLOOKUP(A967,Projects!B:B,1,FALSE)),"","Yes")</f>
        <v/>
      </c>
    </row>
    <row r="968" spans="1:14" hidden="1" outlineLevel="1">
      <c r="A968" s="46" t="s">
        <v>1603</v>
      </c>
      <c r="B968" s="1" t="s">
        <v>15</v>
      </c>
      <c r="C968" s="45" t="s">
        <v>1604</v>
      </c>
      <c r="H968" s="37" t="str">
        <f ca="1">IF(AND(B968="",NOT(A968="")),VLOOKUP(A968,TaskPlan!A:M,13,FALSE),"")</f>
        <v/>
      </c>
      <c r="I968" s="38" t="str">
        <f ca="1">IF(AND(B968="",NOT(A968="")),VLOOKUP(A968,TaskPlan!A:M,12,FALSE),"")</f>
        <v/>
      </c>
      <c r="J968" s="39" t="str">
        <f ca="1">IF(AND(B968="",NOT(A968="")),VLOOKUP(A968,TaskPlan!A:L,2,FALSE),"")</f>
        <v/>
      </c>
      <c r="K968" s="39" t="str">
        <f ca="1">IF(AND(B968="",NOT(A968="")),IF(NOT(LEFT(VLOOKUP(A968,TaskPlan!A:L,3,FALSE),1) = "0"),VLOOKUP(A968,TaskPlan!A:L,3,FALSE),""),"")</f>
        <v/>
      </c>
      <c r="L968" s="55" t="str">
        <f ca="1">IF(AND(B968="",NOT(A968="")),IF(NOT(LEFT(VLOOKUP(A968,TaskPlan!A:L,3,FALSE),1) = "0"),VLOOKUP(A968,TaskPlan!A:M,4,FALSE),""),"")</f>
        <v/>
      </c>
      <c r="M968" s="58">
        <f ca="1">IF(B968=".",1,IF(AND(B968="",NOT(A968="")),IF(VLOOKUP(A968,TaskPlan!A:L,5,FALSE)&gt;0,VLOOKUP(A968,TaskPlan!A:L,5,FALSE),""),""))</f>
        <v>1</v>
      </c>
      <c r="N968" s="1" t="str">
        <f ca="1">IF(ISNA(VLOOKUP(A968,Projects!B:B,1,FALSE)),"","Yes")</f>
        <v/>
      </c>
    </row>
    <row r="969" spans="1:14" hidden="1" outlineLevel="1">
      <c r="A969" s="43" t="s">
        <v>1605</v>
      </c>
      <c r="C969" s="44" t="s">
        <v>1655</v>
      </c>
      <c r="D969" s="7" t="s">
        <v>759</v>
      </c>
      <c r="E969" s="24">
        <v>40483</v>
      </c>
      <c r="F969" s="25">
        <v>1</v>
      </c>
      <c r="G969" s="28" t="s">
        <v>1099</v>
      </c>
      <c r="H969" s="37">
        <f ca="1">IF(AND(B969="",NOT(A969="")),VLOOKUP(A969,TaskPlan!A:M,13,FALSE),"")</f>
        <v>40483</v>
      </c>
      <c r="I969" s="38" t="str">
        <f ca="1">IF(AND(B969="",NOT(A969="")),VLOOKUP(A969,TaskPlan!A:M,12,FALSE),"")</f>
        <v>Closed</v>
      </c>
      <c r="J969" s="39" t="str">
        <f ca="1">IF(AND(B969="",NOT(A969="")),VLOOKUP(A969,TaskPlan!A:L,2,FALSE),"")</f>
        <v>Neil</v>
      </c>
      <c r="K969" s="39" t="str">
        <f ca="1">IF(AND(B969="",NOT(A969="")),IF(NOT(LEFT(VLOOKUP(A969,TaskPlan!A:L,3,FALSE),1) = "0"),VLOOKUP(A969,TaskPlan!A:L,3,FALSE),""),"")</f>
        <v/>
      </c>
      <c r="L969" s="55" t="str">
        <f ca="1">IF(AND(B969="",NOT(A969="")),IF(NOT(LEFT(VLOOKUP(A969,TaskPlan!A:L,3,FALSE),1) = "0"),VLOOKUP(A969,TaskPlan!A:M,4,FALSE),""),"")</f>
        <v/>
      </c>
      <c r="M969" s="58" t="str">
        <f ca="1">IF(B969=".",1,IF(AND(B969="",NOT(A969="")),IF(VLOOKUP(A969,TaskPlan!A:L,5,FALSE)&gt;0,VLOOKUP(A969,TaskPlan!A:L,5,FALSE),""),""))</f>
        <v/>
      </c>
      <c r="N969" s="1" t="str">
        <f ca="1">IF(ISNA(VLOOKUP(A969,Projects!B:B,1,FALSE)),"","Yes")</f>
        <v>Yes</v>
      </c>
    </row>
    <row r="970" spans="1:14" hidden="1" outlineLevel="1">
      <c r="A970" s="43" t="s">
        <v>1656</v>
      </c>
      <c r="C970" s="44" t="s">
        <v>1658</v>
      </c>
      <c r="D970" s="7" t="s">
        <v>759</v>
      </c>
      <c r="E970" s="24">
        <v>40483</v>
      </c>
      <c r="F970" s="25">
        <v>2</v>
      </c>
      <c r="G970" s="28" t="s">
        <v>1099</v>
      </c>
      <c r="H970" s="37">
        <f ca="1">IF(AND(B970="",NOT(A970="")),VLOOKUP(A970,TaskPlan!A:M,13,FALSE),"")</f>
        <v>40519</v>
      </c>
      <c r="I970" s="38" t="str">
        <f ca="1">IF(AND(B970="",NOT(A970="")),VLOOKUP(A970,TaskPlan!A:M,12,FALSE),"")</f>
        <v>Closed</v>
      </c>
      <c r="J970" s="39" t="str">
        <f ca="1">IF(AND(B970="",NOT(A970="")),VLOOKUP(A970,TaskPlan!A:L,2,FALSE),"")</f>
        <v>Neil</v>
      </c>
      <c r="K970" s="39" t="str">
        <f ca="1">IF(AND(B970="",NOT(A970="")),IF(NOT(LEFT(VLOOKUP(A970,TaskPlan!A:L,3,FALSE),1) = "0"),VLOOKUP(A970,TaskPlan!A:L,3,FALSE),""),"")</f>
        <v/>
      </c>
      <c r="L970" s="55" t="str">
        <f ca="1">IF(AND(B970="",NOT(A970="")),IF(NOT(LEFT(VLOOKUP(A970,TaskPlan!A:L,3,FALSE),1) = "0"),VLOOKUP(A970,TaskPlan!A:M,4,FALSE),""),"")</f>
        <v/>
      </c>
      <c r="M970" s="58" t="str">
        <f ca="1">IF(B970=".",1,IF(AND(B970="",NOT(A970="")),IF(VLOOKUP(A970,TaskPlan!A:L,5,FALSE)&gt;0,VLOOKUP(A970,TaskPlan!A:L,5,FALSE),""),""))</f>
        <v/>
      </c>
      <c r="N970" s="1" t="str">
        <f ca="1">IF(ISNA(VLOOKUP(A970,Projects!B:B,1,FALSE)),"","Yes")</f>
        <v>Yes</v>
      </c>
    </row>
    <row r="971" spans="1:14" hidden="1" outlineLevel="1">
      <c r="A971" s="43" t="s">
        <v>1744</v>
      </c>
      <c r="C971" s="44" t="s">
        <v>1745</v>
      </c>
      <c r="D971" s="7" t="s">
        <v>759</v>
      </c>
      <c r="E971" s="24">
        <v>40519</v>
      </c>
      <c r="F971" s="25">
        <v>1</v>
      </c>
      <c r="G971" s="28" t="s">
        <v>1213</v>
      </c>
      <c r="H971" s="37">
        <f ca="1">IF(AND(B971="",NOT(A971="")),VLOOKUP(A971,TaskPlan!A:M,13,FALSE),"")</f>
        <v>40246</v>
      </c>
      <c r="I971" s="38" t="str">
        <f ca="1">IF(AND(B971="",NOT(A971="")),VLOOKUP(A971,TaskPlan!A:M,12,FALSE),"")</f>
        <v>Not Started</v>
      </c>
      <c r="J971" s="39" t="str">
        <f ca="1">IF(AND(B971="",NOT(A971="")),VLOOKUP(A971,TaskPlan!A:L,2,FALSE),"")</f>
        <v>Neil</v>
      </c>
      <c r="K971" s="39" t="str">
        <f ca="1">IF(AND(B971="",NOT(A971="")),IF(NOT(LEFT(VLOOKUP(A971,TaskPlan!A:L,3,FALSE),1) = "0"),VLOOKUP(A971,TaskPlan!A:L,3,FALSE),""),"")</f>
        <v>3-MED</v>
      </c>
      <c r="L971" s="55">
        <f ca="1">IF(AND(B971="",NOT(A971="")),IF(NOT(LEFT(VLOOKUP(A971,TaskPlan!A:L,3,FALSE),1) = "0"),VLOOKUP(A971,TaskPlan!A:M,4,FALSE),""),"")</f>
        <v>0</v>
      </c>
      <c r="M971" s="58" t="str">
        <f ca="1">IF(B971=".",1,IF(AND(B971="",NOT(A971="")),IF(VLOOKUP(A971,TaskPlan!A:L,5,FALSE)&gt;0,VLOOKUP(A971,TaskPlan!A:L,5,FALSE),""),""))</f>
        <v/>
      </c>
      <c r="N971" s="1" t="str">
        <f ca="1">IF(ISNA(VLOOKUP(A971,Projects!B:B,1,FALSE)),"","Yes")</f>
        <v/>
      </c>
    </row>
    <row r="972" spans="1:14" hidden="1" outlineLevel="1">
      <c r="A972" s="43" t="s">
        <v>1938</v>
      </c>
      <c r="C972" s="44" t="s">
        <v>1939</v>
      </c>
      <c r="D972" s="7" t="s">
        <v>11</v>
      </c>
      <c r="E972" s="24">
        <v>40590</v>
      </c>
      <c r="F972" s="25">
        <v>1</v>
      </c>
      <c r="G972" s="28" t="s">
        <v>1099</v>
      </c>
      <c r="H972" s="37">
        <f ca="1">IF(AND(B972="",NOT(A972="")),VLOOKUP(A972,TaskPlan!A:M,13,FALSE),"")</f>
        <v>40590</v>
      </c>
      <c r="I972" s="38" t="str">
        <f ca="1">IF(AND(B972="",NOT(A972="")),VLOOKUP(A972,TaskPlan!A:M,12,FALSE),"")</f>
        <v>In Progress</v>
      </c>
      <c r="J972" s="39" t="str">
        <f ca="1">IF(AND(B972="",NOT(A972="")),VLOOKUP(A972,TaskPlan!A:L,2,FALSE),"")</f>
        <v>Neil</v>
      </c>
      <c r="K972" s="39" t="str">
        <f ca="1">IF(AND(B972="",NOT(A972="")),IF(NOT(LEFT(VLOOKUP(A972,TaskPlan!A:L,3,FALSE),1) = "0"),VLOOKUP(A972,TaskPlan!A:L,3,FALSE),""),"")</f>
        <v>5-HIGH</v>
      </c>
      <c r="L972" s="55">
        <f ca="1">IF(AND(B972="",NOT(A972="")),IF(NOT(LEFT(VLOOKUP(A972,TaskPlan!A:L,3,FALSE),1) = "0"),VLOOKUP(A972,TaskPlan!A:M,4,FALSE),""),"")</f>
        <v>0</v>
      </c>
      <c r="M972" s="58" t="str">
        <f ca="1">IF(B972=".",1,IF(AND(B972="",NOT(A972="")),IF(VLOOKUP(A972,TaskPlan!A:L,5,FALSE)&gt;0,VLOOKUP(A972,TaskPlan!A:L,5,FALSE),""),""))</f>
        <v/>
      </c>
      <c r="N972" s="1" t="str">
        <f ca="1">IF(ISNA(VLOOKUP(A972,Projects!B:B,1,FALSE)),"","Yes")</f>
        <v/>
      </c>
    </row>
    <row r="973" spans="1:14" hidden="1" outlineLevel="1">
      <c r="A973" s="43" t="s">
        <v>1659</v>
      </c>
      <c r="B973" s="1" t="s">
        <v>15</v>
      </c>
      <c r="C973" s="45" t="s">
        <v>1660</v>
      </c>
      <c r="D973" s="7"/>
      <c r="G973" s="28"/>
      <c r="L973" s="55"/>
      <c r="M973" s="58">
        <f ca="1">IF(B973=".",1,IF(AND(B973="",NOT(A973="")),IF(VLOOKUP(A973,TaskPlan!A:L,5,FALSE)&gt;0,VLOOKUP(A973,TaskPlan!A:L,5,FALSE),""),""))</f>
        <v>1</v>
      </c>
      <c r="N973" s="1" t="str">
        <f ca="1">IF(ISNA(VLOOKUP(A973,Projects!B:B,1,FALSE)),"","Yes")</f>
        <v/>
      </c>
    </row>
    <row r="974" spans="1:14" hidden="1" outlineLevel="1">
      <c r="A974" s="43" t="s">
        <v>1661</v>
      </c>
      <c r="C974" s="44" t="s">
        <v>1662</v>
      </c>
      <c r="D974" s="7" t="s">
        <v>11</v>
      </c>
      <c r="E974" s="24">
        <v>40483</v>
      </c>
      <c r="F974" s="25">
        <v>1</v>
      </c>
      <c r="G974" s="28" t="s">
        <v>1099</v>
      </c>
      <c r="H974" s="37">
        <f ca="1">IF(AND(B974="",NOT(A974="")),VLOOKUP(A974,TaskPlan!A:M,13,FALSE),"")</f>
        <v>40483</v>
      </c>
      <c r="I974" s="38" t="str">
        <f ca="1">IF(AND(B974="",NOT(A974="")),VLOOKUP(A974,TaskPlan!A:M,12,FALSE),"")</f>
        <v>Not Started</v>
      </c>
      <c r="J974" s="39" t="str">
        <f ca="1">IF(AND(B974="",NOT(A974="")),VLOOKUP(A974,TaskPlan!A:L,2,FALSE),"")</f>
        <v>Unassigned</v>
      </c>
      <c r="K974" s="39" t="str">
        <f ca="1">IF(AND(B974="",NOT(A974="")),IF(NOT(LEFT(VLOOKUP(A974,TaskPlan!A:L,3,FALSE),1) = "0"),VLOOKUP(A974,TaskPlan!A:L,3,FALSE),""),"")</f>
        <v>3-MED</v>
      </c>
      <c r="L974" s="55">
        <f ca="1">IF(AND(B974="",NOT(A974="")),IF(NOT(LEFT(VLOOKUP(A974,TaskPlan!A:L,3,FALSE),1) = "0"),VLOOKUP(A974,TaskPlan!A:M,4,FALSE),""),"")</f>
        <v>0</v>
      </c>
      <c r="M974" s="58" t="str">
        <f ca="1">IF(B974=".",1,IF(AND(B974="",NOT(A974="")),IF(VLOOKUP(A974,TaskPlan!A:L,5,FALSE)&gt;0,VLOOKUP(A974,TaskPlan!A:L,5,FALSE),""),""))</f>
        <v/>
      </c>
      <c r="N974" s="1" t="str">
        <f ca="1">IF(ISNA(VLOOKUP(A974,Projects!B:B,1,FALSE)),"","Yes")</f>
        <v/>
      </c>
    </row>
    <row r="975" spans="1:14" hidden="1" outlineLevel="1">
      <c r="A975" s="43" t="s">
        <v>1663</v>
      </c>
      <c r="C975" s="44" t="s">
        <v>1664</v>
      </c>
      <c r="D975" s="7" t="s">
        <v>11</v>
      </c>
      <c r="E975" s="24">
        <v>40483</v>
      </c>
      <c r="F975" s="25">
        <v>5</v>
      </c>
      <c r="G975" s="28" t="s">
        <v>1099</v>
      </c>
      <c r="H975" s="37">
        <f ca="1">IF(AND(B975="",NOT(A975="")),VLOOKUP(A975,TaskPlan!A:M,13,FALSE),"")</f>
        <v>40483</v>
      </c>
      <c r="I975" s="38" t="str">
        <f ca="1">IF(AND(B975="",NOT(A975="")),VLOOKUP(A975,TaskPlan!A:M,12,FALSE),"")</f>
        <v>Not Started</v>
      </c>
      <c r="J975" s="39" t="str">
        <f ca="1">IF(AND(B975="",NOT(A975="")),VLOOKUP(A975,TaskPlan!A:L,2,FALSE),"")</f>
        <v>Unassigned</v>
      </c>
      <c r="K975" s="39" t="str">
        <f ca="1">IF(AND(B975="",NOT(A975="")),IF(NOT(LEFT(VLOOKUP(A975,TaskPlan!A:L,3,FALSE),1) = "0"),VLOOKUP(A975,TaskPlan!A:L,3,FALSE),""),"")</f>
        <v>3-MED</v>
      </c>
      <c r="L975" s="55">
        <f ca="1">IF(AND(B975="",NOT(A975="")),IF(NOT(LEFT(VLOOKUP(A975,TaskPlan!A:L,3,FALSE),1) = "0"),VLOOKUP(A975,TaskPlan!A:M,4,FALSE),""),"")</f>
        <v>0</v>
      </c>
      <c r="M975" s="58" t="str">
        <f ca="1">IF(B975=".",1,IF(AND(B975="",NOT(A975="")),IF(VLOOKUP(A975,TaskPlan!A:L,5,FALSE)&gt;0,VLOOKUP(A975,TaskPlan!A:L,5,FALSE),""),""))</f>
        <v/>
      </c>
      <c r="N975" s="1" t="str">
        <f ca="1">IF(ISNA(VLOOKUP(A975,Projects!B:B,1,FALSE)),"","Yes")</f>
        <v/>
      </c>
    </row>
    <row r="976" spans="1:14" hidden="1" outlineLevel="1">
      <c r="H976" s="37" t="str">
        <f ca="1">IF(AND(B976="",NOT(A976="")),VLOOKUP(A976,TaskPlan!A:M,13,FALSE),"")</f>
        <v/>
      </c>
      <c r="I976" s="38" t="str">
        <f ca="1">IF(AND(B976="",NOT(A976="")),VLOOKUP(A976,TaskPlan!A:M,12,FALSE),"")</f>
        <v/>
      </c>
      <c r="J976" s="39" t="str">
        <f ca="1">IF(AND(B976="",NOT(A976="")),VLOOKUP(A976,TaskPlan!A:L,2,FALSE),"")</f>
        <v/>
      </c>
      <c r="K976" s="39" t="str">
        <f ca="1">IF(AND(B976="",NOT(A976="")),IF(NOT(LEFT(VLOOKUP(A976,TaskPlan!A:L,3,FALSE),1) = "0"),VLOOKUP(A976,TaskPlan!A:L,3,FALSE),""),"")</f>
        <v/>
      </c>
      <c r="L976" s="55" t="str">
        <f ca="1">IF(AND(B976="",NOT(A976="")),IF(NOT(LEFT(VLOOKUP(A976,TaskPlan!A:L,3,FALSE),1) = "0"),VLOOKUP(A976,TaskPlan!A:M,4,FALSE),""),"")</f>
        <v/>
      </c>
      <c r="M976" s="58" t="str">
        <f ca="1">IF(B976=".",1,IF(AND(B976="",NOT(A976="")),IF(VLOOKUP(A976,TaskPlan!A:L,5,FALSE)&gt;0,VLOOKUP(A976,TaskPlan!A:L,5,FALSE),""),""))</f>
        <v/>
      </c>
      <c r="N976" s="1" t="str">
        <f ca="1">IF(ISNA(VLOOKUP(A976,Projects!B:B,1,FALSE)),"","Yes")</f>
        <v/>
      </c>
    </row>
    <row r="977" spans="1:14" collapsed="1">
      <c r="H977" s="37" t="str">
        <f ca="1">IF(AND(B977="",NOT(A977="")),VLOOKUP(A977,TaskPlan!A:M,13,FALSE),"")</f>
        <v/>
      </c>
      <c r="I977" s="38" t="str">
        <f ca="1">IF(AND(B977="",NOT(A977="")),VLOOKUP(A977,TaskPlan!A:M,12,FALSE),"")</f>
        <v/>
      </c>
      <c r="J977" s="39" t="str">
        <f ca="1">IF(AND(B977="",NOT(A977="")),VLOOKUP(A977,TaskPlan!A:L,2,FALSE),"")</f>
        <v/>
      </c>
      <c r="K977" s="39" t="str">
        <f ca="1">IF(AND(B977="",NOT(A977="")),IF(NOT(LEFT(VLOOKUP(A977,TaskPlan!A:L,3,FALSE),1) = "0"),VLOOKUP(A977,TaskPlan!A:L,3,FALSE),""),"")</f>
        <v/>
      </c>
      <c r="L977" s="55" t="str">
        <f ca="1">IF(AND(B977="",NOT(A977="")),IF(NOT(LEFT(VLOOKUP(A977,TaskPlan!A:L,3,FALSE),1) = "0"),VLOOKUP(A977,TaskPlan!A:M,4,FALSE),""),"")</f>
        <v/>
      </c>
      <c r="M977" s="58" t="str">
        <f ca="1">IF(B977=".",1,IF(AND(B977="",NOT(A977="")),IF(VLOOKUP(A977,TaskPlan!A:L,5,FALSE)&gt;0,VLOOKUP(A977,TaskPlan!A:L,5,FALSE),""),""))</f>
        <v/>
      </c>
      <c r="N977" s="1" t="str">
        <f ca="1">IF(ISNA(VLOOKUP(A977,Projects!B:B,1,FALSE)),"","Yes")</f>
        <v/>
      </c>
    </row>
    <row r="978" spans="1:14" ht="15.75">
      <c r="A978" s="43" t="s">
        <v>1612</v>
      </c>
      <c r="B978" s="1" t="s">
        <v>15</v>
      </c>
      <c r="C978" s="36" t="s">
        <v>1629</v>
      </c>
      <c r="H978" s="37" t="str">
        <f ca="1">IF(AND(B978="",NOT(A978="")),VLOOKUP(A978,TaskPlan!A:M,13,FALSE),"")</f>
        <v/>
      </c>
      <c r="I978" s="38" t="str">
        <f ca="1">IF(AND(B978="",NOT(A978="")),VLOOKUP(A978,TaskPlan!A:M,12,FALSE),"")</f>
        <v/>
      </c>
      <c r="J978" s="39" t="str">
        <f ca="1">IF(AND(B978="",NOT(A978="")),VLOOKUP(A978,TaskPlan!A:L,2,FALSE),"")</f>
        <v/>
      </c>
      <c r="K978" s="39" t="str">
        <f ca="1">IF(AND(B978="",NOT(A978="")),IF(NOT(LEFT(VLOOKUP(A978,TaskPlan!A:L,3,FALSE),1) = "0"),VLOOKUP(A978,TaskPlan!A:L,3,FALSE),""),"")</f>
        <v/>
      </c>
      <c r="L978" s="55" t="str">
        <f ca="1">IF(AND(B978="",NOT(A978="")),IF(NOT(LEFT(VLOOKUP(A978,TaskPlan!A:L,3,FALSE),1) = "0"),VLOOKUP(A978,TaskPlan!A:M,4,FALSE),""),"")</f>
        <v/>
      </c>
      <c r="M978" s="58">
        <f ca="1">IF(B978=".",1,IF(AND(B978="",NOT(A978="")),IF(VLOOKUP(A978,TaskPlan!A:L,5,FALSE)&gt;0,VLOOKUP(A978,TaskPlan!A:L,5,FALSE),""),""))</f>
        <v>1</v>
      </c>
      <c r="N978" s="1" t="str">
        <f ca="1">IF(ISNA(VLOOKUP(A978,Projects!B:B,1,FALSE)),"","Yes")</f>
        <v/>
      </c>
    </row>
    <row r="979" spans="1:14" hidden="1" outlineLevel="1">
      <c r="A979" s="43" t="s">
        <v>1613</v>
      </c>
      <c r="B979" s="1" t="s">
        <v>15</v>
      </c>
      <c r="C979" s="45" t="s">
        <v>1604</v>
      </c>
      <c r="H979" s="37" t="str">
        <f ca="1">IF(AND(B979="",NOT(A979="")),VLOOKUP(A979,TaskPlan!A:M,13,FALSE),"")</f>
        <v/>
      </c>
      <c r="I979" s="38" t="str">
        <f ca="1">IF(AND(B979="",NOT(A979="")),VLOOKUP(A979,TaskPlan!A:M,12,FALSE),"")</f>
        <v/>
      </c>
      <c r="J979" s="39" t="str">
        <f ca="1">IF(AND(B979="",NOT(A979="")),VLOOKUP(A979,TaskPlan!A:L,2,FALSE),"")</f>
        <v/>
      </c>
      <c r="K979" s="39" t="str">
        <f ca="1">IF(AND(B979="",NOT(A979="")),IF(NOT(LEFT(VLOOKUP(A979,TaskPlan!A:L,3,FALSE),1) = "0"),VLOOKUP(A979,TaskPlan!A:L,3,FALSE),""),"")</f>
        <v/>
      </c>
      <c r="L979" s="55" t="str">
        <f ca="1">IF(AND(B979="",NOT(A979="")),IF(NOT(LEFT(VLOOKUP(A979,TaskPlan!A:L,3,FALSE),1) = "0"),VLOOKUP(A979,TaskPlan!A:M,4,FALSE),""),"")</f>
        <v/>
      </c>
      <c r="M979" s="58">
        <f ca="1">IF(B979=".",1,IF(AND(B979="",NOT(A979="")),IF(VLOOKUP(A979,TaskPlan!A:L,5,FALSE)&gt;0,VLOOKUP(A979,TaskPlan!A:L,5,FALSE),""),""))</f>
        <v>1</v>
      </c>
      <c r="N979" s="1" t="str">
        <f ca="1">IF(ISNA(VLOOKUP(A979,Projects!B:B,1,FALSE)),"","Yes")</f>
        <v/>
      </c>
    </row>
    <row r="980" spans="1:14" hidden="1" outlineLevel="1">
      <c r="A980" s="43" t="s">
        <v>1614</v>
      </c>
      <c r="C980" s="44" t="s">
        <v>1657</v>
      </c>
      <c r="D980" s="7" t="s">
        <v>759</v>
      </c>
      <c r="E980" s="24">
        <v>40483</v>
      </c>
      <c r="F980" s="25">
        <v>3</v>
      </c>
      <c r="G980" s="28" t="s">
        <v>1099</v>
      </c>
      <c r="H980" s="37">
        <f ca="1">IF(AND(B980="",NOT(A980="")),VLOOKUP(A980,TaskPlan!A:M,13,FALSE),"")</f>
        <v>40567</v>
      </c>
      <c r="I980" s="38" t="str">
        <f ca="1">IF(AND(B980="",NOT(A980="")),VLOOKUP(A980,TaskPlan!A:M,12,FALSE),"")</f>
        <v>Closed</v>
      </c>
      <c r="J980" s="39" t="str">
        <f ca="1">IF(AND(B980="",NOT(A980="")),VLOOKUP(A980,TaskPlan!A:L,2,FALSE),"")</f>
        <v>Neil</v>
      </c>
      <c r="K980" s="39" t="str">
        <f ca="1">IF(AND(B980="",NOT(A980="")),IF(NOT(LEFT(VLOOKUP(A980,TaskPlan!A:L,3,FALSE),1) = "0"),VLOOKUP(A980,TaskPlan!A:L,3,FALSE),""),"")</f>
        <v/>
      </c>
      <c r="L980" s="55" t="str">
        <f ca="1">IF(AND(B980="",NOT(A980="")),IF(NOT(LEFT(VLOOKUP(A980,TaskPlan!A:L,3,FALSE),1) = "0"),VLOOKUP(A980,TaskPlan!A:M,4,FALSE),""),"")</f>
        <v/>
      </c>
      <c r="M980" s="58" t="str">
        <f ca="1">IF(B980=".",1,IF(AND(B980="",NOT(A980="")),IF(VLOOKUP(A980,TaskPlan!A:L,5,FALSE)&gt;0,VLOOKUP(A980,TaskPlan!A:L,5,FALSE),""),""))</f>
        <v/>
      </c>
      <c r="N980" s="1" t="str">
        <f ca="1">IF(ISNA(VLOOKUP(A980,Projects!B:B,1,FALSE)),"","Yes")</f>
        <v>Yes</v>
      </c>
    </row>
    <row r="981" spans="1:14" hidden="1" outlineLevel="1">
      <c r="A981" s="43" t="s">
        <v>1654</v>
      </c>
      <c r="C981" s="44" t="s">
        <v>1666</v>
      </c>
      <c r="D981" s="7" t="s">
        <v>11</v>
      </c>
      <c r="E981" s="24">
        <v>40483</v>
      </c>
      <c r="F981" s="25">
        <v>2</v>
      </c>
      <c r="G981" s="28" t="s">
        <v>1099</v>
      </c>
      <c r="H981" s="37">
        <f ca="1">IF(AND(B981="",NOT(A981="")),VLOOKUP(A981,TaskPlan!A:M,13,FALSE),"")</f>
        <v>40567</v>
      </c>
      <c r="I981" s="38" t="str">
        <f ca="1">IF(AND(B981="",NOT(A981="")),VLOOKUP(A981,TaskPlan!A:M,12,FALSE),"")</f>
        <v>Closed</v>
      </c>
      <c r="J981" s="39" t="str">
        <f ca="1">IF(AND(B981="",NOT(A981="")),VLOOKUP(A981,TaskPlan!A:L,2,FALSE),"")</f>
        <v>Neil</v>
      </c>
      <c r="K981" s="39" t="str">
        <f ca="1">IF(AND(B981="",NOT(A981="")),IF(NOT(LEFT(VLOOKUP(A981,TaskPlan!A:L,3,FALSE),1) = "0"),VLOOKUP(A981,TaskPlan!A:L,3,FALSE),""),"")</f>
        <v/>
      </c>
      <c r="L981" s="55" t="str">
        <f ca="1">IF(AND(B981="",NOT(A981="")),IF(NOT(LEFT(VLOOKUP(A981,TaskPlan!A:L,3,FALSE),1) = "0"),VLOOKUP(A981,TaskPlan!A:M,4,FALSE),""),"")</f>
        <v/>
      </c>
      <c r="M981" s="58" t="str">
        <f ca="1">IF(B981=".",1,IF(AND(B981="",NOT(A981="")),IF(VLOOKUP(A981,TaskPlan!A:L,5,FALSE)&gt;0,VLOOKUP(A981,TaskPlan!A:L,5,FALSE),""),""))</f>
        <v/>
      </c>
      <c r="N981" s="1" t="str">
        <f ca="1">IF(ISNA(VLOOKUP(A981,Projects!B:B,1,FALSE)),"","Yes")</f>
        <v>Yes</v>
      </c>
    </row>
    <row r="982" spans="1:14" hidden="1" outlineLevel="1">
      <c r="A982" s="43" t="s">
        <v>1842</v>
      </c>
      <c r="C982" s="44" t="s">
        <v>1844</v>
      </c>
      <c r="D982" s="7" t="s">
        <v>11</v>
      </c>
      <c r="E982" s="24">
        <v>40563</v>
      </c>
      <c r="F982" s="25">
        <v>2</v>
      </c>
      <c r="G982" s="28" t="s">
        <v>1099</v>
      </c>
      <c r="H982" s="37">
        <f ca="1">IF(AND(B982="",NOT(A982="")),VLOOKUP(A982,TaskPlan!A:M,13,FALSE),"")</f>
        <v>40589</v>
      </c>
      <c r="I982" s="38" t="str">
        <f ca="1">IF(AND(B982="",NOT(A982="")),VLOOKUP(A982,TaskPlan!A:M,12,FALSE),"")</f>
        <v>Closed</v>
      </c>
      <c r="J982" s="39" t="str">
        <f ca="1">IF(AND(B982="",NOT(A982="")),VLOOKUP(A982,TaskPlan!A:L,2,FALSE),"")</f>
        <v>Neil</v>
      </c>
      <c r="K982" s="39" t="str">
        <f ca="1">IF(AND(B982="",NOT(A982="")),IF(NOT(LEFT(VLOOKUP(A982,TaskPlan!A:L,3,FALSE),1) = "0"),VLOOKUP(A982,TaskPlan!A:L,3,FALSE),""),"")</f>
        <v/>
      </c>
      <c r="L982" s="55" t="str">
        <f ca="1">IF(AND(B982="",NOT(A982="")),IF(NOT(LEFT(VLOOKUP(A982,TaskPlan!A:L,3,FALSE),1) = "0"),VLOOKUP(A982,TaskPlan!A:M,4,FALSE),""),"")</f>
        <v/>
      </c>
      <c r="M982" s="58">
        <f ca="1">IF(B982=".",1,IF(AND(B982="",NOT(A982="")),IF(VLOOKUP(A982,TaskPlan!A:L,5,FALSE)&gt;0,VLOOKUP(A982,TaskPlan!A:L,5,FALSE),""),""))</f>
        <v>1</v>
      </c>
      <c r="N982" s="1" t="str">
        <f ca="1">IF(ISNA(VLOOKUP(A982,Projects!B:B,1,FALSE)),"","Yes")</f>
        <v>Yes</v>
      </c>
    </row>
    <row r="983" spans="1:14" hidden="1" outlineLevel="1">
      <c r="A983" s="43" t="s">
        <v>1845</v>
      </c>
      <c r="C983" s="44" t="s">
        <v>1846</v>
      </c>
      <c r="D983" s="7" t="s">
        <v>11</v>
      </c>
      <c r="E983" s="24">
        <v>40563</v>
      </c>
      <c r="F983" s="25">
        <v>2</v>
      </c>
      <c r="G983" s="28" t="s">
        <v>1099</v>
      </c>
      <c r="H983" s="37">
        <f ca="1">IF(AND(B983="",NOT(A983="")),VLOOKUP(A983,TaskPlan!A:M,13,FALSE),"")</f>
        <v>40589</v>
      </c>
      <c r="I983" s="38" t="str">
        <f ca="1">IF(AND(B983="",NOT(A983="")),VLOOKUP(A983,TaskPlan!A:M,12,FALSE),"")</f>
        <v>Closed</v>
      </c>
      <c r="J983" s="39" t="str">
        <f ca="1">IF(AND(B983="",NOT(A983="")),VLOOKUP(A983,TaskPlan!A:L,2,FALSE),"")</f>
        <v>Neil</v>
      </c>
      <c r="K983" s="39" t="str">
        <f ca="1">IF(AND(B983="",NOT(A983="")),IF(NOT(LEFT(VLOOKUP(A983,TaskPlan!A:L,3,FALSE),1) = "0"),VLOOKUP(A983,TaskPlan!A:L,3,FALSE),""),"")</f>
        <v/>
      </c>
      <c r="L983" s="55" t="str">
        <f ca="1">IF(AND(B983="",NOT(A983="")),IF(NOT(LEFT(VLOOKUP(A983,TaskPlan!A:L,3,FALSE),1) = "0"),VLOOKUP(A983,TaskPlan!A:M,4,FALSE),""),"")</f>
        <v/>
      </c>
      <c r="M983" s="58" t="str">
        <f ca="1">IF(B983=".",1,IF(AND(B983="",NOT(A983="")),IF(VLOOKUP(A983,TaskPlan!A:L,5,FALSE)&gt;0,VLOOKUP(A983,TaskPlan!A:L,5,FALSE),""),""))</f>
        <v/>
      </c>
      <c r="N983" s="1" t="str">
        <f ca="1">IF(ISNA(VLOOKUP(A983,Projects!B:B,1,FALSE)),"","Yes")</f>
        <v/>
      </c>
    </row>
    <row r="984" spans="1:14" hidden="1" outlineLevel="1">
      <c r="A984" s="43" t="s">
        <v>1905</v>
      </c>
      <c r="C984" s="44" t="s">
        <v>1906</v>
      </c>
      <c r="D984" s="7" t="s">
        <v>11</v>
      </c>
      <c r="E984" s="24">
        <v>40589</v>
      </c>
      <c r="F984" s="25">
        <v>1</v>
      </c>
      <c r="G984" s="28" t="s">
        <v>1099</v>
      </c>
      <c r="H984" s="37">
        <f ca="1">IF(AND(B984="",NOT(A984="")),VLOOKUP(A984,TaskPlan!A:M,13,FALSE),"")</f>
        <v>40589</v>
      </c>
      <c r="I984" s="38" t="str">
        <f ca="1">IF(AND(B984="",NOT(A984="")),VLOOKUP(A984,TaskPlan!A:M,12,FALSE),"")</f>
        <v>Closed</v>
      </c>
      <c r="J984" s="39" t="str">
        <f ca="1">IF(AND(B984="",NOT(A984="")),VLOOKUP(A984,TaskPlan!A:L,2,FALSE),"")</f>
        <v>Neil</v>
      </c>
      <c r="K984" s="39" t="str">
        <f ca="1">IF(AND(B984="",NOT(A984="")),IF(NOT(LEFT(VLOOKUP(A984,TaskPlan!A:L,3,FALSE),1) = "0"),VLOOKUP(A984,TaskPlan!A:L,3,FALSE),""),"")</f>
        <v/>
      </c>
      <c r="L984" s="55" t="str">
        <f ca="1">IF(AND(B984="",NOT(A984="")),IF(NOT(LEFT(VLOOKUP(A984,TaskPlan!A:L,3,FALSE),1) = "0"),VLOOKUP(A984,TaskPlan!A:M,4,FALSE),""),"")</f>
        <v/>
      </c>
      <c r="M984" s="58" t="str">
        <f ca="1">IF(B984=".",1,IF(AND(B984="",NOT(A984="")),IF(VLOOKUP(A984,TaskPlan!A:L,5,FALSE)&gt;0,VLOOKUP(A984,TaskPlan!A:L,5,FALSE),""),""))</f>
        <v/>
      </c>
      <c r="N984" s="1" t="str">
        <f ca="1">IF(ISNA(VLOOKUP(A984,Projects!B:B,1,FALSE)),"","Yes")</f>
        <v/>
      </c>
    </row>
    <row r="985" spans="1:14" hidden="1" outlineLevel="1">
      <c r="A985" s="43"/>
      <c r="C985" s="44"/>
      <c r="D985" s="7"/>
      <c r="G985" s="28"/>
      <c r="L985" s="55"/>
      <c r="M985" s="58" t="str">
        <f ca="1">IF(B985=".",1,IF(AND(B985="",NOT(A985="")),IF(VLOOKUP(A985,TaskPlan!A:L,5,FALSE)&gt;0,VLOOKUP(A985,TaskPlan!A:L,5,FALSE),""),""))</f>
        <v/>
      </c>
      <c r="N985" s="1" t="str">
        <f ca="1">IF(ISNA(VLOOKUP(A985,Projects!B:B,1,FALSE)),"","Yes")</f>
        <v/>
      </c>
    </row>
    <row r="986" spans="1:14" hidden="1" outlineLevel="1">
      <c r="A986" s="43" t="s">
        <v>1630</v>
      </c>
      <c r="B986" s="7" t="s">
        <v>15</v>
      </c>
      <c r="C986" s="45" t="s">
        <v>1631</v>
      </c>
      <c r="M986" s="58">
        <f ca="1">IF(B986=".",1,IF(AND(B986="",NOT(A986="")),IF(VLOOKUP(A986,TaskPlan!A:L,5,FALSE)&gt;0,VLOOKUP(A986,TaskPlan!A:L,5,FALSE),""),""))</f>
        <v>1</v>
      </c>
      <c r="N986" s="1" t="str">
        <f ca="1">IF(ISNA(VLOOKUP(A986,Projects!B:B,1,FALSE)),"","Yes")</f>
        <v/>
      </c>
    </row>
    <row r="987" spans="1:14" hidden="1" outlineLevel="1">
      <c r="A987" s="43" t="s">
        <v>1632</v>
      </c>
      <c r="C987" s="44" t="s">
        <v>1566</v>
      </c>
      <c r="D987" s="7" t="s">
        <v>759</v>
      </c>
      <c r="E987" s="24">
        <v>40477</v>
      </c>
      <c r="F987" s="25">
        <v>2</v>
      </c>
      <c r="G987" s="28" t="s">
        <v>1099</v>
      </c>
      <c r="H987" s="37">
        <f ca="1">IF(AND(B987="",NOT(A987="")),VLOOKUP(A987,TaskPlan!A:M,13,FALSE),"")</f>
        <v>40477</v>
      </c>
      <c r="I987" s="38" t="str">
        <f ca="1">IF(AND(B987="",NOT(A987="")),VLOOKUP(A987,TaskPlan!A:M,12,FALSE),"")</f>
        <v>Not Started</v>
      </c>
      <c r="J987" s="39" t="str">
        <f ca="1">IF(AND(B987="",NOT(A987="")),VLOOKUP(A987,TaskPlan!A:L,2,FALSE),"")</f>
        <v>Unassigned</v>
      </c>
      <c r="K987" s="39" t="str">
        <f ca="1">IF(AND(B987="",NOT(A987="")),IF(NOT(LEFT(VLOOKUP(A987,TaskPlan!A:L,3,FALSE),1) = "0"),VLOOKUP(A987,TaskPlan!A:L,3,FALSE),""),"")</f>
        <v>3-MED</v>
      </c>
      <c r="L987" s="55">
        <f ca="1">IF(AND(B987="",NOT(A987="")),IF(NOT(LEFT(VLOOKUP(A987,TaskPlan!A:L,3,FALSE),1) = "0"),VLOOKUP(A987,TaskPlan!A:M,4,FALSE),""),"")</f>
        <v>0</v>
      </c>
      <c r="M987" s="58" t="str">
        <f ca="1">IF(B987=".",1,IF(AND(B987="",NOT(A987="")),IF(VLOOKUP(A987,TaskPlan!A:L,5,FALSE)&gt;0,VLOOKUP(A987,TaskPlan!A:L,5,FALSE),""),""))</f>
        <v/>
      </c>
      <c r="N987" s="1" t="str">
        <f ca="1">IF(ISNA(VLOOKUP(A987,Projects!B:B,1,FALSE)),"","Yes")</f>
        <v/>
      </c>
    </row>
    <row r="988" spans="1:14" hidden="1" outlineLevel="1">
      <c r="M988" s="58" t="str">
        <f ca="1">IF(B988=".",1,IF(AND(B988="",NOT(A988="")),IF(VLOOKUP(A988,TaskPlan!A:L,5,FALSE)&gt;0,VLOOKUP(A988,TaskPlan!A:L,5,FALSE),""),""))</f>
        <v/>
      </c>
      <c r="N988" s="1" t="str">
        <f ca="1">IF(ISNA(VLOOKUP(A988,Projects!B:B,1,FALSE)),"","Yes")</f>
        <v/>
      </c>
    </row>
    <row r="989" spans="1:14" collapsed="1">
      <c r="M989" s="58" t="str">
        <f ca="1">IF(B989=".",1,IF(AND(B989="",NOT(A989="")),IF(VLOOKUP(A989,TaskPlan!A:L,5,FALSE)&gt;0,VLOOKUP(A989,TaskPlan!A:L,5,FALSE),""),""))</f>
        <v/>
      </c>
      <c r="N989" s="1" t="str">
        <f ca="1">IF(ISNA(VLOOKUP(A989,Projects!B:B,1,FALSE)),"","Yes")</f>
        <v/>
      </c>
    </row>
    <row r="990" spans="1:14" ht="15.75">
      <c r="A990" s="43" t="s">
        <v>1736</v>
      </c>
      <c r="B990" s="7" t="s">
        <v>15</v>
      </c>
      <c r="C990" s="36" t="s">
        <v>1737</v>
      </c>
      <c r="M990" s="58">
        <f ca="1">IF(B990=".",1,IF(AND(B990="",NOT(A990="")),IF(VLOOKUP(A990,TaskPlan!A:L,5,FALSE)&gt;0,VLOOKUP(A990,TaskPlan!A:L,5,FALSE),""),""))</f>
        <v>1</v>
      </c>
      <c r="N990" s="1" t="str">
        <f ca="1">IF(ISNA(VLOOKUP(A990,Projects!B:B,1,FALSE)),"","Yes")</f>
        <v/>
      </c>
    </row>
    <row r="991" spans="1:14" hidden="1" outlineLevel="1">
      <c r="A991" s="43" t="s">
        <v>1738</v>
      </c>
      <c r="B991" s="7" t="s">
        <v>15</v>
      </c>
      <c r="C991" s="44" t="s">
        <v>1739</v>
      </c>
      <c r="M991" s="58">
        <f ca="1">IF(B991=".",1,IF(AND(B991="",NOT(A991="")),IF(VLOOKUP(A991,TaskPlan!A:L,5,FALSE)&gt;0,VLOOKUP(A991,TaskPlan!A:L,5,FALSE),""),""))</f>
        <v>1</v>
      </c>
      <c r="N991" s="1" t="str">
        <f ca="1">IF(ISNA(VLOOKUP(A991,Projects!B:B,1,FALSE)),"","Yes")</f>
        <v/>
      </c>
    </row>
    <row r="992" spans="1:14" hidden="1" outlineLevel="1">
      <c r="A992" s="43" t="s">
        <v>1740</v>
      </c>
      <c r="C992" s="44" t="s">
        <v>1741</v>
      </c>
      <c r="D992" s="7" t="s">
        <v>315</v>
      </c>
      <c r="E992" s="24">
        <v>40519</v>
      </c>
      <c r="F992" s="25">
        <v>1</v>
      </c>
      <c r="G992" s="28" t="s">
        <v>1100</v>
      </c>
      <c r="H992" s="37">
        <f ca="1">IF(AND(B992="",NOT(A992="")),VLOOKUP(A992,TaskPlan!A:M,13,FALSE),"")</f>
        <v>40246</v>
      </c>
      <c r="I992" s="38" t="str">
        <f ca="1">IF(AND(B992="",NOT(A992="")),VLOOKUP(A992,TaskPlan!A:M,12,FALSE),"")</f>
        <v>Closed</v>
      </c>
      <c r="J992" s="39" t="str">
        <f ca="1">IF(AND(B992="",NOT(A992="")),VLOOKUP(A992,TaskPlan!A:L,2,FALSE),"")</f>
        <v>Neil</v>
      </c>
      <c r="K992" s="39" t="str">
        <f ca="1">IF(AND(B992="",NOT(A992="")),IF(NOT(LEFT(VLOOKUP(A992,TaskPlan!A:L,3,FALSE),1) = "0"),VLOOKUP(A992,TaskPlan!A:L,3,FALSE),""),"")</f>
        <v/>
      </c>
      <c r="L992" s="55" t="str">
        <f ca="1">IF(AND(B992="",NOT(A992="")),IF(NOT(LEFT(VLOOKUP(A992,TaskPlan!A:L,3,FALSE),1) = "0"),VLOOKUP(A992,TaskPlan!A:M,4,FALSE),""),"")</f>
        <v/>
      </c>
      <c r="M992" s="58" t="str">
        <f ca="1">IF(B992=".",1,IF(AND(B992="",NOT(A992="")),IF(VLOOKUP(A992,TaskPlan!A:L,5,FALSE)&gt;0,VLOOKUP(A992,TaskPlan!A:L,5,FALSE),""),""))</f>
        <v/>
      </c>
      <c r="N992" s="1" t="str">
        <f ca="1">IF(ISNA(VLOOKUP(A992,Projects!B:B,1,FALSE)),"","Yes")</f>
        <v/>
      </c>
    </row>
    <row r="993" spans="1:14" hidden="1" outlineLevel="1">
      <c r="A993" s="43" t="s">
        <v>1742</v>
      </c>
      <c r="C993" s="44" t="s">
        <v>1743</v>
      </c>
      <c r="D993" s="7" t="s">
        <v>315</v>
      </c>
      <c r="E993" s="24">
        <v>40519</v>
      </c>
      <c r="F993" s="25">
        <v>2</v>
      </c>
      <c r="G993" s="28" t="s">
        <v>1100</v>
      </c>
      <c r="H993" s="37">
        <f ca="1">IF(AND(B993="",NOT(A993="")),VLOOKUP(A993,TaskPlan!A:M,13,FALSE),"")</f>
        <v>40246</v>
      </c>
      <c r="I993" s="38" t="str">
        <f ca="1">IF(AND(B993="",NOT(A993="")),VLOOKUP(A993,TaskPlan!A:M,12,FALSE),"")</f>
        <v>Not Started</v>
      </c>
      <c r="J993" s="39" t="str">
        <f ca="1">IF(AND(B993="",NOT(A993="")),VLOOKUP(A993,TaskPlan!A:L,2,FALSE),"")</f>
        <v>Neil</v>
      </c>
      <c r="K993" s="39" t="str">
        <f ca="1">IF(AND(B993="",NOT(A993="")),IF(NOT(LEFT(VLOOKUP(A993,TaskPlan!A:L,3,FALSE),1) = "0"),VLOOKUP(A993,TaskPlan!A:L,3,FALSE),""),"")</f>
        <v>3-MED</v>
      </c>
      <c r="L993" s="55">
        <f ca="1">IF(AND(B993="",NOT(A993="")),IF(NOT(LEFT(VLOOKUP(A993,TaskPlan!A:L,3,FALSE),1) = "0"),VLOOKUP(A993,TaskPlan!A:M,4,FALSE),""),"")</f>
        <v>0</v>
      </c>
      <c r="M993" s="58" t="str">
        <f ca="1">IF(B993=".",1,IF(AND(B993="",NOT(A993="")),IF(VLOOKUP(A993,TaskPlan!A:L,5,FALSE)&gt;0,VLOOKUP(A993,TaskPlan!A:L,5,FALSE),""),""))</f>
        <v/>
      </c>
      <c r="N993" s="1" t="str">
        <f ca="1">IF(ISNA(VLOOKUP(A993,Projects!B:B,1,FALSE)),"","Yes")</f>
        <v/>
      </c>
    </row>
    <row r="994" spans="1:14" hidden="1" outlineLevel="1">
      <c r="M994" s="58" t="str">
        <f ca="1">IF(B994=".",1,IF(AND(B994="",NOT(A994="")),IF(VLOOKUP(A994,TaskPlan!A:L,5,FALSE)&gt;0,VLOOKUP(A994,TaskPlan!A:L,5,FALSE),""),""))</f>
        <v/>
      </c>
      <c r="N994" s="1" t="str">
        <f ca="1">IF(ISNA(VLOOKUP(A994,Projects!B:B,1,FALSE)),"","Yes")</f>
        <v/>
      </c>
    </row>
    <row r="995" spans="1:14" collapsed="1">
      <c r="M995" s="58" t="str">
        <f ca="1">IF(B995=".",1,IF(AND(B995="",NOT(A995="")),IF(VLOOKUP(A995,TaskPlan!A:L,5,FALSE)&gt;0,VLOOKUP(A995,TaskPlan!A:L,5,FALSE),""),""))</f>
        <v/>
      </c>
      <c r="N995" s="1" t="str">
        <f ca="1">IF(ISNA(VLOOKUP(A995,Projects!B:B,1,FALSE)),"","Yes")</f>
        <v/>
      </c>
    </row>
    <row r="996" spans="1:14">
      <c r="M996" s="58" t="str">
        <f ca="1">IF(B996=".",1,IF(AND(B996="",NOT(A996="")),IF(VLOOKUP(A996,TaskPlan!A:L,5,FALSE)&gt;0,VLOOKUP(A996,TaskPlan!A:L,5,FALSE),""),""))</f>
        <v/>
      </c>
      <c r="N996" s="1" t="str">
        <f ca="1">IF(ISNA(VLOOKUP(A996,Projects!B:B,1,FALSE)),"","Yes")</f>
        <v/>
      </c>
    </row>
    <row r="997" spans="1:14">
      <c r="M997" s="58" t="str">
        <f ca="1">IF(B997=".",1,IF(AND(B997="",NOT(A997="")),IF(VLOOKUP(A997,TaskPlan!A:L,5,FALSE)&gt;0,VLOOKUP(A997,TaskPlan!A:L,5,FALSE),""),""))</f>
        <v/>
      </c>
      <c r="N997" s="1" t="str">
        <f ca="1">IF(ISNA(VLOOKUP(A997,Projects!B:B,1,FALSE)),"","Yes")</f>
        <v/>
      </c>
    </row>
    <row r="998" spans="1:14">
      <c r="M998" s="58" t="str">
        <f ca="1">IF(B998=".",1,IF(AND(B998="",NOT(A998="")),IF(VLOOKUP(A998,TaskPlan!A:L,5,FALSE)&gt;0,VLOOKUP(A998,TaskPlan!A:L,5,FALSE),""),""))</f>
        <v/>
      </c>
      <c r="N998" s="1" t="str">
        <f ca="1">IF(ISNA(VLOOKUP(A998,Projects!B:B,1,FALSE)),"","Yes")</f>
        <v/>
      </c>
    </row>
  </sheetData>
  <autoFilter ref="A1:M998">
    <filterColumn colId="8"/>
  </autoFilter>
  <phoneticPr fontId="1" type="noConversion"/>
  <conditionalFormatting sqref="H2:L1048576">
    <cfRule type="expression" dxfId="6" priority="10">
      <formula>OR($I2="Closed",$I2="Cancelled",$I2="")</formula>
    </cfRule>
  </conditionalFormatting>
  <conditionalFormatting sqref="H210:L251">
    <cfRule type="expression" dxfId="5" priority="8">
      <formula>OR($I210="Closed",$I210="")</formula>
    </cfRule>
  </conditionalFormatting>
  <conditionalFormatting sqref="H30:L30">
    <cfRule type="expression" dxfId="4" priority="7">
      <formula>OR($I30="Closed",$I30="")</formula>
    </cfRule>
  </conditionalFormatting>
  <conditionalFormatting sqref="H31:L69">
    <cfRule type="expression" dxfId="3" priority="4">
      <formula>OR($I31="Closed",$I31="")</formula>
    </cfRule>
  </conditionalFormatting>
  <conditionalFormatting sqref="H31:L69">
    <cfRule type="expression" dxfId="2" priority="3">
      <formula>OR($I31="Closed",$I31="")</formula>
    </cfRule>
  </conditionalFormatting>
  <conditionalFormatting sqref="J31:J69">
    <cfRule type="expression" dxfId="1" priority="2">
      <formula>OR($I31="Closed",$I31="")</formula>
    </cfRule>
  </conditionalFormatting>
  <conditionalFormatting sqref="I31:I69">
    <cfRule type="expression" dxfId="0" priority="1">
      <formula>OR($I31="Closed",$I31="")</formula>
    </cfRule>
  </conditionalFormatting>
  <pageMargins left="0.39370078740157483" right="0.23622047244094491" top="0.35433070866141736" bottom="0.23622047244094491" header="0.31496062992125984" footer="0.27559055118110237"/>
  <pageSetup paperSize="9" scale="73" fitToHeight="1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P782"/>
  <sheetViews>
    <sheetView topLeftCell="A644" workbookViewId="0">
      <selection activeCell="A671" sqref="A671"/>
    </sheetView>
  </sheetViews>
  <sheetFormatPr defaultRowHeight="12.75"/>
  <cols>
    <col min="1" max="1" width="8.140625" style="4" bestFit="1" customWidth="1"/>
    <col min="2" max="2" width="11.140625" style="5" bestFit="1" customWidth="1"/>
    <col min="3" max="3" width="7.7109375" style="7" customWidth="1"/>
    <col min="4" max="4" width="11.28515625" style="7" bestFit="1" customWidth="1"/>
    <col min="5" max="5" width="1.85546875" style="12" customWidth="1"/>
    <col min="6" max="6" width="30" style="13" bestFit="1" customWidth="1"/>
    <col min="7" max="7" width="50.7109375" style="14" bestFit="1" customWidth="1"/>
    <col min="8" max="8" width="13.7109375" style="13" bestFit="1" customWidth="1"/>
    <col min="9" max="9" width="16.140625" style="15" bestFit="1" customWidth="1"/>
    <col min="10" max="10" width="17" style="49" bestFit="1" customWidth="1"/>
    <col min="11" max="11" width="15.5703125" style="49" customWidth="1"/>
    <col min="12" max="12" width="10.42578125" style="7" bestFit="1" customWidth="1"/>
    <col min="13" max="13" width="9.7109375" style="16" customWidth="1"/>
    <col min="14" max="14" width="4.85546875" style="60" bestFit="1" customWidth="1"/>
    <col min="15" max="15" width="5.5703125" style="61" customWidth="1"/>
    <col min="16" max="16" width="11.7109375" style="1" bestFit="1" customWidth="1"/>
    <col min="17" max="16384" width="9.140625" style="1"/>
  </cols>
  <sheetData>
    <row r="1" spans="1:16" s="2" customFormat="1">
      <c r="A1" s="83" t="s">
        <v>16</v>
      </c>
      <c r="B1" s="5" t="s">
        <v>2</v>
      </c>
      <c r="C1" s="5" t="s">
        <v>6</v>
      </c>
      <c r="D1" s="5" t="s">
        <v>61</v>
      </c>
      <c r="E1" s="8" t="s">
        <v>319</v>
      </c>
      <c r="F1" s="5" t="s">
        <v>0</v>
      </c>
      <c r="G1" s="9" t="s">
        <v>1</v>
      </c>
      <c r="H1" s="5" t="s">
        <v>8</v>
      </c>
      <c r="I1" s="10" t="s">
        <v>14</v>
      </c>
      <c r="J1" s="48" t="s">
        <v>686</v>
      </c>
      <c r="K1" s="48" t="s">
        <v>1097</v>
      </c>
      <c r="L1" s="22" t="s">
        <v>4</v>
      </c>
      <c r="M1" s="17" t="s">
        <v>62</v>
      </c>
      <c r="N1" s="57" t="s">
        <v>646</v>
      </c>
      <c r="O1" s="59" t="s">
        <v>17</v>
      </c>
      <c r="P1" s="5" t="s">
        <v>1263</v>
      </c>
    </row>
    <row r="2" spans="1:16" ht="25.5">
      <c r="A2" s="4" t="s">
        <v>138</v>
      </c>
      <c r="B2" s="5" t="s">
        <v>11</v>
      </c>
      <c r="C2" s="6" t="s">
        <v>48</v>
      </c>
      <c r="D2" s="11"/>
      <c r="F2" s="13" t="str">
        <f ca="1">VLOOKUP(LEFT(A2,IF(ISERROR(FIND(".",A2)),LEN(A2)+1,FIND(".",A2))-1),WorkList!A:C,3,FALSE)</f>
        <v>Deals Database</v>
      </c>
      <c r="G2" s="14" t="str">
        <f ca="1">VLOOKUP(CONCATENATE(A2),WorkList!A:C,3,FALSE)</f>
        <v>Fixes to fixing and schedule building required to stop error from Radial and Totoro</v>
      </c>
      <c r="H2" s="13" t="str">
        <f ca="1">VLOOKUP(CONCATENATE(A2),WorkList!A:D,4,FALSE)</f>
        <v>Research</v>
      </c>
      <c r="I2" s="15">
        <f ca="1">VLOOKUP(CONCATENATE(A2),WorkList!A:E,5,FALSE)</f>
        <v>39911</v>
      </c>
      <c r="J2" s="49">
        <f ca="1">VLOOKUP(CONCATENATE(A2),WorkList!A:F,6,FALSE)</f>
        <v>0</v>
      </c>
      <c r="K2" s="49">
        <f ca="1">VLOOKUP(CONCATENATE(A2),WorkList!A:G,7,FALSE)</f>
        <v>0</v>
      </c>
      <c r="L2" s="7" t="s">
        <v>13</v>
      </c>
      <c r="M2" s="16">
        <v>40135</v>
      </c>
      <c r="N2" s="60">
        <f ca="1">VALUE(LEFT(C2))</f>
        <v>0</v>
      </c>
      <c r="O2" s="61">
        <f ca="1">INT(IF(N2&gt;0,1+MAX(N2*N2-(IF(D2="",TODAY()+(5-N2)*15,D2)-TODAY())/4,N2),IF(TODAY()-M2&gt;10,0,1)))</f>
        <v>0</v>
      </c>
      <c r="P2" s="1" t="str">
        <f ca="1">IF(ISNA(VLOOKUP(A2,Projects!B:B,1,FALSE)),"","Yes")</f>
        <v/>
      </c>
    </row>
    <row r="3" spans="1:16" ht="25.5">
      <c r="A3" s="4" t="s">
        <v>176</v>
      </c>
      <c r="B3" s="5" t="s">
        <v>11</v>
      </c>
      <c r="C3" s="51" t="s">
        <v>48</v>
      </c>
      <c r="D3" s="11"/>
      <c r="F3" s="13" t="str">
        <f ca="1">VLOOKUP(LEFT(A3,IF(ISERROR(FIND(".",A3)),LEN(A3)+1,FIND(".",A3))-1),WorkList!A:C,3,FALSE)</f>
        <v>Deals Database</v>
      </c>
      <c r="G3" s="14" t="str">
        <f ca="1">VLOOKUP(CONCATENATE(A3),WorkList!A:C,3,FALSE)</f>
        <v>Fix workout date issue of 3 bonds listed on 'Problem Bonds' Sheet</v>
      </c>
      <c r="H3" s="13" t="str">
        <f ca="1">VLOOKUP(CONCATENATE(A3),WorkList!A:D,4,FALSE)</f>
        <v>Research</v>
      </c>
      <c r="I3" s="15">
        <f ca="1">VLOOKUP(CONCATENATE(A3),WorkList!A:E,5,FALSE)</f>
        <v>39932</v>
      </c>
      <c r="J3" s="49">
        <f ca="1">VLOOKUP(CONCATENATE(A3),WorkList!A:F,6,FALSE)</f>
        <v>0</v>
      </c>
      <c r="K3" s="49">
        <f ca="1">VLOOKUP(CONCATENATE(A3),WorkList!A:G,7,FALSE)</f>
        <v>0</v>
      </c>
      <c r="L3" s="7" t="s">
        <v>13</v>
      </c>
      <c r="M3" s="16">
        <v>39932</v>
      </c>
      <c r="N3" s="60">
        <f ca="1">VALUE(LEFT(C3))</f>
        <v>0</v>
      </c>
      <c r="O3" s="61">
        <f ca="1">INT(IF(N3&gt;0,1+MAX(N3*N3-(IF(D3="",TODAY()+(5-N3)*15,D3)-TODAY())/4,N3),IF(TODAY()-M3&gt;10,0,1)))</f>
        <v>0</v>
      </c>
      <c r="P3" s="1" t="str">
        <f ca="1">IF(ISNA(VLOOKUP(A3,Projects!B:B,1,FALSE)),"","Yes")</f>
        <v/>
      </c>
    </row>
    <row r="4" spans="1:16">
      <c r="A4" s="4" t="s">
        <v>1961</v>
      </c>
      <c r="B4" s="5" t="s">
        <v>11</v>
      </c>
      <c r="C4" s="7" t="s">
        <v>48</v>
      </c>
      <c r="D4" s="11"/>
      <c r="F4" s="13" t="str">
        <f ca="1">VLOOKUP(LEFT(A4,IF(ISERROR(FIND(".",A4)),LEN(A4)+1,FIND(".",A4))-1),WorkList!A:C,3,FALSE)</f>
        <v>Deals Database</v>
      </c>
      <c r="G4" s="14" t="str">
        <f ca="1">VLOOKUP(CONCATENATE(A4),WorkList!A:C,3,FALSE)</f>
        <v>Fix problem where fixing &gt;= work out date</v>
      </c>
      <c r="H4" s="13" t="str">
        <f ca="1">VLOOKUP(CONCATENATE(A4),WorkList!A:D,4,FALSE)</f>
        <v>Neil</v>
      </c>
      <c r="I4" s="15">
        <f ca="1">VLOOKUP(CONCATENATE(A4),WorkList!A:E,5,FALSE)</f>
        <v>39945</v>
      </c>
      <c r="J4" s="49">
        <f ca="1">VLOOKUP(CONCATENATE(A4),WorkList!A:F,6,FALSE)</f>
        <v>0</v>
      </c>
      <c r="K4" s="49">
        <f ca="1">VLOOKUP(CONCATENATE(A4),WorkList!A:G,7,FALSE)</f>
        <v>0</v>
      </c>
      <c r="L4" s="7" t="s">
        <v>13</v>
      </c>
      <c r="M4" s="16">
        <v>39945</v>
      </c>
      <c r="N4" s="60">
        <f ca="1">VALUE(LEFT(C4))</f>
        <v>0</v>
      </c>
      <c r="O4" s="61">
        <f ca="1">INT(IF(N4&gt;0,1+MAX(N4*N4-(IF(D4="",TODAY()+(5-N4)*15,D4)-TODAY())/4,N4),IF(TODAY()-M4&gt;10,0,1)))</f>
        <v>0</v>
      </c>
      <c r="P4" s="1" t="str">
        <f ca="1">IF(ISNA(VLOOKUP(A4,Projects!B:B,1,FALSE)),"","Yes")</f>
        <v/>
      </c>
    </row>
    <row r="5" spans="1:16">
      <c r="A5" s="4" t="s">
        <v>556</v>
      </c>
      <c r="B5" s="5" t="s">
        <v>11</v>
      </c>
      <c r="C5" s="6" t="s">
        <v>48</v>
      </c>
      <c r="D5" s="11"/>
      <c r="F5" s="13" t="str">
        <f ca="1">VLOOKUP(LEFT(A5,IF(ISERROR(FIND(".",A5)),LEN(A5)+1,FIND(".",A5))-1),WorkList!A:C,3,FALSE)</f>
        <v>Deals Database</v>
      </c>
      <c r="G5" s="14" t="str">
        <f ca="1">VLOOKUP(CONCATENATE(A5),WorkList!A:C,3,FALSE)</f>
        <v>Add additional BBG fields to support pricing</v>
      </c>
      <c r="H5" s="13" t="str">
        <f ca="1">VLOOKUP(CONCATENATE(A5),WorkList!A:D,4,FALSE)</f>
        <v>Neil</v>
      </c>
      <c r="I5" s="15">
        <f ca="1">VLOOKUP(CONCATENATE(A5),WorkList!A:E,5,FALSE)</f>
        <v>39944</v>
      </c>
      <c r="J5" s="49">
        <f ca="1">VLOOKUP(CONCATENATE(A5),WorkList!A:F,6,FALSE)</f>
        <v>0</v>
      </c>
      <c r="K5" s="49">
        <f ca="1">VLOOKUP(CONCATENATE(A5),WorkList!A:G,7,FALSE)</f>
        <v>0</v>
      </c>
      <c r="L5" s="7" t="s">
        <v>13</v>
      </c>
      <c r="M5" s="16">
        <v>39948</v>
      </c>
      <c r="N5" s="60">
        <f ca="1">VALUE(LEFT(C5))</f>
        <v>0</v>
      </c>
      <c r="O5" s="61">
        <f ca="1">INT(IF(N5&gt;0,1+MAX(N5*N5-(IF(D5="",TODAY()+(5-N5)*15,D5)-TODAY())/4,N5),IF(TODAY()-M5&gt;10,0,1)))</f>
        <v>0</v>
      </c>
      <c r="P5" s="1" t="str">
        <f ca="1">IF(ISNA(VLOOKUP(A5,Projects!B:B,1,FALSE)),"","Yes")</f>
        <v/>
      </c>
    </row>
    <row r="6" spans="1:16">
      <c r="A6" s="4" t="s">
        <v>555</v>
      </c>
      <c r="B6" s="5" t="s">
        <v>11</v>
      </c>
      <c r="C6" s="6" t="s">
        <v>48</v>
      </c>
      <c r="D6" s="11"/>
      <c r="F6" s="13" t="str">
        <f ca="1">VLOOKUP(LEFT(A6,IF(ISERROR(FIND(".",A6)),LEN(A6)+1,FIND(".",A6))-1),WorkList!A:C,3,FALSE)</f>
        <v>Deals Database</v>
      </c>
      <c r="G6" s="14" t="str">
        <f ca="1">VLOOKUP(CONCATENATE(A6),WorkList!A:C,3,FALSE)</f>
        <v>Add function to GUI to refresh all BBG data in one go</v>
      </c>
      <c r="H6" s="13" t="str">
        <f ca="1">VLOOKUP(CONCATENATE(A6),WorkList!A:D,4,FALSE)</f>
        <v>Friedel</v>
      </c>
      <c r="I6" s="15">
        <f ca="1">VLOOKUP(CONCATENATE(A6),WorkList!A:E,5,FALSE)</f>
        <v>39953</v>
      </c>
      <c r="J6" s="49">
        <f ca="1">VLOOKUP(CONCATENATE(A6),WorkList!A:F,6,FALSE)</f>
        <v>0</v>
      </c>
      <c r="K6" s="49">
        <f ca="1">VLOOKUP(CONCATENATE(A6),WorkList!A:G,7,FALSE)</f>
        <v>0</v>
      </c>
      <c r="L6" s="11" t="s">
        <v>13</v>
      </c>
      <c r="M6" s="16">
        <v>40135</v>
      </c>
      <c r="N6" s="60">
        <f ca="1">VALUE(LEFT(C6))</f>
        <v>0</v>
      </c>
      <c r="O6" s="61">
        <f ca="1">INT(IF(N6&gt;0,1+MAX(N6*N6-(IF(D6="",TODAY()+(5-N6)*15,D6)-TODAY())/4,N6),IF(TODAY()-M6&gt;10,0,1)))</f>
        <v>0</v>
      </c>
      <c r="P6" s="1" t="str">
        <f ca="1">IF(ISNA(VLOOKUP(A6,Projects!B:B,1,FALSE)),"","Yes")</f>
        <v/>
      </c>
    </row>
    <row r="7" spans="1:16">
      <c r="A7" s="4" t="s">
        <v>554</v>
      </c>
      <c r="B7" s="5" t="s">
        <v>21</v>
      </c>
      <c r="C7" s="7" t="s">
        <v>197</v>
      </c>
      <c r="D7" s="11"/>
      <c r="F7" s="13" t="str">
        <f ca="1">VLOOKUP(LEFT(A7,IF(ISERROR(FIND(".",A7)),LEN(A7)+1,FIND(".",A7))-1),WorkList!A:C,3,FALSE)</f>
        <v>Deals Database</v>
      </c>
      <c r="G7" s="14" t="str">
        <f ca="1">VLOOKUP(CONCATENATE(A7),WorkList!A:C,3,FALSE)</f>
        <v>Add window navigator facility to easily locate Windows</v>
      </c>
      <c r="H7" s="13" t="str">
        <f ca="1">VLOOKUP(CONCATENATE(A7),WorkList!A:D,4,FALSE)</f>
        <v>Neil</v>
      </c>
      <c r="I7" s="15">
        <f ca="1">VLOOKUP(CONCATENATE(A7),WorkList!A:E,5,FALSE)</f>
        <v>39954</v>
      </c>
      <c r="J7" s="49">
        <f ca="1">VLOOKUP(CONCATENATE(A7),WorkList!A:F,6,FALSE)</f>
        <v>3</v>
      </c>
      <c r="K7" s="49" t="str">
        <f ca="1">VLOOKUP(CONCATENATE(A7),WorkList!A:G,7,FALSE)</f>
        <v>Enhancement</v>
      </c>
      <c r="L7" s="7" t="s">
        <v>7</v>
      </c>
      <c r="M7" s="16">
        <v>40283</v>
      </c>
      <c r="N7" s="60">
        <f ca="1">VALUE(LEFT(C7))</f>
        <v>1</v>
      </c>
      <c r="O7" s="61">
        <f ca="1">INT(IF(N7&gt;0,1+MAX(N7*N7-(IF(D7="",TODAY()+(5-N7)*15,D7)-TODAY())/4,N7),IF(TODAY()-M7&gt;10,0,1)))</f>
        <v>2</v>
      </c>
      <c r="P7" s="1" t="str">
        <f ca="1">IF(ISNA(VLOOKUP(A7,Projects!B:B,1,FALSE)),"","Yes")</f>
        <v/>
      </c>
    </row>
    <row r="8" spans="1:16">
      <c r="A8" s="4" t="s">
        <v>553</v>
      </c>
      <c r="B8" s="5" t="s">
        <v>11</v>
      </c>
      <c r="C8" s="6" t="s">
        <v>48</v>
      </c>
      <c r="D8" s="11"/>
      <c r="F8" s="13" t="str">
        <f ca="1">VLOOKUP(LEFT(A8,IF(ISERROR(FIND(".",A8)),LEN(A8)+1,FIND(".",A8))-1),WorkList!A:C,3,FALSE)</f>
        <v>Deals Database</v>
      </c>
      <c r="G8" s="14" t="str">
        <f ca="1">VLOOKUP(CONCATENATE(A8),WorkList!A:C,3,FALSE)</f>
        <v>Investigate duplicate fixings</v>
      </c>
      <c r="H8" s="13" t="str">
        <f ca="1">VLOOKUP(CONCATENATE(A8),WorkList!A:D,4,FALSE)</f>
        <v>Friedel</v>
      </c>
      <c r="I8" s="15">
        <f ca="1">VLOOKUP(CONCATENATE(A8),WorkList!A:E,5,FALSE)</f>
        <v>39954</v>
      </c>
      <c r="J8" s="49">
        <f ca="1">VLOOKUP(CONCATENATE(A8),WorkList!A:F,6,FALSE)</f>
        <v>0</v>
      </c>
      <c r="K8" s="49">
        <f ca="1">VLOOKUP(CONCATENATE(A8),WorkList!A:G,7,FALSE)</f>
        <v>0</v>
      </c>
      <c r="L8" s="11" t="s">
        <v>13</v>
      </c>
      <c r="M8" s="16">
        <v>40135</v>
      </c>
      <c r="N8" s="60">
        <f ca="1">VALUE(LEFT(C8))</f>
        <v>0</v>
      </c>
      <c r="O8" s="61">
        <f ca="1">INT(IF(N8&gt;0,1+MAX(N8*N8-(IF(D8="",TODAY()+(5-N8)*15,D8)-TODAY())/4,N8),IF(TODAY()-M8&gt;10,0,1)))</f>
        <v>0</v>
      </c>
      <c r="P8" s="1" t="str">
        <f ca="1">IF(ISNA(VLOOKUP(A8,Projects!B:B,1,FALSE)),"","Yes")</f>
        <v/>
      </c>
    </row>
    <row r="9" spans="1:16">
      <c r="A9" s="4" t="s">
        <v>552</v>
      </c>
      <c r="B9" s="5" t="s">
        <v>11</v>
      </c>
      <c r="C9" s="6" t="s">
        <v>48</v>
      </c>
      <c r="D9" s="11"/>
      <c r="F9" s="13" t="str">
        <f ca="1">VLOOKUP(LEFT(A9,IF(ISERROR(FIND(".",A9)),LEN(A9)+1,FIND(".",A9))-1),WorkList!A:C,3,FALSE)</f>
        <v>Deals Database</v>
      </c>
      <c r="G9" s="14" t="str">
        <f ca="1">VLOOKUP(CONCATENATE(A9),WorkList!A:C,3,FALSE)</f>
        <v>Make use of Bloomberg Bridge</v>
      </c>
      <c r="H9" s="13" t="str">
        <f ca="1">VLOOKUP(CONCATENATE(A9),WorkList!A:D,4,FALSE)</f>
        <v>Neil</v>
      </c>
      <c r="I9" s="15">
        <f ca="1">VLOOKUP(CONCATENATE(A9),WorkList!A:E,5,FALSE)</f>
        <v>39960</v>
      </c>
      <c r="J9" s="49">
        <f ca="1">VLOOKUP(CONCATENATE(A9),WorkList!A:F,6,FALSE)</f>
        <v>0</v>
      </c>
      <c r="K9" s="49">
        <f ca="1">VLOOKUP(CONCATENATE(A9),WorkList!A:G,7,FALSE)</f>
        <v>0</v>
      </c>
      <c r="L9" s="7" t="s">
        <v>13</v>
      </c>
      <c r="M9" s="16">
        <v>39972</v>
      </c>
      <c r="N9" s="60">
        <f ca="1">VALUE(LEFT(C9))</f>
        <v>0</v>
      </c>
      <c r="O9" s="61">
        <f ca="1">INT(IF(N9&gt;0,1+MAX(N9*N9-(IF(D9="",TODAY()+(5-N9)*15,D9)-TODAY())/4,N9),IF(TODAY()-M9&gt;10,0,1)))</f>
        <v>0</v>
      </c>
      <c r="P9" s="1" t="str">
        <f ca="1">IF(ISNA(VLOOKUP(A9,Projects!B:B,1,FALSE)),"","Yes")</f>
        <v/>
      </c>
    </row>
    <row r="10" spans="1:16">
      <c r="A10" s="4" t="s">
        <v>551</v>
      </c>
      <c r="B10" s="5" t="s">
        <v>11</v>
      </c>
      <c r="C10" s="6" t="s">
        <v>48</v>
      </c>
      <c r="D10" s="11"/>
      <c r="F10" s="13" t="str">
        <f ca="1">VLOOKUP(LEFT(A10,IF(ISERROR(FIND(".",A10)),LEN(A10)+1,FIND(".",A10))-1),WorkList!A:C,3,FALSE)</f>
        <v>Deals Database</v>
      </c>
      <c r="G10" s="14" t="str">
        <f ca="1">VLOOKUP(CONCATENATE(A10),WorkList!A:C,3,FALSE)</f>
        <v>Make Fixings editable</v>
      </c>
      <c r="H10" s="13" t="str">
        <f ca="1">VLOOKUP(CONCATENATE(A10),WorkList!A:D,4,FALSE)</f>
        <v>Neil</v>
      </c>
      <c r="I10" s="15">
        <f ca="1">VLOOKUP(CONCATENATE(A10),WorkList!A:E,5,FALSE)</f>
        <v>39975</v>
      </c>
      <c r="J10" s="49">
        <f ca="1">VLOOKUP(CONCATENATE(A10),WorkList!A:F,6,FALSE)</f>
        <v>0</v>
      </c>
      <c r="K10" s="49">
        <f ca="1">VLOOKUP(CONCATENATE(A10),WorkList!A:G,7,FALSE)</f>
        <v>0</v>
      </c>
      <c r="L10" s="7" t="s">
        <v>13</v>
      </c>
      <c r="M10" s="16">
        <v>39997</v>
      </c>
      <c r="N10" s="60">
        <f ca="1">VALUE(LEFT(C10))</f>
        <v>0</v>
      </c>
      <c r="O10" s="61">
        <f ca="1">INT(IF(N10&gt;0,1+MAX(N10*N10-(IF(D10="",TODAY()+(5-N10)*15,D10)-TODAY())/4,N10),IF(TODAY()-M10&gt;10,0,1)))</f>
        <v>0</v>
      </c>
      <c r="P10" s="1" t="str">
        <f ca="1">IF(ISNA(VLOOKUP(A10,Projects!B:B,1,FALSE)),"","Yes")</f>
        <v/>
      </c>
    </row>
    <row r="11" spans="1:16">
      <c r="A11" s="4" t="s">
        <v>550</v>
      </c>
      <c r="B11" s="5" t="s">
        <v>37</v>
      </c>
      <c r="C11" s="6" t="s">
        <v>1087</v>
      </c>
      <c r="D11" s="11"/>
      <c r="F11" s="13" t="str">
        <f ca="1">VLOOKUP(LEFT(A11,IF(ISERROR(FIND(".",A11)),LEN(A11)+1,FIND(".",A11))-1),WorkList!A:C,3,FALSE)</f>
        <v>Deals Database</v>
      </c>
      <c r="G11" s="14" t="str">
        <f ca="1">VLOOKUP(CONCATENATE(A11),WorkList!A:C,3,FALSE)</f>
        <v>Add comments functionality</v>
      </c>
      <c r="H11" s="13" t="str">
        <f ca="1">VLOOKUP(CONCATENATE(A11),WorkList!A:D,4,FALSE)</f>
        <v>David Covey</v>
      </c>
      <c r="I11" s="15">
        <f ca="1">VLOOKUP(CONCATENATE(A11),WorkList!A:E,5,FALSE)</f>
        <v>40283</v>
      </c>
      <c r="J11" s="49">
        <f ca="1">VLOOKUP(CONCATENATE(A11),WorkList!A:F,6,FALSE)</f>
        <v>3</v>
      </c>
      <c r="K11" s="49" t="str">
        <f ca="1">VLOOKUP(CONCATENATE(A11),WorkList!A:G,7,FALSE)</f>
        <v>NewDevelopment</v>
      </c>
      <c r="L11" s="7" t="s">
        <v>1096</v>
      </c>
      <c r="M11" s="16">
        <v>40394</v>
      </c>
      <c r="N11" s="60">
        <f ca="1">VALUE(LEFT(C11))</f>
        <v>0</v>
      </c>
      <c r="O11" s="61">
        <f ca="1">INT(IF(N11&gt;0,1+MAX(N11*N11-(IF(D11="",TODAY()+(5-N11)*15,D11)-TODAY())/4,N11),IF(TODAY()-M11&gt;10,0,1)))</f>
        <v>0</v>
      </c>
      <c r="P11" s="1" t="str">
        <f ca="1">IF(ISNA(VLOOKUP(A11,Projects!B:B,1,FALSE)),"","Yes")</f>
        <v/>
      </c>
    </row>
    <row r="12" spans="1:16">
      <c r="A12" s="4" t="s">
        <v>549</v>
      </c>
      <c r="B12" s="5" t="s">
        <v>11</v>
      </c>
      <c r="C12" s="6" t="s">
        <v>48</v>
      </c>
      <c r="D12" s="11"/>
      <c r="F12" s="13" t="str">
        <f ca="1">VLOOKUP(LEFT(A12,IF(ISERROR(FIND(".",A12)),LEN(A12)+1,FIND(".",A12))-1),WorkList!A:C,3,FALSE)</f>
        <v>Deals Database</v>
      </c>
      <c r="G12" s="14" t="str">
        <f ca="1">VLOOKUP(CONCATENATE(A12),WorkList!A:C,3,FALSE)</f>
        <v>Modify Radial feed to be more secure</v>
      </c>
      <c r="H12" s="13" t="str">
        <f ca="1">VLOOKUP(CONCATENATE(A12),WorkList!A:D,4,FALSE)</f>
        <v>Compliance</v>
      </c>
      <c r="I12" s="15">
        <f ca="1">VLOOKUP(CONCATENATE(A12),WorkList!A:E,5,FALSE)</f>
        <v>39975</v>
      </c>
      <c r="J12" s="49">
        <f ca="1">VLOOKUP(CONCATENATE(A12),WorkList!A:F,6,FALSE)</f>
        <v>0</v>
      </c>
      <c r="K12" s="49">
        <f ca="1">VLOOKUP(CONCATENATE(A12),WorkList!A:G,7,FALSE)</f>
        <v>0</v>
      </c>
      <c r="L12" s="7" t="s">
        <v>13</v>
      </c>
      <c r="M12" s="16">
        <v>40011</v>
      </c>
      <c r="N12" s="60">
        <f ca="1">VALUE(LEFT(C12))</f>
        <v>0</v>
      </c>
      <c r="O12" s="61">
        <f ca="1">INT(IF(N12&gt;0,1+MAX(N12*N12-(IF(D12="",TODAY()+(5-N12)*15,D12)-TODAY())/4,N12),IF(TODAY()-M12&gt;10,0,1)))</f>
        <v>0</v>
      </c>
      <c r="P12" s="1" t="str">
        <f ca="1">IF(ISNA(VLOOKUP(A12,Projects!B:B,1,FALSE)),"","Yes")</f>
        <v/>
      </c>
    </row>
    <row r="13" spans="1:16" ht="25.5">
      <c r="A13" s="4" t="s">
        <v>548</v>
      </c>
      <c r="B13" s="5" t="s">
        <v>11</v>
      </c>
      <c r="C13" s="6" t="s">
        <v>48</v>
      </c>
      <c r="D13" s="11"/>
      <c r="F13" s="13" t="str">
        <f ca="1">VLOOKUP(LEFT(A13,IF(ISERROR(FIND(".",A13)),LEN(A13)+1,FIND(".",A13))-1),WorkList!A:C,3,FALSE)</f>
        <v>Deals Database</v>
      </c>
      <c r="G13" s="14" t="str">
        <f ca="1">VLOOKUP(CONCATENATE(A13),WorkList!A:C,3,FALSE)</f>
        <v>Add 'TradesOnCurrentFace' to Radial feed and get it into Totoro</v>
      </c>
      <c r="H13" s="13" t="str">
        <f ca="1">VLOOKUP(CONCATENATE(A13),WorkList!A:D,4,FALSE)</f>
        <v>Friedel</v>
      </c>
      <c r="I13" s="15">
        <f ca="1">VLOOKUP(CONCATENATE(A13),WorkList!A:E,5,FALSE)</f>
        <v>40001</v>
      </c>
      <c r="J13" s="49">
        <f ca="1">VLOOKUP(CONCATENATE(A13),WorkList!A:F,6,FALSE)</f>
        <v>0</v>
      </c>
      <c r="K13" s="49">
        <f ca="1">VLOOKUP(CONCATENATE(A13),WorkList!A:G,7,FALSE)</f>
        <v>0</v>
      </c>
      <c r="L13" s="7" t="s">
        <v>13</v>
      </c>
      <c r="M13" s="16">
        <v>40011</v>
      </c>
      <c r="N13" s="60">
        <f ca="1">VALUE(LEFT(C13))</f>
        <v>0</v>
      </c>
      <c r="O13" s="61">
        <f ca="1">INT(IF(N13&gt;0,1+MAX(N13*N13-(IF(D13="",TODAY()+(5-N13)*15,D13)-TODAY())/4,N13),IF(TODAY()-M13&gt;10,0,1)))</f>
        <v>0</v>
      </c>
      <c r="P13" s="1" t="str">
        <f ca="1">IF(ISNA(VLOOKUP(A13,Projects!B:B,1,FALSE)),"","Yes")</f>
        <v/>
      </c>
    </row>
    <row r="14" spans="1:16" s="7" customFormat="1">
      <c r="A14" s="4" t="s">
        <v>310</v>
      </c>
      <c r="B14" s="5" t="s">
        <v>11</v>
      </c>
      <c r="C14" s="6" t="s">
        <v>48</v>
      </c>
      <c r="D14" s="11"/>
      <c r="E14" s="12"/>
      <c r="F14" s="13" t="str">
        <f ca="1">VLOOKUP(LEFT(A14,IF(ISERROR(FIND(".",A14)),LEN(A14)+1,FIND(".",A14))-1),WorkList!A:C,3,FALSE)</f>
        <v>Deals Database</v>
      </c>
      <c r="G14" s="14" t="str">
        <f ca="1">VLOOKUP(CONCATENATE(A14),WorkList!A:C,3,FALSE)</f>
        <v>Make Cashflow Generate send emails upon completion</v>
      </c>
      <c r="H14" s="13" t="str">
        <f ca="1">VLOOKUP(CONCATENATE(A14),WorkList!A:D,4,FALSE)</f>
        <v>Neil</v>
      </c>
      <c r="I14" s="15">
        <f ca="1">VLOOKUP(CONCATENATE(A14),WorkList!A:E,5,FALSE)</f>
        <v>40001</v>
      </c>
      <c r="J14" s="49">
        <f ca="1">VLOOKUP(CONCATENATE(A14),WorkList!A:F,6,FALSE)</f>
        <v>0</v>
      </c>
      <c r="K14" s="49">
        <f ca="1">VLOOKUP(CONCATENATE(A14),WorkList!A:G,7,FALSE)</f>
        <v>0</v>
      </c>
      <c r="L14" s="7" t="s">
        <v>13</v>
      </c>
      <c r="M14" s="16">
        <v>40011</v>
      </c>
      <c r="N14" s="60">
        <f ca="1">VALUE(LEFT(C14))</f>
        <v>0</v>
      </c>
      <c r="O14" s="61">
        <f ca="1">INT(IF(N14&gt;0,1+MAX(N14*N14-(IF(D14="",TODAY()+(5-N14)*15,D14)-TODAY())/4,N14),IF(TODAY()-M14&gt;10,0,1)))</f>
        <v>0</v>
      </c>
      <c r="P14" s="1" t="str">
        <f ca="1">IF(ISNA(VLOOKUP(A14,Projects!B:B,1,FALSE)),"","Yes")</f>
        <v/>
      </c>
    </row>
    <row r="15" spans="1:16" s="7" customFormat="1" ht="25.5">
      <c r="A15" s="4" t="s">
        <v>349</v>
      </c>
      <c r="B15" s="5" t="s">
        <v>11</v>
      </c>
      <c r="C15" s="6" t="s">
        <v>48</v>
      </c>
      <c r="D15" s="11"/>
      <c r="E15" s="12"/>
      <c r="F15" s="13" t="str">
        <f ca="1">VLOOKUP(LEFT(A15,IF(ISERROR(FIND(".",A15)),LEN(A15)+1,FIND(".",A15))-1),WorkList!A:C,3,FALSE)</f>
        <v>Deals Database</v>
      </c>
      <c r="G15" s="14" t="str">
        <f ca="1">VLOOKUP(CONCATENATE(A15),WorkList!A:C,3,FALSE)</f>
        <v>Find out why bond XS0112279616 errors on overnight load - Done. Due to BBG bridge access Corp key</v>
      </c>
      <c r="H15" s="13" t="str">
        <f ca="1">VLOOKUP(CONCATENATE(A15),WorkList!A:D,4,FALSE)</f>
        <v>Neil</v>
      </c>
      <c r="I15" s="15">
        <f ca="1">VLOOKUP(CONCATENATE(A15),WorkList!A:E,5,FALSE)</f>
        <v>40028</v>
      </c>
      <c r="J15" s="49">
        <f ca="1">VLOOKUP(CONCATENATE(A15),WorkList!A:F,6,FALSE)</f>
        <v>0</v>
      </c>
      <c r="K15" s="49">
        <f ca="1">VLOOKUP(CONCATENATE(A15),WorkList!A:G,7,FALSE)</f>
        <v>0</v>
      </c>
      <c r="L15" s="7" t="s">
        <v>13</v>
      </c>
      <c r="M15" s="16">
        <v>40028</v>
      </c>
      <c r="N15" s="60">
        <f ca="1">VALUE(LEFT(C15))</f>
        <v>0</v>
      </c>
      <c r="O15" s="61">
        <f ca="1">INT(IF(N15&gt;0,1+MAX(N15*N15-(IF(D15="",TODAY()+(5-N15)*15,D15)-TODAY())/4,N15),IF(TODAY()-M15&gt;10,0,1)))</f>
        <v>0</v>
      </c>
      <c r="P15" s="1" t="str">
        <f ca="1">IF(ISNA(VLOOKUP(A15,Projects!B:B,1,FALSE)),"","Yes")</f>
        <v/>
      </c>
    </row>
    <row r="16" spans="1:16" s="7" customFormat="1">
      <c r="A16" s="4" t="s">
        <v>350</v>
      </c>
      <c r="B16" s="5" t="s">
        <v>11</v>
      </c>
      <c r="C16" s="7" t="s">
        <v>48</v>
      </c>
      <c r="D16" s="11"/>
      <c r="E16" s="12"/>
      <c r="F16" s="13" t="str">
        <f ca="1">VLOOKUP(LEFT(A16,IF(ISERROR(FIND(".",A16)),LEN(A16)+1,FIND(".",A16))-1),WorkList!A:C,3,FALSE)</f>
        <v>Deals Database</v>
      </c>
      <c r="G16" s="14" t="str">
        <f ca="1">VLOOKUP(CONCATENATE(A16),WorkList!A:C,3,FALSE)</f>
        <v>Add 'to call' facility for extracting BBG cashflows</v>
      </c>
      <c r="H16" s="13" t="str">
        <f ca="1">VLOOKUP(CONCATENATE(A16),WorkList!A:D,4,FALSE)</f>
        <v>Neil</v>
      </c>
      <c r="I16" s="15">
        <f ca="1">VLOOKUP(CONCATENATE(A16),WorkList!A:E,5,FALSE)</f>
        <v>40025</v>
      </c>
      <c r="J16" s="49">
        <f ca="1">VLOOKUP(CONCATENATE(A16),WorkList!A:F,6,FALSE)</f>
        <v>0.5</v>
      </c>
      <c r="K16" s="49">
        <f ca="1">VLOOKUP(CONCATENATE(A16),WorkList!A:G,7,FALSE)</f>
        <v>0</v>
      </c>
      <c r="L16" s="7" t="s">
        <v>13</v>
      </c>
      <c r="M16" s="16">
        <v>40144</v>
      </c>
      <c r="N16" s="60">
        <f ca="1">VALUE(LEFT(C16))</f>
        <v>0</v>
      </c>
      <c r="O16" s="61">
        <f ca="1">INT(IF(N16&gt;0,1+MAX(N16*N16-(IF(D16="",TODAY()+(5-N16)*15,D16)-TODAY())/4,N16),IF(TODAY()-M16&gt;10,0,1)))</f>
        <v>0</v>
      </c>
      <c r="P16" s="1" t="str">
        <f ca="1">IF(ISNA(VLOOKUP(A16,Projects!B:B,1,FALSE)),"","Yes")</f>
        <v/>
      </c>
    </row>
    <row r="17" spans="1:16" s="7" customFormat="1">
      <c r="A17" s="4" t="s">
        <v>352</v>
      </c>
      <c r="B17" s="5" t="s">
        <v>32</v>
      </c>
      <c r="C17" s="6" t="s">
        <v>48</v>
      </c>
      <c r="D17" s="11"/>
      <c r="E17" s="12"/>
      <c r="F17" s="13" t="str">
        <f ca="1">VLOOKUP(LEFT(A17,IF(ISERROR(FIND(".",A17)),LEN(A17)+1,FIND(".",A17))-1),WorkList!A:C,3,FALSE)</f>
        <v>Deals Database</v>
      </c>
      <c r="G17" s="14" t="str">
        <f ca="1">VLOOKUP(CONCATENATE(A17),WorkList!A:C,3,FALSE)</f>
        <v>Improve error message when BBG API is not present</v>
      </c>
      <c r="H17" s="13" t="str">
        <f ca="1">VLOOKUP(CONCATENATE(A17),WorkList!A:D,4,FALSE)</f>
        <v>Neil</v>
      </c>
      <c r="I17" s="15">
        <f ca="1">VLOOKUP(CONCATENATE(A17),WorkList!A:E,5,FALSE)</f>
        <v>40025</v>
      </c>
      <c r="J17" s="49">
        <f ca="1">VLOOKUP(CONCATENATE(A17),WorkList!A:F,6,FALSE)</f>
        <v>0.5</v>
      </c>
      <c r="K17" s="49">
        <f ca="1">VLOOKUP(CONCATENATE(A17),WorkList!A:G,7,FALSE)</f>
        <v>0</v>
      </c>
      <c r="L17" s="7" t="s">
        <v>13</v>
      </c>
      <c r="M17" s="16">
        <v>40218</v>
      </c>
      <c r="N17" s="60">
        <f ca="1">VALUE(LEFT(C17))</f>
        <v>0</v>
      </c>
      <c r="O17" s="61">
        <f ca="1">INT(IF(N17&gt;0,1+MAX(N17*N17-(IF(D17="",TODAY()+(5-N17)*15,D17)-TODAY())/4,N17),IF(TODAY()-M17&gt;10,0,1)))</f>
        <v>0</v>
      </c>
      <c r="P17" s="1" t="str">
        <f ca="1">IF(ISNA(VLOOKUP(A17,Projects!B:B,1,FALSE)),"","Yes")</f>
        <v/>
      </c>
    </row>
    <row r="18" spans="1:16" s="7" customFormat="1">
      <c r="A18" s="4" t="s">
        <v>354</v>
      </c>
      <c r="B18" s="5" t="s">
        <v>32</v>
      </c>
      <c r="C18" s="6" t="s">
        <v>48</v>
      </c>
      <c r="D18" s="11"/>
      <c r="E18" s="12"/>
      <c r="F18" s="13" t="str">
        <f ca="1">VLOOKUP(LEFT(A18,IF(ISERROR(FIND(".",A18)),LEN(A18)+1,FIND(".",A18))-1),WorkList!A:C,3,FALSE)</f>
        <v>Deals Database</v>
      </c>
      <c r="G18" s="14" t="str">
        <f ca="1">VLOOKUP(CONCATENATE(A18),WorkList!A:C,3,FALSE)</f>
        <v>Move to latest BBG Gateway API</v>
      </c>
      <c r="H18" s="13" t="str">
        <f ca="1">VLOOKUP(CONCATENATE(A18),WorkList!A:D,4,FALSE)</f>
        <v>Neil</v>
      </c>
      <c r="I18" s="15">
        <f ca="1">VLOOKUP(CONCATENATE(A18),WorkList!A:E,5,FALSE)</f>
        <v>40086</v>
      </c>
      <c r="J18" s="49">
        <f ca="1">VLOOKUP(CONCATENATE(A18),WorkList!A:F,6,FALSE)</f>
        <v>0</v>
      </c>
      <c r="K18" s="49">
        <f ca="1">VLOOKUP(CONCATENATE(A18),WorkList!A:G,7,FALSE)</f>
        <v>0</v>
      </c>
      <c r="L18" s="7" t="s">
        <v>13</v>
      </c>
      <c r="M18" s="16">
        <v>40099</v>
      </c>
      <c r="N18" s="60">
        <f ca="1">VALUE(LEFT(C18))</f>
        <v>0</v>
      </c>
      <c r="O18" s="61">
        <f ca="1">INT(IF(N18&gt;0,1+MAX(N18*N18-(IF(D18="",TODAY()+(5-N18)*15,D18)-TODAY())/4,N18),IF(TODAY()-M18&gt;10,0,1)))</f>
        <v>0</v>
      </c>
      <c r="P18" s="1" t="str">
        <f ca="1">IF(ISNA(VLOOKUP(A18,Projects!B:B,1,FALSE)),"","Yes")</f>
        <v/>
      </c>
    </row>
    <row r="19" spans="1:16" s="7" customFormat="1">
      <c r="A19" s="4" t="s">
        <v>362</v>
      </c>
      <c r="B19" s="5" t="s">
        <v>11</v>
      </c>
      <c r="C19" s="6" t="s">
        <v>48</v>
      </c>
      <c r="D19" s="11"/>
      <c r="E19" s="12"/>
      <c r="F19" s="13" t="str">
        <f ca="1">VLOOKUP(LEFT(A19,IF(ISERROR(FIND(".",A19)),LEN(A19)+1,FIND(".",A19))-1),WorkList!A:C,3,FALSE)</f>
        <v>Deals Database</v>
      </c>
      <c r="G19" s="14" t="str">
        <f ca="1">VLOOKUP(CONCATENATE(A19),WorkList!A:C,3,FALSE)</f>
        <v>Add ability to populate many bonds from a list of isins</v>
      </c>
      <c r="H19" s="13" t="str">
        <f ca="1">VLOOKUP(CONCATENATE(A19),WorkList!A:D,4,FALSE)</f>
        <v>David</v>
      </c>
      <c r="I19" s="15">
        <f ca="1">VLOOKUP(CONCATENATE(A19),WorkList!A:E,5,FALSE)</f>
        <v>40028</v>
      </c>
      <c r="J19" s="49">
        <f ca="1">VLOOKUP(CONCATENATE(A19),WorkList!A:F,6,FALSE)</f>
        <v>0</v>
      </c>
      <c r="K19" s="49">
        <f ca="1">VLOOKUP(CONCATENATE(A19),WorkList!A:G,7,FALSE)</f>
        <v>0</v>
      </c>
      <c r="L19" s="7" t="s">
        <v>13</v>
      </c>
      <c r="M19" s="16">
        <v>40028</v>
      </c>
      <c r="N19" s="60">
        <f ca="1">VALUE(LEFT(C19))</f>
        <v>0</v>
      </c>
      <c r="O19" s="61">
        <f ca="1">INT(IF(N19&gt;0,1+MAX(N19*N19-(IF(D19="",TODAY()+(5-N19)*15,D19)-TODAY())/4,N19),IF(TODAY()-M19&gt;10,0,1)))</f>
        <v>0</v>
      </c>
      <c r="P19" s="1" t="str">
        <f ca="1">IF(ISNA(VLOOKUP(A19,Projects!B:B,1,FALSE)),"","Yes")</f>
        <v/>
      </c>
    </row>
    <row r="20" spans="1:16" s="7" customFormat="1">
      <c r="A20" s="4" t="s">
        <v>390</v>
      </c>
      <c r="B20" s="5" t="s">
        <v>32</v>
      </c>
      <c r="C20" s="6" t="s">
        <v>48</v>
      </c>
      <c r="D20" s="11"/>
      <c r="E20" s="12"/>
      <c r="F20" s="13" t="str">
        <f ca="1">VLOOKUP(LEFT(A20,IF(ISERROR(FIND(".",A20)),LEN(A20)+1,FIND(".",A20))-1),WorkList!A:C,3,FALSE)</f>
        <v>Deals Database</v>
      </c>
      <c r="G20" s="14" t="str">
        <f ca="1">VLOOKUP(CONCATENATE(A20),WorkList!A:C,3,FALSE)</f>
        <v>Make sure time stamps in feed files are London time</v>
      </c>
      <c r="H20" s="13" t="str">
        <f ca="1">VLOOKUP(CONCATENATE(A20),WorkList!A:D,4,FALSE)</f>
        <v>Neil</v>
      </c>
      <c r="I20" s="15">
        <f ca="1">VLOOKUP(CONCATENATE(A20),WorkList!A:E,5,FALSE)</f>
        <v>40030</v>
      </c>
      <c r="J20" s="49">
        <f ca="1">VLOOKUP(CONCATENATE(A20),WorkList!A:F,6,FALSE)</f>
        <v>0</v>
      </c>
      <c r="K20" s="49">
        <f ca="1">VLOOKUP(CONCATENATE(A20),WorkList!A:G,7,FALSE)</f>
        <v>0</v>
      </c>
      <c r="L20" s="7" t="s">
        <v>13</v>
      </c>
      <c r="M20" s="16">
        <v>40106</v>
      </c>
      <c r="N20" s="60">
        <f ca="1">VALUE(LEFT(C20))</f>
        <v>0</v>
      </c>
      <c r="O20" s="61">
        <f ca="1">INT(IF(N20&gt;0,1+MAX(N20*N20-(IF(D20="",TODAY()+(5-N20)*15,D20)-TODAY())/4,N20),IF(TODAY()-M20&gt;10,0,1)))</f>
        <v>0</v>
      </c>
      <c r="P20" s="1" t="str">
        <f ca="1">IF(ISNA(VLOOKUP(A20,Projects!B:B,1,FALSE)),"","Yes")</f>
        <v/>
      </c>
    </row>
    <row r="21" spans="1:16" s="7" customFormat="1">
      <c r="A21" s="4" t="s">
        <v>423</v>
      </c>
      <c r="B21" s="5" t="s">
        <v>32</v>
      </c>
      <c r="C21" s="6" t="s">
        <v>48</v>
      </c>
      <c r="D21" s="11"/>
      <c r="E21" s="12"/>
      <c r="F21" s="13" t="str">
        <f ca="1">VLOOKUP(LEFT(A21,IF(ISERROR(FIND(".",A21)),LEN(A21)+1,FIND(".",A21))-1),WorkList!A:C,3,FALSE)</f>
        <v>Deals Database</v>
      </c>
      <c r="G21" s="14" t="str">
        <f ca="1">VLOOKUP(CONCATENATE(A21),WorkList!A:C,3,FALSE)</f>
        <v>In Deals DB - Check that bonds can be built with Fingal</v>
      </c>
      <c r="H21" s="13" t="str">
        <f ca="1">VLOOKUP(CONCATENATE(A21),WorkList!A:D,4,FALSE)</f>
        <v>Neil</v>
      </c>
      <c r="I21" s="15">
        <f ca="1">VLOOKUP(CONCATENATE(A21),WorkList!A:E,5,FALSE)</f>
        <v>40049</v>
      </c>
      <c r="J21" s="49">
        <f ca="1">VLOOKUP(CONCATENATE(A21),WorkList!A:F,6,FALSE)</f>
        <v>3</v>
      </c>
      <c r="K21" s="49">
        <f ca="1">VLOOKUP(CONCATENATE(A21),WorkList!A:G,7,FALSE)</f>
        <v>0</v>
      </c>
      <c r="L21" s="7" t="s">
        <v>13</v>
      </c>
      <c r="M21" s="16">
        <v>40218</v>
      </c>
      <c r="N21" s="60">
        <f ca="1">VALUE(LEFT(C21))</f>
        <v>0</v>
      </c>
      <c r="O21" s="61">
        <f ca="1">INT(IF(N21&gt;0,1+MAX(N21*N21-(IF(D21="",TODAY()+(5-N21)*15,D21)-TODAY())/4,N21),IF(TODAY()-M21&gt;10,0,1)))</f>
        <v>0</v>
      </c>
      <c r="P21" s="1" t="str">
        <f ca="1">IF(ISNA(VLOOKUP(A21,Projects!B:B,1,FALSE)),"","Yes")</f>
        <v/>
      </c>
    </row>
    <row r="22" spans="1:16" s="7" customFormat="1" ht="25.5">
      <c r="A22" s="4" t="s">
        <v>425</v>
      </c>
      <c r="B22" s="5" t="s">
        <v>32</v>
      </c>
      <c r="C22" s="6" t="s">
        <v>48</v>
      </c>
      <c r="D22" s="11"/>
      <c r="E22" s="12"/>
      <c r="F22" s="13" t="str">
        <f ca="1">VLOOKUP(LEFT(A22,IF(ISERROR(FIND(".",A22)),LEN(A22)+1,FIND(".",A22))-1),WorkList!A:C,3,FALSE)</f>
        <v>Deals Database</v>
      </c>
      <c r="G22" s="14" t="str">
        <f ca="1">VLOOKUP(CONCATENATE(A22),WorkList!A:C,3,FALSE)</f>
        <v>In Cashflow Generator - Check that bonds can be built with Fingal</v>
      </c>
      <c r="H22" s="13" t="str">
        <f ca="1">VLOOKUP(CONCATENATE(A22),WorkList!A:D,4,FALSE)</f>
        <v>Neil</v>
      </c>
      <c r="I22" s="15">
        <f ca="1">VLOOKUP(CONCATENATE(A22),WorkList!A:E,5,FALSE)</f>
        <v>40049</v>
      </c>
      <c r="J22" s="49">
        <f ca="1">VLOOKUP(CONCATENATE(A22),WorkList!A:F,6,FALSE)</f>
        <v>3</v>
      </c>
      <c r="K22" s="49">
        <f ca="1">VLOOKUP(CONCATENATE(A22),WorkList!A:G,7,FALSE)</f>
        <v>0</v>
      </c>
      <c r="L22" s="7" t="s">
        <v>13</v>
      </c>
      <c r="M22" s="16">
        <v>40218</v>
      </c>
      <c r="N22" s="60">
        <f ca="1">VALUE(LEFT(C22))</f>
        <v>0</v>
      </c>
      <c r="O22" s="61">
        <f ca="1">INT(IF(N22&gt;0,1+MAX(N22*N22-(IF(D22="",TODAY()+(5-N22)*15,D22)-TODAY())/4,N22),IF(TODAY()-M22&gt;10,0,1)))</f>
        <v>0</v>
      </c>
      <c r="P22" s="1" t="str">
        <f ca="1">IF(ISNA(VLOOKUP(A22,Projects!B:B,1,FALSE)),"","Yes")</f>
        <v/>
      </c>
    </row>
    <row r="23" spans="1:16" s="7" customFormat="1">
      <c r="A23" s="4" t="s">
        <v>508</v>
      </c>
      <c r="B23" s="5" t="s">
        <v>32</v>
      </c>
      <c r="C23" s="6" t="s">
        <v>48</v>
      </c>
      <c r="D23" s="11"/>
      <c r="E23" s="12"/>
      <c r="F23" s="13" t="str">
        <f ca="1">VLOOKUP(LEFT(A23,IF(ISERROR(FIND(".",A23)),LEN(A23)+1,FIND(".",A23))-1),WorkList!A:C,3,FALSE)</f>
        <v>Deals Database</v>
      </c>
      <c r="G23" s="14" t="str">
        <f ca="1">VLOOKUP(CONCATENATE(A23),WorkList!A:C,3,FALSE)</f>
        <v>Investigate Date error for Cashflow schedules</v>
      </c>
      <c r="H23" s="13" t="str">
        <f ca="1">VLOOKUP(CONCATENATE(A23),WorkList!A:D,4,FALSE)</f>
        <v>Neil</v>
      </c>
      <c r="I23" s="15">
        <f ca="1">VLOOKUP(CONCATENATE(A23),WorkList!A:E,5,FALSE)</f>
        <v>40086</v>
      </c>
      <c r="J23" s="49">
        <f ca="1">VLOOKUP(CONCATENATE(A23),WorkList!A:F,6,FALSE)</f>
        <v>0</v>
      </c>
      <c r="K23" s="49">
        <f ca="1">VLOOKUP(CONCATENATE(A23),WorkList!A:G,7,FALSE)</f>
        <v>0</v>
      </c>
      <c r="L23" s="7" t="s">
        <v>13</v>
      </c>
      <c r="M23" s="16">
        <v>40099</v>
      </c>
      <c r="N23" s="60">
        <f ca="1">VALUE(LEFT(C23))</f>
        <v>0</v>
      </c>
      <c r="O23" s="61">
        <f ca="1">INT(IF(N23&gt;0,1+MAX(N23*N23-(IF(D23="",TODAY()+(5-N23)*15,D23)-TODAY())/4,N23),IF(TODAY()-M23&gt;10,0,1)))</f>
        <v>0</v>
      </c>
      <c r="P23" s="1" t="str">
        <f ca="1">IF(ISNA(VLOOKUP(A23,Projects!B:B,1,FALSE)),"","Yes")</f>
        <v/>
      </c>
    </row>
    <row r="24" spans="1:16" s="7" customFormat="1" ht="25.5">
      <c r="A24" s="4" t="s">
        <v>527</v>
      </c>
      <c r="B24" s="5" t="s">
        <v>11</v>
      </c>
      <c r="C24" s="6" t="s">
        <v>48</v>
      </c>
      <c r="D24" s="11"/>
      <c r="E24" s="12"/>
      <c r="F24" s="13" t="str">
        <f ca="1">VLOOKUP(LEFT(A24,IF(ISERROR(FIND(".",A24)),LEN(A24)+1,FIND(".",A24))-1),WorkList!A:C,3,FALSE)</f>
        <v>Deals Database</v>
      </c>
      <c r="G24" s="14" t="str">
        <f ca="1">VLOOKUP(CONCATENATE(A24),WorkList!A:C,3,FALSE)</f>
        <v>Change Cashflow Generator Support email message on errors</v>
      </c>
      <c r="H24" s="13" t="str">
        <f ca="1">VLOOKUP(CONCATENATE(A24),WorkList!A:D,4,FALSE)</f>
        <v>Pramendra</v>
      </c>
      <c r="I24" s="15">
        <f ca="1">VLOOKUP(CONCATENATE(A24),WorkList!A:E,5,FALSE)</f>
        <v>40095</v>
      </c>
      <c r="J24" s="49">
        <f ca="1">VLOOKUP(CONCATENATE(A24),WorkList!A:F,6,FALSE)</f>
        <v>0.5</v>
      </c>
      <c r="K24" s="49">
        <f ca="1">VLOOKUP(CONCATENATE(A24),WorkList!A:G,7,FALSE)</f>
        <v>0</v>
      </c>
      <c r="L24" s="7" t="s">
        <v>13</v>
      </c>
      <c r="M24" s="16">
        <v>40154</v>
      </c>
      <c r="N24" s="60">
        <f ca="1">VALUE(LEFT(C24))</f>
        <v>0</v>
      </c>
      <c r="O24" s="61">
        <f ca="1">INT(IF(N24&gt;0,1+MAX(N24*N24-(IF(D24="",TODAY()+(5-N24)*15,D24)-TODAY())/4,N24),IF(TODAY()-M24&gt;10,0,1)))</f>
        <v>0</v>
      </c>
      <c r="P24" s="1" t="str">
        <f ca="1">IF(ISNA(VLOOKUP(A24,Projects!B:B,1,FALSE)),"","Yes")</f>
        <v/>
      </c>
    </row>
    <row r="25" spans="1:16" s="7" customFormat="1">
      <c r="A25" s="4" t="s">
        <v>616</v>
      </c>
      <c r="B25" s="5" t="s">
        <v>11</v>
      </c>
      <c r="C25" s="7" t="s">
        <v>48</v>
      </c>
      <c r="D25" s="11"/>
      <c r="E25" s="12"/>
      <c r="F25" s="13" t="str">
        <f ca="1">VLOOKUP(LEFT(A25,IF(ISERROR(FIND(".",A25)),LEN(A25)+1,FIND(".",A25))-1),WorkList!A:C,3,FALSE)</f>
        <v>Deals Database</v>
      </c>
      <c r="G25" s="14" t="str">
        <f ca="1">VLOOKUP(CONCATENATE(A25),WorkList!A:C,3,FALSE)</f>
        <v>Make Original Ratings and Current Rating distinct</v>
      </c>
      <c r="H25" s="13" t="str">
        <f ca="1">VLOOKUP(CONCATENATE(A25),WorkList!A:D,4,FALSE)</f>
        <v>David</v>
      </c>
      <c r="I25" s="15">
        <f ca="1">VLOOKUP(CONCATENATE(A25),WorkList!A:E,5,FALSE)</f>
        <v>40107</v>
      </c>
      <c r="J25" s="49">
        <f ca="1">VLOOKUP(CONCATENATE(A25),WorkList!A:F,6,FALSE)</f>
        <v>3</v>
      </c>
      <c r="K25" s="49">
        <f ca="1">VLOOKUP(CONCATENATE(A25),WorkList!A:G,7,FALSE)</f>
        <v>0</v>
      </c>
      <c r="L25" s="7" t="s">
        <v>13</v>
      </c>
      <c r="M25" s="16">
        <v>40144</v>
      </c>
      <c r="N25" s="60">
        <f ca="1">VALUE(LEFT(C25))</f>
        <v>0</v>
      </c>
      <c r="O25" s="61">
        <f ca="1">INT(IF(N25&gt;0,1+MAX(N25*N25-(IF(D25="",TODAY()+(5-N25)*15,D25)-TODAY())/4,N25),IF(TODAY()-M25&gt;10,0,1)))</f>
        <v>0</v>
      </c>
      <c r="P25" s="1" t="str">
        <f ca="1">IF(ISNA(VLOOKUP(A25,Projects!B:B,1,FALSE)),"","Yes")</f>
        <v/>
      </c>
    </row>
    <row r="26" spans="1:16" s="7" customFormat="1">
      <c r="A26" s="4" t="s">
        <v>632</v>
      </c>
      <c r="B26" s="5" t="s">
        <v>11</v>
      </c>
      <c r="C26" s="7" t="s">
        <v>48</v>
      </c>
      <c r="D26" s="11"/>
      <c r="E26" s="12"/>
      <c r="F26" s="13" t="str">
        <f ca="1">VLOOKUP(LEFT(A26,IF(ISERROR(FIND(".",A26)),LEN(A26)+1,FIND(".",A26))-1),WorkList!A:C,3,FALSE)</f>
        <v>Deals Database</v>
      </c>
      <c r="G26" s="14" t="str">
        <f ca="1">VLOOKUP(CONCATENATE(A26),WorkList!A:C,3,FALSE)</f>
        <v>Handle the situations of bonds that have multiple ISINs</v>
      </c>
      <c r="H26" s="13" t="str">
        <f ca="1">VLOOKUP(CONCATENATE(A26),WorkList!A:D,4,FALSE)</f>
        <v>Neil</v>
      </c>
      <c r="I26" s="15">
        <f ca="1">VLOOKUP(CONCATENATE(A26),WorkList!A:E,5,FALSE)</f>
        <v>40116</v>
      </c>
      <c r="J26" s="49">
        <f ca="1">VLOOKUP(CONCATENATE(A26),WorkList!A:F,6,FALSE)</f>
        <v>5</v>
      </c>
      <c r="K26" s="49">
        <f ca="1">VLOOKUP(CONCATENATE(A26),WorkList!A:G,7,FALSE)</f>
        <v>0</v>
      </c>
      <c r="L26" s="7" t="s">
        <v>13</v>
      </c>
      <c r="M26" s="16">
        <v>40144</v>
      </c>
      <c r="N26" s="60">
        <f ca="1">VALUE(LEFT(C26))</f>
        <v>0</v>
      </c>
      <c r="O26" s="61">
        <f ca="1">INT(IF(N26&gt;0,1+MAX(N26*N26-(IF(D26="",TODAY()+(5-N26)*15,D26)-TODAY())/4,N26),IF(TODAY()-M26&gt;10,0,1)))</f>
        <v>0</v>
      </c>
      <c r="P26" s="1" t="str">
        <f ca="1">IF(ISNA(VLOOKUP(A26,Projects!B:B,1,FALSE)),"","Yes")</f>
        <v/>
      </c>
    </row>
    <row r="27" spans="1:16" s="7" customFormat="1">
      <c r="A27" s="4" t="s">
        <v>640</v>
      </c>
      <c r="B27" s="7" t="s">
        <v>11</v>
      </c>
      <c r="C27" s="6" t="s">
        <v>48</v>
      </c>
      <c r="D27" s="11"/>
      <c r="E27" s="12"/>
      <c r="F27" s="13" t="str">
        <f ca="1">VLOOKUP(LEFT(A27,IF(ISERROR(FIND(".",A27)),LEN(A27)+1,FIND(".",A27))-1),WorkList!A:C,3,FALSE)</f>
        <v>Deals Database</v>
      </c>
      <c r="G27" s="14" t="str">
        <f ca="1">VLOOKUP(CONCATENATE(A27),WorkList!A:C,3,FALSE)</f>
        <v>Bug with roll day being 31 rather than 30</v>
      </c>
      <c r="H27" s="13" t="str">
        <f ca="1">VLOOKUP(CONCATENATE(A27),WorkList!A:D,4,FALSE)</f>
        <v>Neil</v>
      </c>
      <c r="I27" s="15">
        <f ca="1">VLOOKUP(CONCATENATE(A27),WorkList!A:E,5,FALSE)</f>
        <v>40120</v>
      </c>
      <c r="J27" s="49">
        <f ca="1">VLOOKUP(CONCATENATE(A27),WorkList!A:F,6,FALSE)</f>
        <v>0.5</v>
      </c>
      <c r="K27" s="49">
        <f ca="1">VLOOKUP(CONCATENATE(A27),WorkList!A:G,7,FALSE)</f>
        <v>0</v>
      </c>
      <c r="L27" s="7" t="s">
        <v>13</v>
      </c>
      <c r="M27" s="16">
        <v>40164</v>
      </c>
      <c r="N27" s="60">
        <f ca="1">VALUE(LEFT(C27))</f>
        <v>0</v>
      </c>
      <c r="O27" s="61">
        <f ca="1">INT(IF(N27&gt;0,1+MAX(N27*N27-(IF(D27="",TODAY()+(5-N27)*15,D27)-TODAY())/4,N27),IF(TODAY()-M27&gt;10,0,1)))</f>
        <v>0</v>
      </c>
      <c r="P27" s="1" t="str">
        <f ca="1">IF(ISNA(VLOOKUP(A27,Projects!B:B,1,FALSE)),"","Yes")</f>
        <v/>
      </c>
    </row>
    <row r="28" spans="1:16" s="7" customFormat="1">
      <c r="A28" s="4" t="s">
        <v>760</v>
      </c>
      <c r="B28" s="5" t="s">
        <v>11</v>
      </c>
      <c r="C28" s="6" t="s">
        <v>48</v>
      </c>
      <c r="D28" s="11"/>
      <c r="E28" s="12"/>
      <c r="F28" s="13" t="str">
        <f ca="1">VLOOKUP(LEFT(A28,IF(ISERROR(FIND(".",A28)),LEN(A28)+1,FIND(".",A28))-1),WorkList!A:C,3,FALSE)</f>
        <v>Deals Database</v>
      </c>
      <c r="G28" s="14" t="str">
        <f ca="1">VLOOKUP(CONCATENATE(A28),WorkList!A:C,3,FALSE)</f>
        <v>Populate original ratings from agencies</v>
      </c>
      <c r="H28" s="13" t="str">
        <f ca="1">VLOOKUP(CONCATENATE(A28),WorkList!A:D,4,FALSE)</f>
        <v>David</v>
      </c>
      <c r="I28" s="15">
        <f ca="1">VLOOKUP(CONCATENATE(A28),WorkList!A:E,5,FALSE)</f>
        <v>40150</v>
      </c>
      <c r="J28" s="49">
        <f ca="1">VLOOKUP(CONCATENATE(A28),WorkList!A:F,6,FALSE)</f>
        <v>0.5</v>
      </c>
      <c r="K28" s="49">
        <f ca="1">VLOOKUP(CONCATENATE(A28),WorkList!A:G,7,FALSE)</f>
        <v>0</v>
      </c>
      <c r="L28" s="7" t="s">
        <v>13</v>
      </c>
      <c r="M28" s="16">
        <v>40168</v>
      </c>
      <c r="N28" s="60">
        <f ca="1">VALUE(LEFT(C28))</f>
        <v>0</v>
      </c>
      <c r="O28" s="61">
        <f ca="1">INT(IF(N28&gt;0,1+MAX(N28*N28-(IF(D28="",TODAY()+(5-N28)*15,D28)-TODAY())/4,N28),IF(TODAY()-M28&gt;10,0,1)))</f>
        <v>0</v>
      </c>
      <c r="P28" s="1" t="str">
        <f ca="1">IF(ISNA(VLOOKUP(A28,Projects!B:B,1,FALSE)),"","Yes")</f>
        <v/>
      </c>
    </row>
    <row r="29" spans="1:16" s="7" customFormat="1">
      <c r="A29" s="4" t="s">
        <v>773</v>
      </c>
      <c r="B29" s="5" t="s">
        <v>11</v>
      </c>
      <c r="C29" s="6" t="s">
        <v>48</v>
      </c>
      <c r="D29" s="11"/>
      <c r="E29" s="12"/>
      <c r="F29" s="13" t="str">
        <f ca="1">VLOOKUP(LEFT(A29,IF(ISERROR(FIND(".",A29)),LEN(A29)+1,FIND(".",A29))-1),WorkList!A:C,3,FALSE)</f>
        <v>Deals Database</v>
      </c>
      <c r="G29" s="14" t="str">
        <f ca="1">VLOOKUP(CONCATENATE(A29),WorkList!A:C,3,FALSE)</f>
        <v>Implement combined rating algorithm from Ajay</v>
      </c>
      <c r="H29" s="13" t="str">
        <f ca="1">VLOOKUP(CONCATENATE(A29),WorkList!A:D,4,FALSE)</f>
        <v>David</v>
      </c>
      <c r="I29" s="15">
        <f ca="1">VLOOKUP(CONCATENATE(A29),WorkList!A:E,5,FALSE)</f>
        <v>40150</v>
      </c>
      <c r="J29" s="49">
        <f ca="1">VLOOKUP(CONCATENATE(A29),WorkList!A:F,6,FALSE)</f>
        <v>1</v>
      </c>
      <c r="K29" s="49">
        <f ca="1">VLOOKUP(CONCATENATE(A29),WorkList!A:G,7,FALSE)</f>
        <v>0</v>
      </c>
      <c r="L29" s="7" t="s">
        <v>13</v>
      </c>
      <c r="M29" s="16">
        <v>40168</v>
      </c>
      <c r="N29" s="60">
        <f ca="1">VALUE(LEFT(C29))</f>
        <v>0</v>
      </c>
      <c r="O29" s="61">
        <f ca="1">INT(IF(N29&gt;0,1+MAX(N29*N29-(IF(D29="",TODAY()+(5-N29)*15,D29)-TODAY())/4,N29),IF(TODAY()-M29&gt;10,0,1)))</f>
        <v>0</v>
      </c>
      <c r="P29" s="1" t="str">
        <f ca="1">IF(ISNA(VLOOKUP(A29,Projects!B:B,1,FALSE)),"","Yes")</f>
        <v/>
      </c>
    </row>
    <row r="30" spans="1:16" s="7" customFormat="1">
      <c r="A30" s="4" t="s">
        <v>783</v>
      </c>
      <c r="B30" s="5" t="s">
        <v>11</v>
      </c>
      <c r="C30" s="7" t="s">
        <v>48</v>
      </c>
      <c r="D30" s="11"/>
      <c r="E30" s="12"/>
      <c r="F30" s="13" t="str">
        <f ca="1">VLOOKUP(LEFT(A30,IF(ISERROR(FIND(".",A30)),LEN(A30)+1,FIND(".",A30))-1),WorkList!A:C,3,FALSE)</f>
        <v>Deals Database</v>
      </c>
      <c r="G30" s="14" t="str">
        <f ca="1">VLOOKUP(CONCATENATE(A30),WorkList!A:C,3,FALSE)</f>
        <v>Add Factor to Bonds in Deal DB</v>
      </c>
      <c r="H30" s="13" t="str">
        <f ca="1">VLOOKUP(CONCATENATE(A30),WorkList!A:D,4,FALSE)</f>
        <v>Neil</v>
      </c>
      <c r="I30" s="15">
        <f ca="1">VLOOKUP(CONCATENATE(A30),WorkList!A:E,5,FALSE)</f>
        <v>40163</v>
      </c>
      <c r="J30" s="49">
        <f ca="1">VLOOKUP(CONCATENATE(A30),WorkList!A:F,6,FALSE)</f>
        <v>1</v>
      </c>
      <c r="K30" s="49">
        <f ca="1">VLOOKUP(CONCATENATE(A30),WorkList!A:G,7,FALSE)</f>
        <v>0</v>
      </c>
      <c r="L30" s="7" t="s">
        <v>13</v>
      </c>
      <c r="M30" s="16">
        <v>40283</v>
      </c>
      <c r="N30" s="60">
        <f ca="1">VALUE(LEFT(C30))</f>
        <v>0</v>
      </c>
      <c r="O30" s="61">
        <f ca="1">INT(IF(N30&gt;0,1+MAX(N30*N30-(IF(D30="",TODAY()+(5-N30)*15,D30)-TODAY())/4,N30),IF(TODAY()-M30&gt;10,0,1)))</f>
        <v>0</v>
      </c>
      <c r="P30" s="1" t="str">
        <f ca="1">IF(ISNA(VLOOKUP(A30,Projects!B:B,1,FALSE)),"","Yes")</f>
        <v/>
      </c>
    </row>
    <row r="31" spans="1:16" s="7" customFormat="1">
      <c r="A31" s="4" t="s">
        <v>795</v>
      </c>
      <c r="B31" s="5" t="s">
        <v>21</v>
      </c>
      <c r="C31" s="6" t="s">
        <v>197</v>
      </c>
      <c r="D31" s="11"/>
      <c r="E31" s="12"/>
      <c r="F31" s="13" t="str">
        <f ca="1">VLOOKUP(LEFT(A31,IF(ISERROR(FIND(".",A31)),LEN(A31)+1,FIND(".",A31))-1),WorkList!A:C,3,FALSE)</f>
        <v>Deals Database</v>
      </c>
      <c r="G31" s="14" t="str">
        <f ca="1">VLOOKUP(CONCATENATE(A31),WorkList!A:C,3,FALSE)</f>
        <v>Derive correct Pay date rule for Fingal</v>
      </c>
      <c r="H31" s="13" t="str">
        <f ca="1">VLOOKUP(CONCATENATE(A31),WorkList!A:D,4,FALSE)</f>
        <v>Neil</v>
      </c>
      <c r="I31" s="15">
        <f ca="1">VLOOKUP(CONCATENATE(A31),WorkList!A:E,5,FALSE)</f>
        <v>40162</v>
      </c>
      <c r="J31" s="49">
        <f ca="1">VLOOKUP(CONCATENATE(A31),WorkList!A:F,6,FALSE)</f>
        <v>2</v>
      </c>
      <c r="K31" s="49" t="str">
        <f ca="1">VLOOKUP(CONCATENATE(A31),WorkList!A:G,7,FALSE)</f>
        <v>Enhancement</v>
      </c>
      <c r="L31" s="7" t="s">
        <v>7</v>
      </c>
      <c r="M31" s="16">
        <v>40283</v>
      </c>
      <c r="N31" s="60">
        <f ca="1">VALUE(LEFT(C31))</f>
        <v>1</v>
      </c>
      <c r="O31" s="61">
        <f ca="1">INT(IF(N31&gt;0,1+MAX(N31*N31-(IF(D31="",TODAY()+(5-N31)*15,D31)-TODAY())/4,N31),IF(TODAY()-M31&gt;10,0,1)))</f>
        <v>2</v>
      </c>
      <c r="P31" s="1" t="str">
        <f ca="1">IF(ISNA(VLOOKUP(A31,Projects!B:B,1,FALSE)),"","Yes")</f>
        <v/>
      </c>
    </row>
    <row r="32" spans="1:16" s="7" customFormat="1">
      <c r="A32" s="4" t="s">
        <v>799</v>
      </c>
      <c r="B32" s="5" t="s">
        <v>21</v>
      </c>
      <c r="C32" s="6" t="s">
        <v>38</v>
      </c>
      <c r="D32" s="11"/>
      <c r="E32" s="12"/>
      <c r="F32" s="13" t="str">
        <f ca="1">VLOOKUP(LEFT(A32,IF(ISERROR(FIND(".",A32)),LEN(A32)+1,FIND(".",A32))-1),WorkList!A:C,3,FALSE)</f>
        <v>Deals Database</v>
      </c>
      <c r="G32" s="14" t="str">
        <f ca="1">VLOOKUP(CONCATENATE(A32),WorkList!A:C,3,FALSE)</f>
        <v>Add ability to vew/set custom bond attributes</v>
      </c>
      <c r="H32" s="13" t="str">
        <f ca="1">VLOOKUP(CONCATENATE(A32),WorkList!A:D,4,FALSE)</f>
        <v>Neil</v>
      </c>
      <c r="I32" s="15">
        <f ca="1">VLOOKUP(CONCATENATE(A32),WorkList!A:E,5,FALSE)</f>
        <v>40163</v>
      </c>
      <c r="J32" s="49">
        <f ca="1">VLOOKUP(CONCATENATE(A32),WorkList!A:F,6,FALSE)</f>
        <v>2</v>
      </c>
      <c r="K32" s="49" t="str">
        <f ca="1">VLOOKUP(CONCATENATE(A32),WorkList!A:G,7,FALSE)</f>
        <v>NewDevelopment</v>
      </c>
      <c r="L32" s="7" t="s">
        <v>7</v>
      </c>
      <c r="M32" s="16">
        <v>40283</v>
      </c>
      <c r="N32" s="60">
        <f ca="1">VALUE(LEFT(C32))</f>
        <v>2</v>
      </c>
      <c r="O32" s="61">
        <f ca="1">INT(IF(N32&gt;0,1+MAX(N32*N32-(IF(D32="",TODAY()+(5-N32)*15,D32)-TODAY())/4,N32),IF(TODAY()-M32&gt;10,0,1)))</f>
        <v>3</v>
      </c>
      <c r="P32" s="1" t="str">
        <f ca="1">IF(ISNA(VLOOKUP(A32,Projects!B:B,1,FALSE)),"","Yes")</f>
        <v/>
      </c>
    </row>
    <row r="33" spans="1:16" s="7" customFormat="1">
      <c r="A33" s="4" t="s">
        <v>803</v>
      </c>
      <c r="B33" s="5" t="s">
        <v>21</v>
      </c>
      <c r="C33" s="7" t="s">
        <v>197</v>
      </c>
      <c r="D33" s="11"/>
      <c r="E33" s="12"/>
      <c r="F33" s="13" t="str">
        <f ca="1">VLOOKUP(LEFT(A33,IF(ISERROR(FIND(".",A33)),LEN(A33)+1,FIND(".",A33))-1),WorkList!A:C,3,FALSE)</f>
        <v>Deals Database</v>
      </c>
      <c r="G33" s="14" t="str">
        <f ca="1">VLOOKUP(CONCATENATE(A33),WorkList!A:C,3,FALSE)</f>
        <v>Make the Bloomberg Gateway a service</v>
      </c>
      <c r="H33" s="13" t="str">
        <f ca="1">VLOOKUP(CONCATENATE(A33),WorkList!A:D,4,FALSE)</f>
        <v>Pramendra</v>
      </c>
      <c r="I33" s="15">
        <f ca="1">VLOOKUP(CONCATENATE(A33),WorkList!A:E,5,FALSE)</f>
        <v>40168</v>
      </c>
      <c r="J33" s="49">
        <f ca="1">VLOOKUP(CONCATENATE(A33),WorkList!A:F,6,FALSE)</f>
        <v>2</v>
      </c>
      <c r="K33" s="49" t="str">
        <f ca="1">VLOOKUP(CONCATENATE(A33),WorkList!A:G,7,FALSE)</f>
        <v>NewDevelopment</v>
      </c>
      <c r="L33" s="7" t="s">
        <v>7</v>
      </c>
      <c r="M33" s="16">
        <v>40283</v>
      </c>
      <c r="N33" s="60">
        <f ca="1">VALUE(LEFT(C33))</f>
        <v>1</v>
      </c>
      <c r="O33" s="61">
        <f ca="1">INT(IF(N33&gt;0,1+MAX(N33*N33-(IF(D33="",TODAY()+(5-N33)*15,D33)-TODAY())/4,N33),IF(TODAY()-M33&gt;10,0,1)))</f>
        <v>2</v>
      </c>
      <c r="P33" s="1" t="str">
        <f ca="1">IF(ISNA(VLOOKUP(A33,Projects!B:B,1,FALSE)),"","Yes")</f>
        <v/>
      </c>
    </row>
    <row r="34" spans="1:16" s="7" customFormat="1">
      <c r="A34" s="4" t="s">
        <v>814</v>
      </c>
      <c r="B34" s="5" t="s">
        <v>11</v>
      </c>
      <c r="C34" s="7" t="s">
        <v>48</v>
      </c>
      <c r="D34" s="11"/>
      <c r="E34" s="12"/>
      <c r="F34" s="13" t="str">
        <f ca="1">VLOOKUP(LEFT(A34,IF(ISERROR(FIND(".",A34)),LEN(A34)+1,FIND(".",A34))-1),WorkList!A:C,3,FALSE)</f>
        <v>Deals Database</v>
      </c>
      <c r="G34" s="14" t="str">
        <f ca="1">VLOOKUP(CONCATENATE(A34),WorkList!A:C,3,FALSE)</f>
        <v>Bug with 'Foll' bus day convention - see XS0429125577</v>
      </c>
      <c r="H34" s="13" t="str">
        <f ca="1">VLOOKUP(CONCATENATE(A34),WorkList!A:D,4,FALSE)</f>
        <v>Neil</v>
      </c>
      <c r="I34" s="15">
        <f ca="1">VLOOKUP(CONCATENATE(A34),WorkList!A:E,5,FALSE)</f>
        <v>40182</v>
      </c>
      <c r="J34" s="49">
        <f ca="1">VLOOKUP(CONCATENATE(A34),WorkList!A:F,6,FALSE)</f>
        <v>1</v>
      </c>
      <c r="K34" s="49">
        <f ca="1">VLOOKUP(CONCATENATE(A34),WorkList!A:G,7,FALSE)</f>
        <v>0</v>
      </c>
      <c r="L34" s="7" t="s">
        <v>13</v>
      </c>
      <c r="M34" s="16">
        <v>40192</v>
      </c>
      <c r="N34" s="60">
        <f ca="1">VALUE(LEFT(C34))</f>
        <v>0</v>
      </c>
      <c r="O34" s="61">
        <f ca="1">INT(IF(N34&gt;0,1+MAX(N34*N34-(IF(D34="",TODAY()+(5-N34)*15,D34)-TODAY())/4,N34),IF(TODAY()-M34&gt;10,0,1)))</f>
        <v>0</v>
      </c>
      <c r="P34" s="1" t="str">
        <f ca="1">IF(ISNA(VLOOKUP(A34,Projects!B:B,1,FALSE)),"","Yes")</f>
        <v/>
      </c>
    </row>
    <row r="35" spans="1:16" s="7" customFormat="1">
      <c r="A35" s="4" t="s">
        <v>841</v>
      </c>
      <c r="B35" s="5" t="s">
        <v>11</v>
      </c>
      <c r="C35" s="6" t="s">
        <v>48</v>
      </c>
      <c r="D35" s="11"/>
      <c r="E35" s="12"/>
      <c r="F35" s="13" t="str">
        <f ca="1">VLOOKUP(LEFT(A35,IF(ISERROR(FIND(".",A35)),LEN(A35)+1,FIND(".",A35))-1),WorkList!A:C,3,FALSE)</f>
        <v>Deals Database</v>
      </c>
      <c r="G35" s="14" t="str">
        <f ca="1">VLOOKUP(CONCATENATE(A35),WorkList!A:C,3,FALSE)</f>
        <v>Modify Totoro sector mapping</v>
      </c>
      <c r="H35" s="13" t="str">
        <f ca="1">VLOOKUP(CONCATENATE(A35),WorkList!A:D,4,FALSE)</f>
        <v>Zhuu</v>
      </c>
      <c r="I35" s="15">
        <f ca="1">VLOOKUP(CONCATENATE(A35),WorkList!A:E,5,FALSE)</f>
        <v>40197</v>
      </c>
      <c r="J35" s="49">
        <f ca="1">VLOOKUP(CONCATENATE(A35),WorkList!A:F,6,FALSE)</f>
        <v>2</v>
      </c>
      <c r="K35" s="49">
        <f ca="1">VLOOKUP(CONCATENATE(A35),WorkList!A:G,7,FALSE)</f>
        <v>0</v>
      </c>
      <c r="L35" s="7" t="s">
        <v>13</v>
      </c>
      <c r="M35" s="16">
        <v>40205</v>
      </c>
      <c r="N35" s="60">
        <f ca="1">VALUE(LEFT(C35))</f>
        <v>0</v>
      </c>
      <c r="O35" s="61">
        <f ca="1">INT(IF(N35&gt;0,1+MAX(N35*N35-(IF(D35="",TODAY()+(5-N35)*15,D35)-TODAY())/4,N35),IF(TODAY()-M35&gt;10,0,1)))</f>
        <v>0</v>
      </c>
      <c r="P35" s="1" t="str">
        <f ca="1">IF(ISNA(VLOOKUP(A35,Projects!B:B,1,FALSE)),"","Yes")</f>
        <v/>
      </c>
    </row>
    <row r="36" spans="1:16" s="7" customFormat="1">
      <c r="A36" s="4" t="s">
        <v>849</v>
      </c>
      <c r="B36" s="5" t="s">
        <v>11</v>
      </c>
      <c r="C36" s="6" t="s">
        <v>48</v>
      </c>
      <c r="D36" s="11"/>
      <c r="E36" s="12"/>
      <c r="F36" s="13" t="str">
        <f ca="1">VLOOKUP(LEFT(A36,IF(ISERROR(FIND(".",A36)),LEN(A36)+1,FIND(".",A36))-1),WorkList!A:C,3,FALSE)</f>
        <v>Deals Database</v>
      </c>
      <c r="G36" s="14" t="str">
        <f ca="1">VLOOKUP(CONCATENATE(A36),WorkList!A:C,3,FALSE)</f>
        <v>Floor WAL to 6 mnths</v>
      </c>
      <c r="H36" s="13" t="str">
        <f ca="1">VLOOKUP(CONCATENATE(A36),WorkList!A:D,4,FALSE)</f>
        <v>Zhuu</v>
      </c>
      <c r="I36" s="15">
        <f ca="1">VLOOKUP(CONCATENATE(A36),WorkList!A:E,5,FALSE)</f>
        <v>40198</v>
      </c>
      <c r="J36" s="49">
        <f ca="1">VLOOKUP(CONCATENATE(A36),WorkList!A:F,6,FALSE)</f>
        <v>1</v>
      </c>
      <c r="K36" s="49">
        <f ca="1">VLOOKUP(CONCATENATE(A36),WorkList!A:G,7,FALSE)</f>
        <v>0</v>
      </c>
      <c r="L36" s="7" t="s">
        <v>13</v>
      </c>
      <c r="M36" s="16">
        <v>40205</v>
      </c>
      <c r="N36" s="60">
        <f ca="1">VALUE(LEFT(C36))</f>
        <v>0</v>
      </c>
      <c r="O36" s="61">
        <f ca="1">INT(IF(N36&gt;0,1+MAX(N36*N36-(IF(D36="",TODAY()+(5-N36)*15,D36)-TODAY())/4,N36),IF(TODAY()-M36&gt;10,0,1)))</f>
        <v>0</v>
      </c>
      <c r="P36" s="1" t="str">
        <f ca="1">IF(ISNA(VLOOKUP(A36,Projects!B:B,1,FALSE)),"","Yes")</f>
        <v/>
      </c>
    </row>
    <row r="37" spans="1:16" s="7" customFormat="1" ht="25.5">
      <c r="A37" s="4" t="s">
        <v>871</v>
      </c>
      <c r="B37" s="5" t="s">
        <v>32</v>
      </c>
      <c r="C37" s="6" t="s">
        <v>48</v>
      </c>
      <c r="D37" s="11"/>
      <c r="E37" s="12"/>
      <c r="F37" s="13" t="str">
        <f ca="1">VLOOKUP(LEFT(A37,IF(ISERROR(FIND(".",A37)),LEN(A37)+1,FIND(".",A37))-1),WorkList!A:C,3,FALSE)</f>
        <v>Deals Database</v>
      </c>
      <c r="G37" s="14" t="str">
        <f ca="1">VLOOKUP(CONCATENATE(A37),WorkList!A:C,3,FALSE)</f>
        <v>BUG - Refresh from BBG does not populate the BBG Name for bond, example ES0347789002.</v>
      </c>
      <c r="H37" s="13" t="str">
        <f ca="1">VLOOKUP(CONCATENATE(A37),WorkList!A:D,4,FALSE)</f>
        <v>David</v>
      </c>
      <c r="I37" s="15">
        <f ca="1">VLOOKUP(CONCATENATE(A37),WorkList!A:E,5,FALSE)</f>
        <v>40206</v>
      </c>
      <c r="J37" s="49">
        <f ca="1">VLOOKUP(CONCATENATE(A37),WorkList!A:F,6,FALSE)</f>
        <v>0.5</v>
      </c>
      <c r="K37" s="49">
        <f ca="1">VLOOKUP(CONCATENATE(A37),WorkList!A:G,7,FALSE)</f>
        <v>0</v>
      </c>
      <c r="L37" s="7" t="s">
        <v>13</v>
      </c>
      <c r="M37" s="16">
        <v>40218</v>
      </c>
      <c r="N37" s="60">
        <f ca="1">VALUE(LEFT(C37))</f>
        <v>0</v>
      </c>
      <c r="O37" s="61">
        <f ca="1">INT(IF(N37&gt;0,1+MAX(N37*N37-(IF(D37="",TODAY()+(5-N37)*15,D37)-TODAY())/4,N37),IF(TODAY()-M37&gt;10,0,1)))</f>
        <v>0</v>
      </c>
      <c r="P37" s="1" t="str">
        <f ca="1">IF(ISNA(VLOOKUP(A37,Projects!B:B,1,FALSE)),"","Yes")</f>
        <v/>
      </c>
    </row>
    <row r="38" spans="1:16" s="7" customFormat="1">
      <c r="A38" s="4" t="s">
        <v>885</v>
      </c>
      <c r="B38" s="5" t="s">
        <v>11</v>
      </c>
      <c r="C38" s="7" t="s">
        <v>48</v>
      </c>
      <c r="D38" s="11"/>
      <c r="E38" s="12"/>
      <c r="F38" s="13" t="str">
        <f ca="1">VLOOKUP(LEFT(A38,IF(ISERROR(FIND(".",A38)),LEN(A38)+1,FIND(".",A38))-1),WorkList!A:C,3,FALSE)</f>
        <v>Deals Database</v>
      </c>
      <c r="G38" s="14" t="str">
        <f ca="1">VLOOKUP(CONCATENATE(A38),WorkList!A:C,3,FALSE)</f>
        <v>Add original FX rate on bonds</v>
      </c>
      <c r="H38" s="13" t="str">
        <f ca="1">VLOOKUP(CONCATENATE(A38),WorkList!A:D,4,FALSE)</f>
        <v>Ruth</v>
      </c>
      <c r="I38" s="15">
        <f ca="1">VLOOKUP(CONCATENATE(A38),WorkList!A:E,5,FALSE)</f>
        <v>40218</v>
      </c>
      <c r="J38" s="49">
        <f ca="1">VLOOKUP(CONCATENATE(A38),WorkList!A:F,6,FALSE)</f>
        <v>1</v>
      </c>
      <c r="K38" s="49">
        <f ca="1">VLOOKUP(CONCATENATE(A38),WorkList!A:G,7,FALSE)</f>
        <v>0</v>
      </c>
      <c r="L38" s="7" t="s">
        <v>13</v>
      </c>
      <c r="M38" s="16">
        <v>40283</v>
      </c>
      <c r="N38" s="60">
        <f ca="1">VALUE(LEFT(C38))</f>
        <v>0</v>
      </c>
      <c r="O38" s="61">
        <f ca="1">INT(IF(N38&gt;0,1+MAX(N38*N38-(IF(D38="",TODAY()+(5-N38)*15,D38)-TODAY())/4,N38),IF(TODAY()-M38&gt;10,0,1)))</f>
        <v>0</v>
      </c>
      <c r="P38" s="1" t="str">
        <f ca="1">IF(ISNA(VLOOKUP(A38,Projects!B:B,1,FALSE)),"","Yes")</f>
        <v/>
      </c>
    </row>
    <row r="39" spans="1:16" s="7" customFormat="1">
      <c r="A39" s="4" t="s">
        <v>909</v>
      </c>
      <c r="B39" s="5" t="s">
        <v>32</v>
      </c>
      <c r="C39" s="6" t="s">
        <v>48</v>
      </c>
      <c r="D39" s="11"/>
      <c r="E39" s="12"/>
      <c r="F39" s="13" t="str">
        <f ca="1">VLOOKUP(LEFT(A39,IF(ISERROR(FIND(".",A39)),LEN(A39)+1,FIND(".",A39))-1),WorkList!A:C,3,FALSE)</f>
        <v>Deals Database</v>
      </c>
      <c r="G39" s="14" t="str">
        <f ca="1">VLOOKUP(CONCATENATE(A39),WorkList!A:C,3,FALSE)</f>
        <v>Fix 'NextFixingDate' on DealsDB and CFGenerator</v>
      </c>
      <c r="H39" s="13" t="str">
        <f ca="1">VLOOKUP(CONCATENATE(A39),WorkList!A:D,4,FALSE)</f>
        <v>Neil</v>
      </c>
      <c r="I39" s="15">
        <f ca="1">VLOOKUP(CONCATENATE(A39),WorkList!A:E,5,FALSE)</f>
        <v>40219</v>
      </c>
      <c r="J39" s="49">
        <f ca="1">VLOOKUP(CONCATENATE(A39),WorkList!A:F,6,FALSE)</f>
        <v>1</v>
      </c>
      <c r="K39" s="49">
        <f ca="1">VLOOKUP(CONCATENATE(A39),WorkList!A:G,7,FALSE)</f>
        <v>0</v>
      </c>
      <c r="L39" s="7" t="s">
        <v>13</v>
      </c>
      <c r="M39" s="16">
        <v>40235</v>
      </c>
      <c r="N39" s="60">
        <f ca="1">VALUE(LEFT(C39))</f>
        <v>0</v>
      </c>
      <c r="O39" s="61">
        <f ca="1">INT(IF(N39&gt;0,1+MAX(N39*N39-(IF(D39="",TODAY()+(5-N39)*15,D39)-TODAY())/4,N39),IF(TODAY()-M39&gt;10,0,1)))</f>
        <v>0</v>
      </c>
      <c r="P39" s="1" t="str">
        <f ca="1">IF(ISNA(VLOOKUP(A39,Projects!B:B,1,FALSE)),"","Yes")</f>
        <v/>
      </c>
    </row>
    <row r="40" spans="1:16" s="7" customFormat="1" ht="25.5">
      <c r="A40" s="4" t="s">
        <v>920</v>
      </c>
      <c r="B40" s="5" t="s">
        <v>11</v>
      </c>
      <c r="C40" s="7" t="s">
        <v>48</v>
      </c>
      <c r="D40" s="11"/>
      <c r="E40" s="12"/>
      <c r="F40" s="13" t="str">
        <f ca="1">VLOOKUP(LEFT(A40,IF(ISERROR(FIND(".",A40)),LEN(A40)+1,FIND(".",A40))-1),WorkList!A:C,3,FALSE)</f>
        <v>Deals Database</v>
      </c>
      <c r="G40" s="14" t="str">
        <f ca="1">VLOOKUP(CONCATENATE(A40),WorkList!A:C,3,FALSE)</f>
        <v>Add 'OriginalPlacement' field to bonds, i.e., private/public/other</v>
      </c>
      <c r="H40" s="13" t="str">
        <f ca="1">VLOOKUP(CONCATENATE(A40),WorkList!A:D,4,FALSE)</f>
        <v>Ruth</v>
      </c>
      <c r="I40" s="15">
        <f ca="1">VLOOKUP(CONCATENATE(A40),WorkList!A:E,5,FALSE)</f>
        <v>40228</v>
      </c>
      <c r="J40" s="49">
        <f ca="1">VLOOKUP(CONCATENATE(A40),WorkList!A:F,6,FALSE)</f>
        <v>1</v>
      </c>
      <c r="K40" s="49">
        <f ca="1">VLOOKUP(CONCATENATE(A40),WorkList!A:G,7,FALSE)</f>
        <v>0</v>
      </c>
      <c r="L40" s="7" t="s">
        <v>13</v>
      </c>
      <c r="M40" s="16">
        <v>40283</v>
      </c>
      <c r="N40" s="60">
        <f ca="1">VALUE(LEFT(C40))</f>
        <v>0</v>
      </c>
      <c r="O40" s="61">
        <f ca="1">INT(IF(N40&gt;0,1+MAX(N40*N40-(IF(D40="",TODAY()+(5-N40)*15,D40)-TODAY())/4,N40),IF(TODAY()-M40&gt;10,0,1)))</f>
        <v>0</v>
      </c>
      <c r="P40" s="1" t="str">
        <f ca="1">IF(ISNA(VLOOKUP(A40,Projects!B:B,1,FALSE)),"","Yes")</f>
        <v/>
      </c>
    </row>
    <row r="41" spans="1:16" s="7" customFormat="1" ht="25.5">
      <c r="A41" s="4" t="s">
        <v>926</v>
      </c>
      <c r="B41" s="5" t="s">
        <v>11</v>
      </c>
      <c r="C41" s="6" t="s">
        <v>48</v>
      </c>
      <c r="D41" s="11"/>
      <c r="E41" s="12"/>
      <c r="F41" s="13" t="str">
        <f ca="1">VLOOKUP(LEFT(A41,IF(ISERROR(FIND(".",A41)),LEN(A41)+1,FIND(".",A41))-1),WorkList!A:C,3,FALSE)</f>
        <v>Deals Database</v>
      </c>
      <c r="G41" s="14" t="str">
        <f ca="1">VLOOKUP(CONCATENATE(A41),WorkList!A:C,3,FALSE)</f>
        <v>Bug with fixing generation for IT0004485063 - 1st fixing is on a holiday - why?</v>
      </c>
      <c r="H41" s="13" t="str">
        <f ca="1">VLOOKUP(CONCATENATE(A41),WorkList!A:D,4,FALSE)</f>
        <v>Neil</v>
      </c>
      <c r="I41" s="15">
        <f ca="1">VLOOKUP(CONCATENATE(A41),WorkList!A:E,5,FALSE)</f>
        <v>40233</v>
      </c>
      <c r="J41" s="49">
        <f ca="1">VLOOKUP(CONCATENATE(A41),WorkList!A:F,6,FALSE)</f>
        <v>0.5</v>
      </c>
      <c r="K41" s="49" t="str">
        <f ca="1">VLOOKUP(CONCATENATE(A41),WorkList!A:G,7,FALSE)</f>
        <v>Maintenance</v>
      </c>
      <c r="L41" s="7" t="s">
        <v>13</v>
      </c>
      <c r="M41" s="16">
        <v>40291</v>
      </c>
      <c r="N41" s="60">
        <f ca="1">VALUE(LEFT(C41))</f>
        <v>0</v>
      </c>
      <c r="O41" s="61">
        <f ca="1">INT(IF(N41&gt;0,1+MAX(N41*N41-(IF(D41="",TODAY()+(5-N41)*15,D41)-TODAY())/4,N41),IF(TODAY()-M41&gt;10,0,1)))</f>
        <v>0</v>
      </c>
      <c r="P41" s="1" t="str">
        <f ca="1">IF(ISNA(VLOOKUP(A41,Projects!B:B,1,FALSE)),"","Yes")</f>
        <v/>
      </c>
    </row>
    <row r="42" spans="1:16" s="7" customFormat="1" ht="25.5">
      <c r="A42" s="4" t="s">
        <v>936</v>
      </c>
      <c r="B42" s="5" t="s">
        <v>11</v>
      </c>
      <c r="C42" s="6" t="s">
        <v>48</v>
      </c>
      <c r="D42" s="11"/>
      <c r="E42" s="12"/>
      <c r="F42" s="13" t="str">
        <f ca="1">VLOOKUP(LEFT(A42,IF(ISERROR(FIND(".",A42)),LEN(A42)+1,FIND(".",A42))-1),WorkList!A:C,3,FALSE)</f>
        <v>Deals Database</v>
      </c>
      <c r="G42" s="14" t="str">
        <f ca="1">VLOOKUP(CONCATENATE(A42),WorkList!A:C,3,FALSE)</f>
        <v>Insert new Fixing Data when fixing data is missing from BBG</v>
      </c>
      <c r="H42" s="13" t="str">
        <f ca="1">VLOOKUP(CONCATENATE(A42),WorkList!A:D,4,FALSE)</f>
        <v>Zhuu</v>
      </c>
      <c r="I42" s="15">
        <f ca="1">VLOOKUP(CONCATENATE(A42),WorkList!A:E,5,FALSE)</f>
        <v>40233</v>
      </c>
      <c r="J42" s="49">
        <f ca="1">VLOOKUP(CONCATENATE(A42),WorkList!A:F,6,FALSE)</f>
        <v>1</v>
      </c>
      <c r="K42" s="49" t="str">
        <f ca="1">VLOOKUP(CONCATENATE(A42),WorkList!A:G,7,FALSE)</f>
        <v>Maintenance</v>
      </c>
      <c r="L42" s="7" t="s">
        <v>13</v>
      </c>
      <c r="M42" s="16">
        <v>40294</v>
      </c>
      <c r="N42" s="60">
        <f ca="1">VALUE(LEFT(C42))</f>
        <v>0</v>
      </c>
      <c r="O42" s="61">
        <f ca="1">INT(IF(N42&gt;0,1+MAX(N42*N42-(IF(D42="",TODAY()+(5-N42)*15,D42)-TODAY())/4,N42),IF(TODAY()-M42&gt;10,0,1)))</f>
        <v>0</v>
      </c>
      <c r="P42" s="1" t="str">
        <f ca="1">IF(ISNA(VLOOKUP(A42,Projects!B:B,1,FALSE)),"","Yes")</f>
        <v/>
      </c>
    </row>
    <row r="43" spans="1:16" s="7" customFormat="1" ht="25.5">
      <c r="A43" s="4" t="s">
        <v>946</v>
      </c>
      <c r="B43" s="5" t="s">
        <v>11</v>
      </c>
      <c r="C43" s="7" t="s">
        <v>48</v>
      </c>
      <c r="D43" s="11"/>
      <c r="E43" s="12"/>
      <c r="F43" s="13" t="str">
        <f ca="1">VLOOKUP(LEFT(A43,IF(ISERROR(FIND(".",A43)),LEN(A43)+1,FIND(".",A43))-1),WorkList!A:C,3,FALSE)</f>
        <v>Deals Database</v>
      </c>
      <c r="G43" s="14" t="str">
        <f ca="1">VLOOKUP(CONCATENATE(A43),WorkList!A:C,3,FALSE)</f>
        <v>Add 'CPR Type' to deals to specify non-default CPR values to use in BBG for cashflow generation.</v>
      </c>
      <c r="H43" s="13" t="str">
        <f ca="1">VLOOKUP(CONCATENATE(A43),WorkList!A:D,4,FALSE)</f>
        <v>Zhuu</v>
      </c>
      <c r="I43" s="15">
        <f ca="1">VLOOKUP(CONCATENATE(A43),WorkList!A:E,5,FALSE)</f>
        <v>40239</v>
      </c>
      <c r="J43" s="49">
        <f ca="1">VLOOKUP(CONCATENATE(A43),WorkList!A:F,6,FALSE)</f>
        <v>3</v>
      </c>
      <c r="K43" s="49">
        <f ca="1">VLOOKUP(CONCATENATE(A43),WorkList!A:G,7,FALSE)</f>
        <v>0</v>
      </c>
      <c r="L43" s="7" t="s">
        <v>13</v>
      </c>
      <c r="M43" s="16">
        <v>40283</v>
      </c>
      <c r="N43" s="60">
        <f ca="1">VALUE(LEFT(C43))</f>
        <v>0</v>
      </c>
      <c r="O43" s="61">
        <f ca="1">INT(IF(N43&gt;0,1+MAX(N43*N43-(IF(D43="",TODAY()+(5-N43)*15,D43)-TODAY())/4,N43),IF(TODAY()-M43&gt;10,0,1)))</f>
        <v>0</v>
      </c>
      <c r="P43" s="1" t="str">
        <f ca="1">IF(ISNA(VLOOKUP(A43,Projects!B:B,1,FALSE)),"","Yes")</f>
        <v/>
      </c>
    </row>
    <row r="44" spans="1:16" s="7" customFormat="1" ht="25.5">
      <c r="A44" s="4" t="s">
        <v>1101</v>
      </c>
      <c r="B44" s="5" t="s">
        <v>11</v>
      </c>
      <c r="C44" s="6" t="s">
        <v>48</v>
      </c>
      <c r="D44" s="11"/>
      <c r="E44" s="12"/>
      <c r="F44" s="13" t="str">
        <f ca="1">VLOOKUP(LEFT(A44,IF(ISERROR(FIND(".",A44)),LEN(A44)+1,FIND(".",A44))-1),WorkList!A:C,3,FALSE)</f>
        <v>Deals Database</v>
      </c>
      <c r="G44" s="14" t="str">
        <f ca="1">VLOOKUP(CONCATENATE(A44),WorkList!A:C,3,FALSE)</f>
        <v>Don't update bonds in CashflwoGenerator if their factor it zero</v>
      </c>
      <c r="H44" s="13" t="str">
        <f ca="1">VLOOKUP(CONCATENATE(A44),WorkList!A:D,4,FALSE)</f>
        <v>Neil</v>
      </c>
      <c r="I44" s="15">
        <f ca="1">VLOOKUP(CONCATENATE(A44),WorkList!A:E,5,FALSE)</f>
        <v>40291</v>
      </c>
      <c r="J44" s="49">
        <f ca="1">VLOOKUP(CONCATENATE(A44),WorkList!A:F,6,FALSE)</f>
        <v>0.5</v>
      </c>
      <c r="K44" s="49" t="str">
        <f ca="1">VLOOKUP(CONCATENATE(A44),WorkList!A:G,7,FALSE)</f>
        <v>Maintenance</v>
      </c>
      <c r="L44" s="7" t="s">
        <v>13</v>
      </c>
      <c r="M44" s="16">
        <v>40294</v>
      </c>
      <c r="N44" s="60">
        <f ca="1">VALUE(LEFT(C44))</f>
        <v>0</v>
      </c>
      <c r="O44" s="61">
        <f ca="1">INT(IF(N44&gt;0,1+MAX(N44*N44-(IF(D44="",TODAY()+(5-N44)*15,D44)-TODAY())/4,N44),IF(TODAY()-M44&gt;10,0,1)))</f>
        <v>0</v>
      </c>
      <c r="P44" s="1" t="str">
        <f ca="1">IF(ISNA(VLOOKUP(A44,Projects!B:B,1,FALSE)),"","Yes")</f>
        <v/>
      </c>
    </row>
    <row r="45" spans="1:16" s="7" customFormat="1">
      <c r="A45" s="4" t="s">
        <v>1141</v>
      </c>
      <c r="B45" s="5" t="s">
        <v>21</v>
      </c>
      <c r="C45" s="7" t="s">
        <v>10</v>
      </c>
      <c r="D45" s="11"/>
      <c r="E45" s="12"/>
      <c r="F45" s="13" t="str">
        <f ca="1">VLOOKUP(LEFT(A45,IF(ISERROR(FIND(".",A45)),LEN(A45)+1,FIND(".",A45))-1),WorkList!A:C,3,FALSE)</f>
        <v>Deals Database</v>
      </c>
      <c r="G45" s="14" t="str">
        <f ca="1">VLOOKUP(CONCATENATE(A45),WorkList!A:C,3,FALSE)</f>
        <v>Represent Master Trusts in the database</v>
      </c>
      <c r="H45" s="13" t="str">
        <f ca="1">VLOOKUP(CONCATENATE(A45),WorkList!A:D,4,FALSE)</f>
        <v>Neil</v>
      </c>
      <c r="I45" s="15">
        <f ca="1">VLOOKUP(CONCATENATE(A45),WorkList!A:E,5,FALSE)</f>
        <v>40304</v>
      </c>
      <c r="J45" s="49">
        <f ca="1">VLOOKUP(CONCATENATE(A45),WorkList!A:F,6,FALSE)</f>
        <v>3</v>
      </c>
      <c r="K45" s="49" t="str">
        <f ca="1">VLOOKUP(CONCATENATE(A45),WorkList!A:G,7,FALSE)</f>
        <v>Enhancement</v>
      </c>
      <c r="L45" s="7" t="s">
        <v>7</v>
      </c>
      <c r="M45" s="16">
        <v>40304</v>
      </c>
      <c r="N45" s="60">
        <f ca="1">VALUE(LEFT(C45))</f>
        <v>3</v>
      </c>
      <c r="O45" s="61">
        <f ca="1">INT(IF(N45&gt;0,1+MAX(N45*N45-(IF(D45="",TODAY()+(5-N45)*15,D45)-TODAY())/4,N45),IF(TODAY()-M45&gt;10,0,1)))</f>
        <v>4</v>
      </c>
      <c r="P45" s="1" t="str">
        <f ca="1">IF(ISNA(VLOOKUP(A45,Projects!B:B,1,FALSE)),"","Yes")</f>
        <v/>
      </c>
    </row>
    <row r="46" spans="1:16" s="7" customFormat="1" ht="38.25">
      <c r="A46" s="4" t="s">
        <v>1173</v>
      </c>
      <c r="B46" s="5" t="s">
        <v>1159</v>
      </c>
      <c r="C46" s="7" t="s">
        <v>48</v>
      </c>
      <c r="D46" s="7">
        <v>40349</v>
      </c>
      <c r="E46" s="12"/>
      <c r="F46" s="13" t="str">
        <f ca="1">VLOOKUP(LEFT(A46,IF(ISERROR(FIND(".",A46)),LEN(A46)+1,FIND(".",A46))-1),WorkList!A:C,3,FALSE)</f>
        <v>Deals Database</v>
      </c>
      <c r="G46" s="14" t="str">
        <f ca="1">VLOOKUP(CONCATENATE(A46),WorkList!A:C,3,FALSE)</f>
        <v>Make BBG-&gt;Fingal holiday calendar mapping handle 'A$' -&gt; 'MEL,SYD' and make it extendable via the Config without need for a new release</v>
      </c>
      <c r="H46" s="13" t="str">
        <f ca="1">VLOOKUP(CONCATENATE(A46),WorkList!A:D,4,FALSE)</f>
        <v>Neil</v>
      </c>
      <c r="I46" s="15">
        <f ca="1">VLOOKUP(CONCATENATE(A46),WorkList!A:E,5,FALSE)</f>
        <v>40325</v>
      </c>
      <c r="J46" s="49">
        <f ca="1">VLOOKUP(CONCATENATE(A46),WorkList!A:F,6,FALSE)</f>
        <v>2</v>
      </c>
      <c r="K46" s="49" t="str">
        <f ca="1">VLOOKUP(CONCATENATE(A46),WorkList!A:G,7,FALSE)</f>
        <v>Enhancement</v>
      </c>
      <c r="L46" s="7" t="s">
        <v>13</v>
      </c>
      <c r="M46" s="16">
        <v>40403</v>
      </c>
      <c r="N46" s="60">
        <f ca="1">VALUE(LEFT(C46))</f>
        <v>0</v>
      </c>
      <c r="O46" s="61">
        <f ca="1">INT(IF(N46&gt;0,1+MAX(N46*N46-(IF(D46="",TODAY()+(5-N46)*15,D46)-TODAY())/4,N46),IF(TODAY()-M46&gt;10,0,1)))</f>
        <v>0</v>
      </c>
      <c r="P46" s="1" t="str">
        <f ca="1">IF(ISNA(VLOOKUP(A46,Projects!B:B,1,FALSE)),"","Yes")</f>
        <v>Yes</v>
      </c>
    </row>
    <row r="47" spans="1:16" s="7" customFormat="1" ht="25.5">
      <c r="A47" s="4" t="s">
        <v>1195</v>
      </c>
      <c r="B47" s="5" t="s">
        <v>1159</v>
      </c>
      <c r="C47" s="7" t="s">
        <v>38</v>
      </c>
      <c r="E47" s="12"/>
      <c r="F47" s="13" t="str">
        <f ca="1">VLOOKUP(LEFT(A47,IF(ISERROR(FIND(".",A47)),LEN(A47)+1,FIND(".",A47))-1),WorkList!A:C,3,FALSE)</f>
        <v>Deals Database</v>
      </c>
      <c r="G47" s="14" t="str">
        <f ca="1">VLOOKUP(CONCATENATE(A47),WorkList!A:C,3,FALSE)</f>
        <v>Make DealsDB and Cfgen handle bonds that genuinely have no ISIN</v>
      </c>
      <c r="H47" s="13" t="str">
        <f ca="1">VLOOKUP(CONCATENATE(A47),WorkList!A:D,4,FALSE)</f>
        <v>Neil</v>
      </c>
      <c r="I47" s="15">
        <f ca="1">VLOOKUP(CONCATENATE(A47),WorkList!A:E,5,FALSE)</f>
        <v>40336</v>
      </c>
      <c r="J47" s="49">
        <f ca="1">VLOOKUP(CONCATENATE(A47),WorkList!A:F,6,FALSE)</f>
        <v>1</v>
      </c>
      <c r="K47" s="49" t="str">
        <f ca="1">VLOOKUP(CONCATENATE(A47),WorkList!A:G,7,FALSE)</f>
        <v>Enhancement</v>
      </c>
      <c r="L47" s="7" t="s">
        <v>7</v>
      </c>
      <c r="M47" s="16">
        <v>40553</v>
      </c>
      <c r="N47" s="60">
        <f ca="1">VALUE(LEFT(C47))</f>
        <v>2</v>
      </c>
      <c r="O47" s="61">
        <f ca="1">INT(IF(N47&gt;0,1+MAX(N47*N47-(IF(D47="",TODAY()+(5-N47)*15,D47)-TODAY())/4,N47),IF(TODAY()-M47&gt;10,0,1)))</f>
        <v>3</v>
      </c>
      <c r="P47" s="1" t="str">
        <f ca="1">IF(ISNA(VLOOKUP(A47,Projects!B:B,1,FALSE)),"","Yes")</f>
        <v/>
      </c>
    </row>
    <row r="48" spans="1:16" s="7" customFormat="1">
      <c r="A48" s="4" t="s">
        <v>1203</v>
      </c>
      <c r="B48" s="5" t="s">
        <v>1159</v>
      </c>
      <c r="C48" s="7" t="s">
        <v>48</v>
      </c>
      <c r="D48" s="7">
        <v>40349</v>
      </c>
      <c r="E48" s="12"/>
      <c r="F48" s="13" t="str">
        <f ca="1">VLOOKUP(LEFT(A48,IF(ISERROR(FIND(".",A48)),LEN(A48)+1,FIND(".",A48))-1),WorkList!A:C,3,FALSE)</f>
        <v>Deals Database</v>
      </c>
      <c r="G48" s="14" t="str">
        <f ca="1">VLOOKUP(CONCATENATE(A48),WorkList!A:C,3,FALSE)</f>
        <v>Issue pasting ISIN etc for new bonds</v>
      </c>
      <c r="H48" s="13" t="str">
        <f ca="1">VLOOKUP(CONCATENATE(A48),WorkList!A:D,4,FALSE)</f>
        <v>Neil</v>
      </c>
      <c r="I48" s="15">
        <f ca="1">VLOOKUP(CONCATENATE(A48),WorkList!A:E,5,FALSE)</f>
        <v>40337</v>
      </c>
      <c r="J48" s="49">
        <f ca="1">VLOOKUP(CONCATENATE(A48),WorkList!A:F,6,FALSE)</f>
        <v>1</v>
      </c>
      <c r="K48" s="49" t="str">
        <f ca="1">VLOOKUP(CONCATENATE(A48),WorkList!A:G,7,FALSE)</f>
        <v>Maintenance</v>
      </c>
      <c r="L48" s="7" t="s">
        <v>13</v>
      </c>
      <c r="M48" s="16">
        <v>40403</v>
      </c>
      <c r="N48" s="60">
        <f ca="1">VALUE(LEFT(C48))</f>
        <v>0</v>
      </c>
      <c r="O48" s="61">
        <f ca="1">INT(IF(N48&gt;0,1+MAX(N48*N48-(IF(D48="",TODAY()+(5-N48)*15,D48)-TODAY())/4,N48),IF(TODAY()-M48&gt;10,0,1)))</f>
        <v>0</v>
      </c>
      <c r="P48" s="1" t="str">
        <f ca="1">IF(ISNA(VLOOKUP(A48,Projects!B:B,1,FALSE)),"","Yes")</f>
        <v>Yes</v>
      </c>
    </row>
    <row r="49" spans="1:16" s="7" customFormat="1">
      <c r="A49" s="4" t="s">
        <v>1205</v>
      </c>
      <c r="B49" s="5" t="s">
        <v>32</v>
      </c>
      <c r="C49" s="7" t="s">
        <v>38</v>
      </c>
      <c r="E49" s="12"/>
      <c r="F49" s="13" t="str">
        <f ca="1">VLOOKUP(LEFT(A49,IF(ISERROR(FIND(".",A49)),LEN(A49)+1,FIND(".",A49))-1),WorkList!A:C,3,FALSE)</f>
        <v>Deals Database</v>
      </c>
      <c r="G49" s="14" t="str">
        <f ca="1">VLOOKUP(CONCATENATE(A49),WorkList!A:C,3,FALSE)</f>
        <v>Investigate Fingal build errors</v>
      </c>
      <c r="H49" s="13" t="str">
        <f ca="1">VLOOKUP(CONCATENATE(A49),WorkList!A:D,4,FALSE)</f>
        <v>Neil</v>
      </c>
      <c r="I49" s="15">
        <f ca="1">VLOOKUP(CONCATENATE(A49),WorkList!A:E,5,FALSE)</f>
        <v>40338</v>
      </c>
      <c r="J49" s="49">
        <f ca="1">VLOOKUP(CONCATENATE(A49),WorkList!A:F,6,FALSE)</f>
        <v>0.5</v>
      </c>
      <c r="K49" s="49" t="str">
        <f ca="1">VLOOKUP(CONCATENATE(A49),WorkList!A:G,7,FALSE)</f>
        <v>Maintenance</v>
      </c>
      <c r="L49" s="7" t="s">
        <v>7</v>
      </c>
      <c r="M49" s="16">
        <v>40568</v>
      </c>
      <c r="N49" s="60">
        <f ca="1">VALUE(LEFT(C49))</f>
        <v>2</v>
      </c>
      <c r="O49" s="61">
        <f ca="1">INT(IF(N49&gt;0,1+MAX(N49*N49-(IF(D49="",TODAY()+(5-N49)*15,D49)-TODAY())/4,N49),IF(TODAY()-M49&gt;10,0,1)))</f>
        <v>3</v>
      </c>
      <c r="P49" s="1" t="str">
        <f ca="1">IF(ISNA(VLOOKUP(A49,Projects!B:B,1,FALSE)),"","Yes")</f>
        <v/>
      </c>
    </row>
    <row r="50" spans="1:16" s="7" customFormat="1">
      <c r="A50" s="4" t="s">
        <v>1207</v>
      </c>
      <c r="B50" s="5" t="s">
        <v>21</v>
      </c>
      <c r="C50" s="6" t="s">
        <v>38</v>
      </c>
      <c r="E50" s="12"/>
      <c r="F50" s="13" t="str">
        <f ca="1">VLOOKUP(LEFT(A50,IF(ISERROR(FIND(".",A50)),LEN(A50)+1,FIND(".",A50))-1),WorkList!A:C,3,FALSE)</f>
        <v>Deals Database</v>
      </c>
      <c r="G50" s="14" t="str">
        <f ca="1">VLOOKUP(CONCATENATE(A50),WorkList!A:C,3,FALSE)</f>
        <v>Deals DB changes for Master Trusts</v>
      </c>
      <c r="H50" s="13" t="str">
        <f ca="1">VLOOKUP(CONCATENATE(A50),WorkList!A:D,4,FALSE)</f>
        <v>Neil</v>
      </c>
      <c r="I50" s="15">
        <f ca="1">VLOOKUP(CONCATENATE(A50),WorkList!A:E,5,FALSE)</f>
        <v>40520</v>
      </c>
      <c r="J50" s="49">
        <f ca="1">VLOOKUP(CONCATENATE(A50),WorkList!A:F,6,FALSE)</f>
        <v>3</v>
      </c>
      <c r="K50" s="49" t="str">
        <f ca="1">VLOOKUP(CONCATENATE(A50),WorkList!A:G,7,FALSE)</f>
        <v>Enhancement</v>
      </c>
      <c r="L50" s="7" t="s">
        <v>7</v>
      </c>
      <c r="M50" s="16">
        <v>40340</v>
      </c>
      <c r="N50" s="60">
        <f ca="1">VALUE(LEFT(C50))</f>
        <v>2</v>
      </c>
      <c r="O50" s="61">
        <f ca="1">INT(IF(N50&gt;0,1+MAX(N50*N50-(IF(D50="",TODAY()+(5-N50)*15,D50)-TODAY())/4,N50),IF(TODAY()-M50&gt;10,0,1)))</f>
        <v>3</v>
      </c>
      <c r="P50" s="1" t="str">
        <f ca="1">IF(ISNA(VLOOKUP(A50,Projects!B:B,1,FALSE)),"","Yes")</f>
        <v/>
      </c>
    </row>
    <row r="51" spans="1:16" s="7" customFormat="1">
      <c r="A51" s="4" t="s">
        <v>1219</v>
      </c>
      <c r="B51" s="5" t="s">
        <v>11</v>
      </c>
      <c r="C51" s="6" t="s">
        <v>48</v>
      </c>
      <c r="E51" s="12"/>
      <c r="F51" s="13" t="str">
        <f ca="1">VLOOKUP(LEFT(A51,IF(ISERROR(FIND(".",A51)),LEN(A51)+1,FIND(".",A51))-1),WorkList!A:C,3,FALSE)</f>
        <v>Deals Database</v>
      </c>
      <c r="G51" s="14" t="str">
        <f ca="1">VLOOKUP(CONCATENATE(A51),WorkList!A:C,3,FALSE)</f>
        <v>Investigate BBG gateway retries</v>
      </c>
      <c r="H51" s="13" t="str">
        <f ca="1">VLOOKUP(CONCATENATE(A51),WorkList!A:D,4,FALSE)</f>
        <v>Neil</v>
      </c>
      <c r="I51" s="15">
        <f ca="1">VLOOKUP(CONCATENATE(A51),WorkList!A:E,5,FALSE)</f>
        <v>40339</v>
      </c>
      <c r="J51" s="49">
        <f ca="1">VLOOKUP(CONCATENATE(A51),WorkList!A:F,6,FALSE)</f>
        <v>1</v>
      </c>
      <c r="K51" s="49" t="str">
        <f ca="1">VLOOKUP(CONCATENATE(A51),WorkList!A:G,7,FALSE)</f>
        <v>Maintenance</v>
      </c>
      <c r="L51" s="7" t="s">
        <v>13</v>
      </c>
      <c r="M51" s="16">
        <v>40514</v>
      </c>
      <c r="N51" s="60">
        <f ca="1">VALUE(LEFT(C51))</f>
        <v>0</v>
      </c>
      <c r="O51" s="61">
        <f ca="1">INT(IF(N51&gt;0,1+MAX(N51*N51-(IF(D51="",TODAY()+(5-N51)*15,D51)-TODAY())/4,N51),IF(TODAY()-M51&gt;10,0,1)))</f>
        <v>0</v>
      </c>
      <c r="P51" s="1" t="str">
        <f ca="1">IF(ISNA(VLOOKUP(A51,Projects!B:B,1,FALSE)),"","Yes")</f>
        <v/>
      </c>
    </row>
    <row r="52" spans="1:16" s="7" customFormat="1">
      <c r="A52" s="4" t="s">
        <v>1555</v>
      </c>
      <c r="B52" s="5" t="s">
        <v>21</v>
      </c>
      <c r="C52" s="7" t="s">
        <v>38</v>
      </c>
      <c r="E52" s="12"/>
      <c r="F52" s="13" t="str">
        <f ca="1">VLOOKUP(LEFT(A52,IF(ISERROR(FIND(".",A52)),LEN(A52)+1,FIND(".",A52))-1),WorkList!A:C,3,FALSE)</f>
        <v>Deals Database</v>
      </c>
      <c r="G52" s="14" t="str">
        <f ca="1">VLOOKUP(CONCATENATE(A52),WorkList!A:C,3,FALSE)</f>
        <v>Make POOL_ID mapping via a link table</v>
      </c>
      <c r="H52" s="13" t="str">
        <f ca="1">VLOOKUP(CONCATENATE(A52),WorkList!A:D,4,FALSE)</f>
        <v>Neil</v>
      </c>
      <c r="I52" s="15">
        <f ca="1">VLOOKUP(CONCATENATE(A52),WorkList!A:E,5,FALSE)</f>
        <v>40452</v>
      </c>
      <c r="J52" s="49">
        <f ca="1">VLOOKUP(CONCATENATE(A52),WorkList!A:F,6,FALSE)</f>
        <v>2</v>
      </c>
      <c r="K52" s="49" t="str">
        <f ca="1">VLOOKUP(CONCATENATE(A52),WorkList!A:G,7,FALSE)</f>
        <v>Enhancement</v>
      </c>
      <c r="L52" s="7" t="s">
        <v>7</v>
      </c>
      <c r="M52" s="16">
        <v>40452</v>
      </c>
      <c r="N52" s="60">
        <f ca="1">VALUE(LEFT(C52))</f>
        <v>2</v>
      </c>
      <c r="O52" s="61">
        <f ca="1">INT(IF(N52&gt;0,1+MAX(N52*N52-(IF(D52="",TODAY()+(5-N52)*15,D52)-TODAY())/4,N52),IF(TODAY()-M52&gt;10,0,1)))</f>
        <v>3</v>
      </c>
      <c r="P52" s="1" t="str">
        <f ca="1">IF(ISNA(VLOOKUP(A52,Projects!B:B,1,FALSE)),"","Yes")</f>
        <v/>
      </c>
    </row>
    <row r="53" spans="1:16" s="7" customFormat="1">
      <c r="A53" s="4" t="s">
        <v>1561</v>
      </c>
      <c r="B53" s="5" t="s">
        <v>11</v>
      </c>
      <c r="C53" s="6" t="s">
        <v>48</v>
      </c>
      <c r="E53" s="12"/>
      <c r="F53" s="13" t="str">
        <f ca="1">VLOOKUP(LEFT(A53,IF(ISERROR(FIND(".",A53)),LEN(A53)+1,FIND(".",A53))-1),WorkList!A:C,3,FALSE)</f>
        <v>Deals Database</v>
      </c>
      <c r="G53" s="14" t="str">
        <f ca="1">VLOOKUP(CONCATENATE(A53),WorkList!A:C,3,FALSE)</f>
        <v>Use BBG Dynamic cashflows</v>
      </c>
      <c r="H53" s="13" t="str">
        <f ca="1">VLOOKUP(CONCATENATE(A53),WorkList!A:D,4,FALSE)</f>
        <v>Zhuu</v>
      </c>
      <c r="I53" s="15">
        <f ca="1">VLOOKUP(CONCATENATE(A53),WorkList!A:E,5,FALSE)</f>
        <v>40452</v>
      </c>
      <c r="J53" s="49">
        <f ca="1">VLOOKUP(CONCATENATE(A53),WorkList!A:F,6,FALSE)</f>
        <v>3</v>
      </c>
      <c r="K53" s="49" t="str">
        <f ca="1">VLOOKUP(CONCATENATE(A53),WorkList!A:G,7,FALSE)</f>
        <v>Enhancement</v>
      </c>
      <c r="L53" s="7" t="s">
        <v>13</v>
      </c>
      <c r="M53" s="16">
        <v>40514</v>
      </c>
      <c r="N53" s="60">
        <f ca="1">VALUE(LEFT(C53))</f>
        <v>0</v>
      </c>
      <c r="O53" s="61">
        <f ca="1">INT(IF(N53&gt;0,1+MAX(N53*N53-(IF(D53="",TODAY()+(5-N53)*15,D53)-TODAY())/4,N53),IF(TODAY()-M53&gt;10,0,1)))</f>
        <v>0</v>
      </c>
      <c r="P53" s="1" t="str">
        <f ca="1">IF(ISNA(VLOOKUP(A53,Projects!B:B,1,FALSE)),"","Yes")</f>
        <v/>
      </c>
    </row>
    <row r="54" spans="1:16" s="7" customFormat="1">
      <c r="A54" s="4" t="s">
        <v>1599</v>
      </c>
      <c r="B54" s="5" t="s">
        <v>11</v>
      </c>
      <c r="C54" s="6" t="s">
        <v>48</v>
      </c>
      <c r="E54" s="12"/>
      <c r="F54" s="13" t="str">
        <f ca="1">VLOOKUP(LEFT(A54,IF(ISERROR(FIND(".",A54)),LEN(A54)+1,FIND(".",A54))-1),WorkList!A:C,3,FALSE)</f>
        <v>Deals Database</v>
      </c>
      <c r="G54" s="14" t="str">
        <f ca="1">VLOOKUP(CONCATENATE(A54),WorkList!A:C,3,FALSE)</f>
        <v>Fix bugs for Ajay</v>
      </c>
      <c r="H54" s="13" t="str">
        <f ca="1">VLOOKUP(CONCATENATE(A54),WorkList!A:D,4,FALSE)</f>
        <v>Ajay</v>
      </c>
      <c r="I54" s="15">
        <f ca="1">VLOOKUP(CONCATENATE(A54),WorkList!A:E,5,FALSE)</f>
        <v>40459</v>
      </c>
      <c r="J54" s="49">
        <f ca="1">VLOOKUP(CONCATENATE(A54),WorkList!A:F,6,FALSE)</f>
        <v>1</v>
      </c>
      <c r="K54" s="49" t="str">
        <f ca="1">VLOOKUP(CONCATENATE(A54),WorkList!A:G,7,FALSE)</f>
        <v>Maintenance</v>
      </c>
      <c r="L54" s="7" t="s">
        <v>13</v>
      </c>
      <c r="M54" s="16">
        <v>40514</v>
      </c>
      <c r="N54" s="60">
        <f ca="1">VALUE(LEFT(C54))</f>
        <v>0</v>
      </c>
      <c r="O54" s="61">
        <f ca="1">INT(IF(N54&gt;0,1+MAX(N54*N54-(IF(D54="",TODAY()+(5-N54)*15,D54)-TODAY())/4,N54),IF(TODAY()-M54&gt;10,0,1)))</f>
        <v>0</v>
      </c>
      <c r="P54" s="1" t="str">
        <f ca="1">IF(ISNA(VLOOKUP(A54,Projects!B:B,1,FALSE)),"","Yes")</f>
        <v/>
      </c>
    </row>
    <row r="55" spans="1:16" s="7" customFormat="1" ht="25.5">
      <c r="A55" s="4" t="s">
        <v>1615</v>
      </c>
      <c r="B55" s="5" t="s">
        <v>11</v>
      </c>
      <c r="C55" s="6" t="s">
        <v>48</v>
      </c>
      <c r="E55" s="12"/>
      <c r="F55" s="13" t="str">
        <f ca="1">VLOOKUP(LEFT(A55,IF(ISERROR(FIND(".",A55)),LEN(A55)+1,FIND(".",A55))-1),WorkList!A:C,3,FALSE)</f>
        <v>Deals Database</v>
      </c>
      <c r="G55" s="14" t="str">
        <f ca="1">VLOOKUP(CONCATENATE(A55),WorkList!A:C,3,FALSE)</f>
        <v>Cashflow generator to not report errors on bonds where the current factor is now zero, and to send them to radial.</v>
      </c>
      <c r="H55" s="13" t="str">
        <f ca="1">VLOOKUP(CONCATENATE(A55),WorkList!A:D,4,FALSE)</f>
        <v>Neil</v>
      </c>
      <c r="I55" s="15">
        <f ca="1">VLOOKUP(CONCATENATE(A55),WorkList!A:E,5,FALSE)</f>
        <v>40469</v>
      </c>
      <c r="J55" s="49">
        <f ca="1">VLOOKUP(CONCATENATE(A55),WorkList!A:F,6,FALSE)</f>
        <v>1</v>
      </c>
      <c r="K55" s="49" t="str">
        <f ca="1">VLOOKUP(CONCATENATE(A55),WorkList!A:G,7,FALSE)</f>
        <v>Enhancement</v>
      </c>
      <c r="L55" s="7" t="s">
        <v>13</v>
      </c>
      <c r="M55" s="16">
        <v>40514</v>
      </c>
      <c r="N55" s="60">
        <f ca="1">VALUE(LEFT(C55))</f>
        <v>0</v>
      </c>
      <c r="O55" s="61">
        <f ca="1">INT(IF(N55&gt;0,1+MAX(N55*N55-(IF(D55="",TODAY()+(5-N55)*15,D55)-TODAY())/4,N55),IF(TODAY()-M55&gt;10,0,1)))</f>
        <v>0</v>
      </c>
      <c r="P55" s="1" t="str">
        <f ca="1">IF(ISNA(VLOOKUP(A55,Projects!B:B,1,FALSE)),"","Yes")</f>
        <v/>
      </c>
    </row>
    <row r="56" spans="1:16" s="7" customFormat="1" ht="25.5">
      <c r="A56" s="4" t="s">
        <v>1617</v>
      </c>
      <c r="B56" s="5" t="s">
        <v>11</v>
      </c>
      <c r="C56" s="6" t="s">
        <v>48</v>
      </c>
      <c r="E56" s="12"/>
      <c r="F56" s="13" t="str">
        <f ca="1">VLOOKUP(LEFT(A56,IF(ISERROR(FIND(".",A56)),LEN(A56)+1,FIND(".",A56))-1),WorkList!A:C,3,FALSE)</f>
        <v>Deals Database</v>
      </c>
      <c r="G56" s="14" t="str">
        <f ca="1">VLOOKUP(CONCATENATE(A56),WorkList!A:C,3,FALSE)</f>
        <v>Cashflow generator should not report warning when everything is fine</v>
      </c>
      <c r="H56" s="13" t="str">
        <f ca="1">VLOOKUP(CONCATENATE(A56),WorkList!A:D,4,FALSE)</f>
        <v>Neil</v>
      </c>
      <c r="I56" s="15">
        <f ca="1">VLOOKUP(CONCATENATE(A56),WorkList!A:E,5,FALSE)</f>
        <v>40469</v>
      </c>
      <c r="J56" s="49">
        <f ca="1">VLOOKUP(CONCATENATE(A56),WorkList!A:F,6,FALSE)</f>
        <v>1</v>
      </c>
      <c r="K56" s="49" t="str">
        <f ca="1">VLOOKUP(CONCATENATE(A56),WorkList!A:G,7,FALSE)</f>
        <v>Enhancement</v>
      </c>
      <c r="L56" s="7" t="s">
        <v>13</v>
      </c>
      <c r="M56" s="16">
        <v>40514</v>
      </c>
      <c r="N56" s="60">
        <f ca="1">VALUE(LEFT(C56))</f>
        <v>0</v>
      </c>
      <c r="O56" s="61">
        <f ca="1">INT(IF(N56&gt;0,1+MAX(N56*N56-(IF(D56="",TODAY()+(5-N56)*15,D56)-TODAY())/4,N56),IF(TODAY()-M56&gt;10,0,1)))</f>
        <v>0</v>
      </c>
      <c r="P56" s="1" t="str">
        <f ca="1">IF(ISNA(VLOOKUP(A56,Projects!B:B,1,FALSE)),"","Yes")</f>
        <v/>
      </c>
    </row>
    <row r="57" spans="1:16" s="7" customFormat="1" ht="25.5">
      <c r="A57" s="4" t="s">
        <v>1620</v>
      </c>
      <c r="B57" s="5" t="s">
        <v>32</v>
      </c>
      <c r="C57" s="7" t="s">
        <v>10</v>
      </c>
      <c r="E57" s="12"/>
      <c r="F57" s="13" t="str">
        <f ca="1">VLOOKUP(LEFT(A57,IF(ISERROR(FIND(".",A57)),LEN(A57)+1,FIND(".",A57))-1),WorkList!A:C,3,FALSE)</f>
        <v>Deals Database</v>
      </c>
      <c r="G57" s="14" t="str">
        <f ca="1">VLOOKUP(CONCATENATE(A57),WorkList!A:C,3,FALSE)</f>
        <v>Remove dependancy on DealsDbDataAccessLayer from DealsDB App - replace with DealsDbOOLayer.</v>
      </c>
      <c r="H57" s="13" t="str">
        <f ca="1">VLOOKUP(CONCATENATE(A57),WorkList!A:D,4,FALSE)</f>
        <v>Neil</v>
      </c>
      <c r="I57" s="15">
        <f ca="1">VLOOKUP(CONCATENATE(A57),WorkList!A:E,5,FALSE)</f>
        <v>40470</v>
      </c>
      <c r="J57" s="49">
        <f ca="1">VLOOKUP(CONCATENATE(A57),WorkList!A:F,6,FALSE)</f>
        <v>2</v>
      </c>
      <c r="K57" s="49" t="str">
        <f ca="1">VLOOKUP(CONCATENATE(A57),WorkList!A:G,7,FALSE)</f>
        <v>Enhancement</v>
      </c>
      <c r="L57" s="7" t="s">
        <v>7</v>
      </c>
      <c r="M57" s="16">
        <v>40568</v>
      </c>
      <c r="N57" s="60">
        <f ca="1">VALUE(LEFT(C57))</f>
        <v>3</v>
      </c>
      <c r="O57" s="61">
        <f ca="1">INT(IF(N57&gt;0,1+MAX(N57*N57-(IF(D57="",TODAY()+(5-N57)*15,D57)-TODAY())/4,N57),IF(TODAY()-M57&gt;10,0,1)))</f>
        <v>4</v>
      </c>
      <c r="P57" s="1" t="str">
        <f ca="1">IF(ISNA(VLOOKUP(A57,Projects!B:B,1,FALSE)),"","Yes")</f>
        <v/>
      </c>
    </row>
    <row r="58" spans="1:16" s="7" customFormat="1">
      <c r="A58" s="4" t="s">
        <v>1679</v>
      </c>
      <c r="B58" s="5" t="s">
        <v>11</v>
      </c>
      <c r="C58" s="6" t="s">
        <v>48</v>
      </c>
      <c r="E58" s="12"/>
      <c r="F58" s="13" t="str">
        <f ca="1">VLOOKUP(LEFT(A58,IF(ISERROR(FIND(".",A58)),LEN(A58)+1,FIND(".",A58))-1),WorkList!A:C,3,FALSE)</f>
        <v>Deals Database</v>
      </c>
      <c r="G58" s="14" t="str">
        <f ca="1">VLOOKUP(CONCATENATE(A58),WorkList!A:C,3,FALSE)</f>
        <v>Add Cashflow generation source field for each bond</v>
      </c>
      <c r="H58" s="13" t="str">
        <f ca="1">VLOOKUP(CONCATENATE(A58),WorkList!A:D,4,FALSE)</f>
        <v>Neil</v>
      </c>
      <c r="I58" s="15">
        <f ca="1">VLOOKUP(CONCATENATE(A58),WorkList!A:E,5,FALSE)</f>
        <v>40508</v>
      </c>
      <c r="J58" s="49">
        <f ca="1">VLOOKUP(CONCATENATE(A58),WorkList!A:F,6,FALSE)</f>
        <v>1</v>
      </c>
      <c r="K58" s="49" t="str">
        <f ca="1">VLOOKUP(CONCATENATE(A58),WorkList!A:G,7,FALSE)</f>
        <v>NewDevelopment</v>
      </c>
      <c r="L58" s="7" t="s">
        <v>13</v>
      </c>
      <c r="M58" s="16">
        <v>40514</v>
      </c>
      <c r="N58" s="60">
        <f ca="1">VALUE(LEFT(C58))</f>
        <v>0</v>
      </c>
      <c r="O58" s="61">
        <f ca="1">INT(IF(N58&gt;0,1+MAX(N58*N58-(IF(D58="",TODAY()+(5-N58)*15,D58)-TODAY())/4,N58),IF(TODAY()-M58&gt;10,0,1)))</f>
        <v>0</v>
      </c>
      <c r="P58" s="1" t="str">
        <f ca="1">IF(ISNA(VLOOKUP(A58,Projects!B:B,1,FALSE)),"","Yes")</f>
        <v>Yes</v>
      </c>
    </row>
    <row r="59" spans="1:16" s="7" customFormat="1">
      <c r="A59" s="4" t="s">
        <v>1680</v>
      </c>
      <c r="B59" s="5" t="s">
        <v>11</v>
      </c>
      <c r="C59" s="6" t="s">
        <v>48</v>
      </c>
      <c r="E59" s="12"/>
      <c r="F59" s="13" t="str">
        <f ca="1">VLOOKUP(LEFT(A59,IF(ISERROR(FIND(".",A59)),LEN(A59)+1,FIND(".",A59))-1),WorkList!A:C,3,FALSE)</f>
        <v>Deals Database</v>
      </c>
      <c r="G59" s="14" t="str">
        <f ca="1">VLOOKUP(CONCATENATE(A59),WorkList!A:C,3,FALSE)</f>
        <v>Add 'OriginalPaymentPriority’ for each bond</v>
      </c>
      <c r="H59" s="13" t="str">
        <f ca="1">VLOOKUP(CONCATENATE(A59),WorkList!A:D,4,FALSE)</f>
        <v>Neil</v>
      </c>
      <c r="I59" s="15">
        <f ca="1">VLOOKUP(CONCATENATE(A59),WorkList!A:E,5,FALSE)</f>
        <v>40508</v>
      </c>
      <c r="J59" s="49">
        <f ca="1">VLOOKUP(CONCATENATE(A59),WorkList!A:F,6,FALSE)</f>
        <v>1</v>
      </c>
      <c r="K59" s="49" t="str">
        <f ca="1">VLOOKUP(CONCATENATE(A59),WorkList!A:G,7,FALSE)</f>
        <v>NewDevelopment</v>
      </c>
      <c r="L59" s="7" t="s">
        <v>13</v>
      </c>
      <c r="M59" s="16">
        <v>40514</v>
      </c>
      <c r="N59" s="60">
        <f ca="1">VALUE(LEFT(C59))</f>
        <v>0</v>
      </c>
      <c r="O59" s="61">
        <f ca="1">INT(IF(N59&gt;0,1+MAX(N59*N59-(IF(D59="",TODAY()+(5-N59)*15,D59)-TODAY())/4,N59),IF(TODAY()-M59&gt;10,0,1)))</f>
        <v>0</v>
      </c>
      <c r="P59" s="1" t="str">
        <f ca="1">IF(ISNA(VLOOKUP(A59,Projects!B:B,1,FALSE)),"","Yes")</f>
        <v>Yes</v>
      </c>
    </row>
    <row r="60" spans="1:16" s="7" customFormat="1">
      <c r="A60" s="4" t="s">
        <v>1722</v>
      </c>
      <c r="B60" s="5" t="s">
        <v>11</v>
      </c>
      <c r="C60" s="6" t="s">
        <v>48</v>
      </c>
      <c r="E60" s="12"/>
      <c r="F60" s="13" t="str">
        <f ca="1">VLOOKUP(LEFT(A60,IF(ISERROR(FIND(".",A60)),LEN(A60)+1,FIND(".",A60))-1),WorkList!A:C,3,FALSE)</f>
        <v>Deals Database</v>
      </c>
      <c r="G60" s="14" t="str">
        <f ca="1">VLOOKUP(CONCATENATE(A60),WorkList!A:C,3,FALSE)</f>
        <v>Add Warning when saving a bond if FX rate is not set</v>
      </c>
      <c r="H60" s="13" t="str">
        <f ca="1">VLOOKUP(CONCATENATE(A60),WorkList!A:D,4,FALSE)</f>
        <v>Ajay</v>
      </c>
      <c r="I60" s="15">
        <f ca="1">VLOOKUP(CONCATENATE(A60),WorkList!A:E,5,FALSE)</f>
        <v>40507</v>
      </c>
      <c r="J60" s="49">
        <f ca="1">VLOOKUP(CONCATENATE(A60),WorkList!A:F,6,FALSE)</f>
        <v>0.5</v>
      </c>
      <c r="K60" s="49" t="str">
        <f ca="1">VLOOKUP(CONCATENATE(A60),WorkList!A:G,7,FALSE)</f>
        <v>NewDevelopment</v>
      </c>
      <c r="L60" s="7" t="s">
        <v>13</v>
      </c>
      <c r="M60" s="16">
        <v>40514</v>
      </c>
      <c r="N60" s="60">
        <f ca="1">VALUE(LEFT(C60))</f>
        <v>0</v>
      </c>
      <c r="O60" s="61">
        <f ca="1">INT(IF(N60&gt;0,1+MAX(N60*N60-(IF(D60="",TODAY()+(5-N60)*15,D60)-TODAY())/4,N60),IF(TODAY()-M60&gt;10,0,1)))</f>
        <v>0</v>
      </c>
      <c r="P60" s="1" t="str">
        <f ca="1">IF(ISNA(VLOOKUP(A60,Projects!B:B,1,FALSE)),"","Yes")</f>
        <v/>
      </c>
    </row>
    <row r="61" spans="1:16" s="7" customFormat="1">
      <c r="A61" s="4" t="s">
        <v>1827</v>
      </c>
      <c r="B61" s="5" t="s">
        <v>32</v>
      </c>
      <c r="C61" s="7" t="s">
        <v>10</v>
      </c>
      <c r="E61" s="12"/>
      <c r="F61" s="13" t="str">
        <f ca="1">VLOOKUP(LEFT(A61,IF(ISERROR(FIND(".",A61)),LEN(A61)+1,FIND(".",A61))-1),WorkList!A:C,3,FALSE)</f>
        <v>Deals Database</v>
      </c>
      <c r="G61" s="14" t="str">
        <f ca="1">VLOOKUP(CONCATENATE(A61),WorkList!A:C,3,FALSE)</f>
        <v>Represent bond margin step ups in the DealsDB</v>
      </c>
      <c r="H61" s="13" t="str">
        <f ca="1">VLOOKUP(CONCATENATE(A61),WorkList!A:D,4,FALSE)</f>
        <v>Zhuu</v>
      </c>
      <c r="I61" s="15">
        <f ca="1">VLOOKUP(CONCATENATE(A61),WorkList!A:E,5,FALSE)</f>
        <v>40568</v>
      </c>
      <c r="J61" s="49">
        <f ca="1">VLOOKUP(CONCATENATE(A61),WorkList!A:F,6,FALSE)</f>
        <v>4</v>
      </c>
      <c r="K61" s="49" t="str">
        <f ca="1">VLOOKUP(CONCATENATE(A61),WorkList!A:G,7,FALSE)</f>
        <v>NewDevelopment</v>
      </c>
      <c r="L61" s="7" t="s">
        <v>7</v>
      </c>
      <c r="M61" s="16">
        <v>40568</v>
      </c>
      <c r="N61" s="60">
        <f ca="1">VALUE(LEFT(C61))</f>
        <v>3</v>
      </c>
      <c r="O61" s="61">
        <f ca="1">INT(IF(N61&gt;0,1+MAX(N61*N61-(IF(D61="",TODAY()+(5-N61)*15,D61)-TODAY())/4,N61),IF(TODAY()-M61&gt;10,0,1)))</f>
        <v>4</v>
      </c>
      <c r="P61" s="1" t="str">
        <f ca="1">IF(ISNA(VLOOKUP(A61,Projects!B:B,1,FALSE)),"","Yes")</f>
        <v>Yes</v>
      </c>
    </row>
    <row r="62" spans="1:16" s="7" customFormat="1" ht="25.5">
      <c r="A62" s="4" t="s">
        <v>1829</v>
      </c>
      <c r="B62" s="5" t="s">
        <v>32</v>
      </c>
      <c r="C62" s="7" t="s">
        <v>10</v>
      </c>
      <c r="E62" s="12">
        <v>1</v>
      </c>
      <c r="F62" s="13" t="str">
        <f ca="1">VLOOKUP(LEFT(A62,IF(ISERROR(FIND(".",A62)),LEN(A62)+1,FIND(".",A62))-1),WorkList!A:C,3,FALSE)</f>
        <v>Deals Database</v>
      </c>
      <c r="G62" s="14" t="str">
        <f ca="1">VLOOKUP(CONCATENATE(A62),WorkList!A:C,3,FALSE)</f>
        <v>Produce spec for XML changes to Radial for margin step ups</v>
      </c>
      <c r="H62" s="13" t="str">
        <f ca="1">VLOOKUP(CONCATENATE(A62),WorkList!A:D,4,FALSE)</f>
        <v>Zhuu</v>
      </c>
      <c r="I62" s="15">
        <f ca="1">VLOOKUP(CONCATENATE(A62),WorkList!A:E,5,FALSE)</f>
        <v>40568</v>
      </c>
      <c r="J62" s="49">
        <f ca="1">VLOOKUP(CONCATENATE(A62),WorkList!A:F,6,FALSE)</f>
        <v>1</v>
      </c>
      <c r="K62" s="49" t="str">
        <f ca="1">VLOOKUP(CONCATENATE(A62),WorkList!A:G,7,FALSE)</f>
        <v>NewDevelopment</v>
      </c>
      <c r="L62" s="7" t="s">
        <v>7</v>
      </c>
      <c r="M62" s="16">
        <v>40555</v>
      </c>
      <c r="N62" s="60">
        <f ca="1">VALUE(LEFT(C62))</f>
        <v>3</v>
      </c>
      <c r="O62" s="61">
        <f ca="1">INT(IF(N62&gt;0,1+MAX(N62*N62-(IF(D62="",TODAY()+(5-N62)*15,D62)-TODAY())/4,N62),IF(TODAY()-M62&gt;10,0,1)))</f>
        <v>4</v>
      </c>
      <c r="P62" s="1" t="str">
        <f ca="1">IF(ISNA(VLOOKUP(A62,Projects!B:B,1,FALSE)),"","Yes")</f>
        <v>Yes</v>
      </c>
    </row>
    <row r="63" spans="1:16" s="7" customFormat="1">
      <c r="A63" s="4" t="s">
        <v>1830</v>
      </c>
      <c r="B63" s="5" t="s">
        <v>32</v>
      </c>
      <c r="C63" s="7" t="s">
        <v>10</v>
      </c>
      <c r="E63" s="12"/>
      <c r="F63" s="13" t="str">
        <f ca="1">VLOOKUP(LEFT(A63,IF(ISERROR(FIND(".",A63)),LEN(A63)+1,FIND(".",A63))-1),WorkList!A:C,3,FALSE)</f>
        <v>Deals Database</v>
      </c>
      <c r="G63" s="14" t="str">
        <f ca="1">VLOOKUP(CONCATENATE(A63),WorkList!A:C,3,FALSE)</f>
        <v>Modify feed to Radial to include margin step ups</v>
      </c>
      <c r="H63" s="13" t="str">
        <f ca="1">VLOOKUP(CONCATENATE(A63),WorkList!A:D,4,FALSE)</f>
        <v>Zhuu</v>
      </c>
      <c r="I63" s="15">
        <f ca="1">VLOOKUP(CONCATENATE(A63),WorkList!A:E,5,FALSE)</f>
        <v>40568</v>
      </c>
      <c r="J63" s="49">
        <f ca="1">VLOOKUP(CONCATENATE(A63),WorkList!A:F,6,FALSE)</f>
        <v>1</v>
      </c>
      <c r="K63" s="49" t="str">
        <f ca="1">VLOOKUP(CONCATENATE(A63),WorkList!A:G,7,FALSE)</f>
        <v>NewDevelopment</v>
      </c>
      <c r="L63" s="7" t="s">
        <v>7</v>
      </c>
      <c r="M63" s="16">
        <v>40568</v>
      </c>
      <c r="N63" s="60">
        <f ca="1">VALUE(LEFT(C63))</f>
        <v>3</v>
      </c>
      <c r="O63" s="61">
        <f ca="1">INT(IF(N63&gt;0,1+MAX(N63*N63-(IF(D63="",TODAY()+(5-N63)*15,D63)-TODAY())/4,N63),IF(TODAY()-M63&gt;10,0,1)))</f>
        <v>4</v>
      </c>
      <c r="P63" s="1" t="str">
        <f ca="1">IF(ISNA(VLOOKUP(A63,Projects!B:B,1,FALSE)),"","Yes")</f>
        <v>Yes</v>
      </c>
    </row>
    <row r="64" spans="1:16" s="7" customFormat="1">
      <c r="A64" s="4" t="s">
        <v>1876</v>
      </c>
      <c r="B64" s="5" t="s">
        <v>32</v>
      </c>
      <c r="C64" s="7" t="s">
        <v>10</v>
      </c>
      <c r="E64" s="12"/>
      <c r="F64" s="13" t="str">
        <f ca="1">VLOOKUP(LEFT(A64,IF(ISERROR(FIND(".",A64)),LEN(A64)+1,FIND(".",A64))-1),WorkList!A:C,3,FALSE)</f>
        <v>Deals Database</v>
      </c>
      <c r="G64" s="14" t="str">
        <f ca="1">VLOOKUP(CONCATENATE(A64),WorkList!A:C,3,FALSE)</f>
        <v>Handle Deal re-issuance</v>
      </c>
      <c r="H64" s="13" t="str">
        <f ca="1">VLOOKUP(CONCATENATE(A64),WorkList!A:D,4,FALSE)</f>
        <v>Zhuu</v>
      </c>
      <c r="I64" s="15">
        <f ca="1">VLOOKUP(CONCATENATE(A64),WorkList!A:E,5,FALSE)</f>
        <v>40563</v>
      </c>
      <c r="J64" s="49">
        <f ca="1">VLOOKUP(CONCATENATE(A64),WorkList!A:F,6,FALSE)</f>
        <v>5</v>
      </c>
      <c r="K64" s="49" t="str">
        <f ca="1">VLOOKUP(CONCATENATE(A64),WorkList!A:G,7,FALSE)</f>
        <v>NewDevelopment</v>
      </c>
      <c r="L64" s="7" t="s">
        <v>7</v>
      </c>
      <c r="M64" s="16">
        <v>40563</v>
      </c>
      <c r="N64" s="60">
        <f ca="1">VALUE(LEFT(C64))</f>
        <v>3</v>
      </c>
      <c r="O64" s="61">
        <f ca="1">INT(IF(N64&gt;0,1+MAX(N64*N64-(IF(D64="",TODAY()+(5-N64)*15,D64)-TODAY())/4,N64),IF(TODAY()-M64&gt;10,0,1)))</f>
        <v>4</v>
      </c>
      <c r="P64" s="1" t="str">
        <f ca="1">IF(ISNA(VLOOKUP(A64,Projects!B:B,1,FALSE)),"","Yes")</f>
        <v/>
      </c>
    </row>
    <row r="65" spans="1:16" s="7" customFormat="1" ht="25.5">
      <c r="A65" s="4" t="s">
        <v>1894</v>
      </c>
      <c r="B65" s="5" t="s">
        <v>32</v>
      </c>
      <c r="C65" s="7" t="s">
        <v>12</v>
      </c>
      <c r="E65" s="12"/>
      <c r="F65" s="13" t="str">
        <f ca="1">VLOOKUP(LEFT(A65,IF(ISERROR(FIND(".",A65)),LEN(A65)+1,FIND(".",A65))-1),WorkList!A:C,3,FALSE)</f>
        <v>Deals Database</v>
      </c>
      <c r="G65" s="14" t="str">
        <f ca="1">VLOOKUP(CONCATENATE(A65),WorkList!A:C,3,FALSE)</f>
        <v>Enable Deals DB to hold more complex assumption for generating Intex Cashflows (to be spec'ed by Zhuu)</v>
      </c>
      <c r="H65" s="13" t="str">
        <f ca="1">VLOOKUP(CONCATENATE(A65),WorkList!A:D,4,FALSE)</f>
        <v>Zhuu</v>
      </c>
      <c r="I65" s="15">
        <f ca="1">VLOOKUP(CONCATENATE(A65),WorkList!A:E,5,FALSE)</f>
        <v>40568</v>
      </c>
      <c r="J65" s="49">
        <f ca="1">VLOOKUP(CONCATENATE(A65),WorkList!A:F,6,FALSE)</f>
        <v>5</v>
      </c>
      <c r="K65" s="49" t="str">
        <f ca="1">VLOOKUP(CONCATENATE(A65),WorkList!A:G,7,FALSE)</f>
        <v>NewDevelopment</v>
      </c>
      <c r="L65" s="7" t="s">
        <v>7</v>
      </c>
      <c r="M65" s="16">
        <v>40568</v>
      </c>
      <c r="N65" s="60">
        <f ca="1">VALUE(LEFT(C65))</f>
        <v>4</v>
      </c>
      <c r="O65" s="61">
        <f ca="1">INT(IF(N65&gt;0,1+MAX(N65*N65-(IF(D65="",TODAY()+(5-N65)*15,D65)-TODAY())/4,N65),IF(TODAY()-M65&gt;10,0,1)))</f>
        <v>13</v>
      </c>
      <c r="P65" s="1" t="str">
        <f ca="1">IF(ISNA(VLOOKUP(A65,Projects!B:B,1,FALSE)),"","Yes")</f>
        <v/>
      </c>
    </row>
    <row r="66" spans="1:16" s="7" customFormat="1" ht="25.5">
      <c r="A66" s="4" t="s">
        <v>1896</v>
      </c>
      <c r="B66" s="5" t="s">
        <v>32</v>
      </c>
      <c r="C66" s="7" t="s">
        <v>12</v>
      </c>
      <c r="E66" s="12"/>
      <c r="F66" s="13" t="str">
        <f ca="1">VLOOKUP(LEFT(A66,IF(ISERROR(FIND(".",A66)),LEN(A66)+1,FIND(".",A66))-1),WorkList!A:C,3,FALSE)</f>
        <v>Deals Database</v>
      </c>
      <c r="G66" s="14" t="str">
        <f ca="1">VLOOKUP(CONCATENATE(A66),WorkList!A:C,3,FALSE)</f>
        <v>Deals DB and Cashflow generator to generate Intex Cashflows with complex assumptions</v>
      </c>
      <c r="H66" s="13" t="str">
        <f ca="1">VLOOKUP(CONCATENATE(A66),WorkList!A:D,4,FALSE)</f>
        <v>Zhuu</v>
      </c>
      <c r="I66" s="15">
        <f ca="1">VLOOKUP(CONCATENATE(A66),WorkList!A:E,5,FALSE)</f>
        <v>40574</v>
      </c>
      <c r="J66" s="49">
        <f ca="1">VLOOKUP(CONCATENATE(A66),WorkList!A:F,6,FALSE)</f>
        <v>5</v>
      </c>
      <c r="K66" s="49" t="str">
        <f ca="1">VLOOKUP(CONCATENATE(A66),WorkList!A:G,7,FALSE)</f>
        <v>NewDevelopment</v>
      </c>
      <c r="L66" s="7" t="s">
        <v>7</v>
      </c>
      <c r="M66" s="16">
        <v>40568</v>
      </c>
      <c r="N66" s="60">
        <f ca="1">VALUE(LEFT(C66))</f>
        <v>4</v>
      </c>
      <c r="O66" s="61">
        <f ca="1">INT(IF(N66&gt;0,1+MAX(N66*N66-(IF(D66="",TODAY()+(5-N66)*15,D66)-TODAY())/4,N66),IF(TODAY()-M66&gt;10,0,1)))</f>
        <v>13</v>
      </c>
      <c r="P66" s="1" t="str">
        <f ca="1">IF(ISNA(VLOOKUP(A66,Projects!B:B,1,FALSE)),"","Yes")</f>
        <v/>
      </c>
    </row>
    <row r="67" spans="1:16" s="7" customFormat="1">
      <c r="A67" s="4" t="s">
        <v>183</v>
      </c>
      <c r="B67" s="5" t="s">
        <v>11</v>
      </c>
      <c r="C67" s="6" t="s">
        <v>48</v>
      </c>
      <c r="D67" s="11"/>
      <c r="E67" s="12"/>
      <c r="F67" s="13" t="str">
        <f ca="1">VLOOKUP(LEFT(A67,IF(ISERROR(FIND(".",A67)),LEN(A67)+1,FIND(".",A67))-1),WorkList!A:C,3,FALSE)</f>
        <v>Deals Database</v>
      </c>
      <c r="G67" s="14" t="str">
        <f ca="1">VLOOKUP(CONCATENATE(A67),WorkList!A:C,3,FALSE)</f>
        <v>Make Bond and Deal Id visible and searchable</v>
      </c>
      <c r="H67" s="13" t="str">
        <f ca="1">VLOOKUP(CONCATENATE(A67),WorkList!A:D,4,FALSE)</f>
        <v>Neil</v>
      </c>
      <c r="I67" s="15">
        <f ca="1">VLOOKUP(CONCATENATE(A67),WorkList!A:E,5,FALSE)</f>
        <v>39945</v>
      </c>
      <c r="J67" s="49">
        <f ca="1">VLOOKUP(CONCATENATE(A67),WorkList!A:F,6,FALSE)</f>
        <v>0</v>
      </c>
      <c r="K67" s="49">
        <f ca="1">VLOOKUP(CONCATENATE(A67),WorkList!A:G,7,FALSE)</f>
        <v>0</v>
      </c>
      <c r="L67" s="7" t="s">
        <v>13</v>
      </c>
      <c r="M67" s="16">
        <v>39945</v>
      </c>
      <c r="N67" s="60">
        <f ca="1">VALUE(LEFT(C67))</f>
        <v>0</v>
      </c>
      <c r="O67" s="61">
        <f ca="1">INT(IF(N67&gt;0,1+MAX(N67*N67-(IF(D67="",TODAY()+(5-N67)*15,D67)-TODAY())/4,N67),IF(TODAY()-M67&gt;10,0,1)))</f>
        <v>0</v>
      </c>
      <c r="P67" s="1" t="str">
        <f ca="1">IF(ISNA(VLOOKUP(A67,Projects!B:B,1,FALSE)),"","Yes")</f>
        <v/>
      </c>
    </row>
    <row r="68" spans="1:16" s="7" customFormat="1">
      <c r="A68" s="4" t="s">
        <v>808</v>
      </c>
      <c r="B68" s="5" t="s">
        <v>11</v>
      </c>
      <c r="C68" s="6" t="s">
        <v>38</v>
      </c>
      <c r="D68" s="11"/>
      <c r="E68" s="12"/>
      <c r="F68" s="13" t="str">
        <f ca="1">VLOOKUP(LEFT(A68,IF(ISERROR(FIND(".",A68)),LEN(A68)+1,FIND(".",A68))-1),WorkList!A:C,3,FALSE)</f>
        <v>Deals Database</v>
      </c>
      <c r="G68" s="14" t="str">
        <f ca="1">VLOOKUP(CONCATENATE(A68),WorkList!A:C,3,FALSE)</f>
        <v>Fully populate deals/bonds/cashflows</v>
      </c>
      <c r="H68" s="13" t="str">
        <f ca="1">VLOOKUP(CONCATENATE(A68),WorkList!A:D,4,FALSE)</f>
        <v>David</v>
      </c>
      <c r="I68" s="15">
        <f ca="1">VLOOKUP(CONCATENATE(A68),WorkList!A:E,5,FALSE)</f>
        <v>40168</v>
      </c>
      <c r="J68" s="49">
        <f ca="1">VLOOKUP(CONCATENATE(A68),WorkList!A:F,6,FALSE)</f>
        <v>10</v>
      </c>
      <c r="K68" s="49" t="str">
        <f ca="1">VLOOKUP(CONCATENATE(A68),WorkList!A:G,7,FALSE)</f>
        <v>Other</v>
      </c>
      <c r="L68" s="7" t="s">
        <v>5</v>
      </c>
      <c r="M68" s="16">
        <v>40283</v>
      </c>
      <c r="N68" s="60">
        <f ca="1">VALUE(LEFT(C68))</f>
        <v>2</v>
      </c>
      <c r="O68" s="61">
        <f ca="1">INT(IF(N68&gt;0,1+MAX(N68*N68-(IF(D68="",TODAY()+(5-N68)*15,D68)-TODAY())/4,N68),IF(TODAY()-M68&gt;10,0,1)))</f>
        <v>3</v>
      </c>
      <c r="P68" s="1" t="str">
        <f ca="1">IF(ISNA(VLOOKUP(A68,Projects!B:B,1,FALSE)),"","Yes")</f>
        <v/>
      </c>
    </row>
    <row r="69" spans="1:16" s="7" customFormat="1">
      <c r="A69" s="4" t="s">
        <v>811</v>
      </c>
      <c r="B69" s="5" t="s">
        <v>756</v>
      </c>
      <c r="C69" s="6" t="s">
        <v>38</v>
      </c>
      <c r="D69" s="11"/>
      <c r="E69" s="12"/>
      <c r="F69" s="13" t="str">
        <f ca="1">VLOOKUP(LEFT(A69,IF(ISERROR(FIND(".",A69)),LEN(A69)+1,FIND(".",A69))-1),WorkList!A:C,3,FALSE)</f>
        <v>Deals Database</v>
      </c>
      <c r="G69" s="14" t="str">
        <f ca="1">VLOOKUP(CONCATENATE(A69),WorkList!A:C,3,FALSE)</f>
        <v>Correct date issues for LegalMaturity and First Settlement</v>
      </c>
      <c r="H69" s="13" t="str">
        <f ca="1">VLOOKUP(CONCATENATE(A69),WorkList!A:D,4,FALSE)</f>
        <v>David</v>
      </c>
      <c r="I69" s="15">
        <f ca="1">VLOOKUP(CONCATENATE(A69),WorkList!A:E,5,FALSE)</f>
        <v>40283</v>
      </c>
      <c r="J69" s="49">
        <f ca="1">VLOOKUP(CONCATENATE(A69),WorkList!A:F,6,FALSE)</f>
        <v>1</v>
      </c>
      <c r="K69" s="49" t="str">
        <f ca="1">VLOOKUP(CONCATENATE(A69),WorkList!A:G,7,FALSE)</f>
        <v>Maintenance</v>
      </c>
      <c r="L69" s="7" t="s">
        <v>5</v>
      </c>
      <c r="M69" s="16">
        <v>40246</v>
      </c>
      <c r="N69" s="60">
        <f ca="1">VALUE(LEFT(C69))</f>
        <v>2</v>
      </c>
      <c r="O69" s="61">
        <f ca="1">INT(IF(N69&gt;0,1+MAX(N69*N69-(IF(D69="",TODAY()+(5-N69)*15,D69)-TODAY())/4,N69),IF(TODAY()-M69&gt;10,0,1)))</f>
        <v>3</v>
      </c>
      <c r="P69" s="1" t="str">
        <f ca="1">IF(ISNA(VLOOKUP(A69,Projects!B:B,1,FALSE)),"","Yes")</f>
        <v/>
      </c>
    </row>
    <row r="70" spans="1:16" s="7" customFormat="1">
      <c r="A70" s="4" t="s">
        <v>1105</v>
      </c>
      <c r="B70" s="5" t="s">
        <v>32</v>
      </c>
      <c r="C70" s="6" t="s">
        <v>48</v>
      </c>
      <c r="D70" s="11"/>
      <c r="E70" s="12"/>
      <c r="F70" s="13" t="str">
        <f ca="1">VLOOKUP(LEFT(A70,IF(ISERROR(FIND(".",A70)),LEN(A70)+1,FIND(".",A70))-1),WorkList!A:C,3,FALSE)</f>
        <v>Deals Database</v>
      </c>
      <c r="G70" s="14" t="str">
        <f ca="1">VLOOKUP(CONCATENATE(A70),WorkList!A:C,3,FALSE)</f>
        <v>Add missing Original WAL data</v>
      </c>
      <c r="H70" s="13" t="str">
        <f ca="1">VLOOKUP(CONCATENATE(A70),WorkList!A:D,4,FALSE)</f>
        <v>Zhuu</v>
      </c>
      <c r="I70" s="15">
        <f ca="1">VLOOKUP(CONCATENATE(A70),WorkList!A:E,5,FALSE)</f>
        <v>40296</v>
      </c>
      <c r="J70" s="49">
        <f ca="1">VLOOKUP(CONCATENATE(A70),WorkList!A:F,6,FALSE)</f>
        <v>0.5</v>
      </c>
      <c r="K70" s="49" t="str">
        <f ca="1">VLOOKUP(CONCATENATE(A70),WorkList!A:G,7,FALSE)</f>
        <v>Maintenance</v>
      </c>
      <c r="L70" s="7" t="s">
        <v>13</v>
      </c>
      <c r="M70" s="16">
        <v>40322</v>
      </c>
      <c r="N70" s="60">
        <f ca="1">VALUE(LEFT(C70))</f>
        <v>0</v>
      </c>
      <c r="O70" s="61">
        <f ca="1">INT(IF(N70&gt;0,1+MAX(N70*N70-(IF(D70="",TODAY()+(5-N70)*15,D70)-TODAY())/4,N70),IF(TODAY()-M70&gt;10,0,1)))</f>
        <v>0</v>
      </c>
      <c r="P70" s="1" t="str">
        <f ca="1">IF(ISNA(VLOOKUP(A70,Projects!B:B,1,FALSE)),"","Yes")</f>
        <v/>
      </c>
    </row>
    <row r="71" spans="1:16" s="7" customFormat="1">
      <c r="A71" s="4" t="s">
        <v>1407</v>
      </c>
      <c r="B71" s="5" t="s">
        <v>1409</v>
      </c>
      <c r="C71" s="7" t="s">
        <v>12</v>
      </c>
      <c r="D71" s="7">
        <v>40410</v>
      </c>
      <c r="E71" s="12"/>
      <c r="F71" s="13" t="str">
        <f ca="1">VLOOKUP(LEFT(A71,IF(ISERROR(FIND(".",A71)),LEN(A71)+1,FIND(".",A71))-1),WorkList!A:C,3,FALSE)</f>
        <v>Deals Database</v>
      </c>
      <c r="G71" s="14" t="str">
        <f ca="1">VLOOKUP(CONCATENATE(A71),WorkList!A:C,3,FALSE)</f>
        <v>Remove duplicate Deals and Bonds</v>
      </c>
      <c r="H71" s="13" t="str">
        <f ca="1">VLOOKUP(CONCATENATE(A71),WorkList!A:D,4,FALSE)</f>
        <v>Neil</v>
      </c>
      <c r="I71" s="15">
        <f ca="1">VLOOKUP(CONCATENATE(A71),WorkList!A:E,5,FALSE)</f>
        <v>40403</v>
      </c>
      <c r="J71" s="49">
        <f ca="1">VLOOKUP(CONCATENATE(A71),WorkList!A:F,6,FALSE)</f>
        <v>1</v>
      </c>
      <c r="K71" s="49" t="str">
        <f ca="1">VLOOKUP(CONCATENATE(A71),WorkList!A:G,7,FALSE)</f>
        <v>Maintenance</v>
      </c>
      <c r="L71" s="7" t="s">
        <v>5</v>
      </c>
      <c r="M71" s="16">
        <v>40403</v>
      </c>
      <c r="N71" s="60">
        <f ca="1">VALUE(LEFT(C71))</f>
        <v>4</v>
      </c>
      <c r="O71" s="61">
        <f ca="1">INT(IF(N71&gt;0,1+MAX(N71*N71-(IF(D71="",TODAY()+(5-N71)*15,D71)-TODAY())/4,N71),IF(TODAY()-M71&gt;10,0,1)))</f>
        <v>64</v>
      </c>
      <c r="P71" s="1"/>
    </row>
    <row r="72" spans="1:16" s="7" customFormat="1">
      <c r="A72" s="4" t="s">
        <v>1748</v>
      </c>
      <c r="B72" s="5" t="s">
        <v>685</v>
      </c>
      <c r="C72" s="7" t="s">
        <v>684</v>
      </c>
      <c r="E72" s="12"/>
      <c r="F72" s="13" t="str">
        <f ca="1">VLOOKUP(LEFT(A72,IF(ISERROR(FIND(".",A72)),LEN(A72)+1,FIND(".",A72))-1),WorkList!A:C,3,FALSE)</f>
        <v>Deals Database</v>
      </c>
      <c r="G72" s="14" t="str">
        <f ca="1">VLOOKUP(CONCATENATE(A72),WorkList!A:C,3,FALSE)</f>
        <v>Various DealsDB clean up for end of 2010 Outlook report</v>
      </c>
      <c r="H72" s="13" t="str">
        <f ca="1">VLOOKUP(CONCATENATE(A72),WorkList!A:D,4,FALSE)</f>
        <v>Ajay</v>
      </c>
      <c r="I72" s="15">
        <f ca="1">VLOOKUP(CONCATENATE(A72),WorkList!A:E,5,FALSE)</f>
        <v>40520</v>
      </c>
      <c r="J72" s="49">
        <f ca="1">VLOOKUP(CONCATENATE(A72),WorkList!A:F,6,FALSE)</f>
        <v>5</v>
      </c>
      <c r="K72" s="49" t="str">
        <f ca="1">VLOOKUP(CONCATENATE(A72),WorkList!A:G,7,FALSE)</f>
        <v>Support</v>
      </c>
      <c r="L72" s="7" t="s">
        <v>5</v>
      </c>
      <c r="M72" s="16">
        <v>40520</v>
      </c>
      <c r="N72" s="60">
        <f ca="1">VALUE(LEFT(C72))</f>
        <v>5</v>
      </c>
      <c r="O72" s="61">
        <f ca="1">INT(IF(N72&gt;0,1+MAX(N72*N72-(IF(D72="",TODAY()+(5-N72)*15,D72)-TODAY())/4,N72),IF(TODAY()-M72&gt;10,0,1)))</f>
        <v>26</v>
      </c>
      <c r="P72" s="1" t="str">
        <f ca="1">IF(ISNA(VLOOKUP(A72,Projects!B:B,1,FALSE)),"","Yes")</f>
        <v/>
      </c>
    </row>
    <row r="73" spans="1:16" s="7" customFormat="1" ht="25.5">
      <c r="A73" s="4" t="s">
        <v>1797</v>
      </c>
      <c r="B73" s="5" t="s">
        <v>1159</v>
      </c>
      <c r="C73" s="7" t="s">
        <v>10</v>
      </c>
      <c r="E73" s="12">
        <v>1</v>
      </c>
      <c r="F73" s="13" t="str">
        <f ca="1">VLOOKUP(LEFT(A73,IF(ISERROR(FIND(".",A73)),LEN(A73)+1,FIND(".",A73))-1),WorkList!A:C,3,FALSE)</f>
        <v>Deals Database</v>
      </c>
      <c r="G73" s="14" t="str">
        <f ca="1">VLOOKUP(CONCATENATE(A73),WorkList!A:C,3,FALSE)</f>
        <v>Find a way to get Fixed (BBG Corp Key) bonds set up in our database.</v>
      </c>
      <c r="H73" s="13" t="str">
        <f ca="1">VLOOKUP(CONCATENATE(A73),WorkList!A:D,4,FALSE)</f>
        <v>Zhuu</v>
      </c>
      <c r="I73" s="15">
        <f ca="1">VLOOKUP(CONCATENATE(A73),WorkList!A:E,5,FALSE)</f>
        <v>40547</v>
      </c>
      <c r="J73" s="49">
        <f ca="1">VLOOKUP(CONCATENATE(A73),WorkList!A:F,6,FALSE)</f>
        <v>3</v>
      </c>
      <c r="K73" s="49" t="str">
        <f ca="1">VLOOKUP(CONCATENATE(A73),WorkList!A:G,7,FALSE)</f>
        <v>Enhancement</v>
      </c>
      <c r="L73" s="7" t="s">
        <v>7</v>
      </c>
      <c r="M73" s="16">
        <v>40553</v>
      </c>
      <c r="N73" s="60">
        <f ca="1">VALUE(LEFT(C73))</f>
        <v>3</v>
      </c>
      <c r="O73" s="61">
        <f ca="1">INT(IF(N73&gt;0,1+MAX(N73*N73-(IF(D73="",TODAY()+(5-N73)*15,D73)-TODAY())/4,N73),IF(TODAY()-M73&gt;10,0,1)))</f>
        <v>4</v>
      </c>
      <c r="P73" s="1" t="str">
        <f ca="1">IF(ISNA(VLOOKUP(A73,Projects!B:B,1,FALSE)),"","Yes")</f>
        <v/>
      </c>
    </row>
    <row r="74" spans="1:16">
      <c r="A74" s="4" t="s">
        <v>184</v>
      </c>
      <c r="B74" s="5" t="s">
        <v>11</v>
      </c>
      <c r="C74" s="6" t="s">
        <v>48</v>
      </c>
      <c r="D74" s="11"/>
      <c r="F74" s="13" t="str">
        <f ca="1">VLOOKUP(LEFT(A74,IF(ISERROR(FIND(".",A74)),LEN(A74)+1,FIND(".",A74))-1),WorkList!A:C,3,FALSE)</f>
        <v>Deals Database</v>
      </c>
      <c r="G74" s="14" t="str">
        <f ca="1">VLOOKUP(CONCATENATE(A74),WorkList!A:C,3,FALSE)</f>
        <v>Merge duplicate ABSNet Master Trusts</v>
      </c>
      <c r="H74" s="13" t="str">
        <f ca="1">VLOOKUP(CONCATENATE(A74),WorkList!A:D,4,FALSE)</f>
        <v>Research</v>
      </c>
      <c r="I74" s="15">
        <f ca="1">VLOOKUP(CONCATENATE(A74),WorkList!A:E,5,FALSE)</f>
        <v>39945</v>
      </c>
      <c r="J74" s="49">
        <f ca="1">VLOOKUP(CONCATENATE(A74),WorkList!A:F,6,FALSE)</f>
        <v>0</v>
      </c>
      <c r="K74" s="49">
        <f ca="1">VLOOKUP(CONCATENATE(A74),WorkList!A:G,7,FALSE)</f>
        <v>0</v>
      </c>
      <c r="L74" s="7" t="s">
        <v>13</v>
      </c>
      <c r="M74" s="16">
        <v>39948</v>
      </c>
      <c r="N74" s="60">
        <f ca="1">VALUE(LEFT(C74))</f>
        <v>0</v>
      </c>
      <c r="O74" s="61">
        <f ca="1">INT(IF(N74&gt;0,1+MAX(N74*N74-(IF(D74="",TODAY()+(5-N74)*15,D74)-TODAY())/4,N74),IF(TODAY()-M74&gt;10,0,1)))</f>
        <v>0</v>
      </c>
      <c r="P74" s="1" t="str">
        <f ca="1">IF(ISNA(VLOOKUP(A74,Projects!B:B,1,FALSE)),"","Yes")</f>
        <v/>
      </c>
    </row>
    <row r="75" spans="1:16">
      <c r="A75" s="4" t="s">
        <v>186</v>
      </c>
      <c r="B75" s="5" t="s">
        <v>326</v>
      </c>
      <c r="C75" s="6" t="s">
        <v>48</v>
      </c>
      <c r="D75" s="11"/>
      <c r="F75" s="13" t="str">
        <f ca="1">VLOOKUP(LEFT(A75,IF(ISERROR(FIND(".",A75)),LEN(A75)+1,FIND(".",A75))-1),WorkList!A:C,3,FALSE)</f>
        <v>Deals Database</v>
      </c>
      <c r="G75" s="14" t="str">
        <f ca="1">VLOOKUP(CONCATENATE(A75),WorkList!A:C,3,FALSE)</f>
        <v>Fix duplicate Deals in DealDB</v>
      </c>
      <c r="H75" s="13" t="str">
        <f ca="1">VLOOKUP(CONCATENATE(A75),WorkList!A:D,4,FALSE)</f>
        <v>Research</v>
      </c>
      <c r="I75" s="15">
        <f ca="1">VLOOKUP(CONCATENATE(A75),WorkList!A:E,5,FALSE)</f>
        <v>39945</v>
      </c>
      <c r="J75" s="49">
        <f ca="1">VLOOKUP(CONCATENATE(A75),WorkList!A:F,6,FALSE)</f>
        <v>4</v>
      </c>
      <c r="K75" s="49">
        <f ca="1">VLOOKUP(CONCATENATE(A75),WorkList!A:G,7,FALSE)</f>
        <v>0</v>
      </c>
      <c r="L75" s="7" t="s">
        <v>13</v>
      </c>
      <c r="M75" s="16">
        <v>40303</v>
      </c>
      <c r="N75" s="60">
        <f ca="1">VALUE(LEFT(C75))</f>
        <v>0</v>
      </c>
      <c r="O75" s="61">
        <f ca="1">INT(IF(N75&gt;0,1+MAX(N75*N75-(IF(D75="",TODAY()+(5-N75)*15,D75)-TODAY())/4,N75),IF(TODAY()-M75&gt;10,0,1)))</f>
        <v>0</v>
      </c>
      <c r="P75" s="1" t="str">
        <f ca="1">IF(ISNA(VLOOKUP(A75,Projects!B:B,1,FALSE)),"","Yes")</f>
        <v/>
      </c>
    </row>
    <row r="76" spans="1:16">
      <c r="A76" s="4" t="s">
        <v>188</v>
      </c>
      <c r="B76" s="5" t="s">
        <v>326</v>
      </c>
      <c r="C76" s="6" t="s">
        <v>48</v>
      </c>
      <c r="D76" s="11"/>
      <c r="F76" s="13" t="str">
        <f ca="1">VLOOKUP(LEFT(A76,IF(ISERROR(FIND(".",A76)),LEN(A76)+1,FIND(".",A76))-1),WorkList!A:C,3,FALSE)</f>
        <v>Deals Database</v>
      </c>
      <c r="G76" s="14" t="str">
        <f ca="1">VLOOKUP(CONCATENATE(A76),WorkList!A:C,3,FALSE)</f>
        <v>Add missing deals to DealDB</v>
      </c>
      <c r="H76" s="13" t="str">
        <f ca="1">VLOOKUP(CONCATENATE(A76),WorkList!A:D,4,FALSE)</f>
        <v>Research</v>
      </c>
      <c r="I76" s="15">
        <f ca="1">VLOOKUP(CONCATENATE(A76),WorkList!A:E,5,FALSE)</f>
        <v>39945</v>
      </c>
      <c r="J76" s="49">
        <f ca="1">VLOOKUP(CONCATENATE(A76),WorkList!A:F,6,FALSE)</f>
        <v>0</v>
      </c>
      <c r="K76" s="49">
        <f ca="1">VLOOKUP(CONCATENATE(A76),WorkList!A:G,7,FALSE)</f>
        <v>0</v>
      </c>
      <c r="L76" s="7" t="s">
        <v>13</v>
      </c>
      <c r="M76" s="16">
        <v>40303</v>
      </c>
      <c r="N76" s="60">
        <f ca="1">VALUE(LEFT(C76))</f>
        <v>0</v>
      </c>
      <c r="O76" s="61">
        <f ca="1">INT(IF(N76&gt;0,1+MAX(N76*N76-(IF(D76="",TODAY()+(5-N76)*15,D76)-TODAY())/4,N76),IF(TODAY()-M76&gt;10,0,1)))</f>
        <v>0</v>
      </c>
      <c r="P76" s="1" t="str">
        <f ca="1">IF(ISNA(VLOOKUP(A76,Projects!B:B,1,FALSE)),"","Yes")</f>
        <v/>
      </c>
    </row>
    <row r="77" spans="1:16">
      <c r="A77" s="4" t="s">
        <v>190</v>
      </c>
      <c r="B77" s="5" t="s">
        <v>326</v>
      </c>
      <c r="C77" s="7" t="s">
        <v>48</v>
      </c>
      <c r="D77" s="11"/>
      <c r="F77" s="13" t="str">
        <f ca="1">VLOOKUP(LEFT(A77,IF(ISERROR(FIND(".",A77)),LEN(A77)+1,FIND(".",A77))-1),WorkList!A:C,3,FALSE)</f>
        <v>Deals Database</v>
      </c>
      <c r="G77" s="14" t="str">
        <f ca="1">VLOOKUP(CONCATENATE(A77),WorkList!A:C,3,FALSE)</f>
        <v>Provide 'clean' values for shelf, collateral and Originator</v>
      </c>
      <c r="H77" s="13" t="str">
        <f ca="1">VLOOKUP(CONCATENATE(A77),WorkList!A:D,4,FALSE)</f>
        <v>Research</v>
      </c>
      <c r="I77" s="15">
        <f ca="1">VLOOKUP(CONCATENATE(A77),WorkList!A:E,5,FALSE)</f>
        <v>39945</v>
      </c>
      <c r="J77" s="49">
        <f ca="1">VLOOKUP(CONCATENATE(A77),WorkList!A:F,6,FALSE)</f>
        <v>2</v>
      </c>
      <c r="K77" s="49" t="str">
        <f ca="1">VLOOKUP(CONCATENATE(A77),WorkList!A:G,7,FALSE)</f>
        <v>Other</v>
      </c>
      <c r="L77" s="7" t="s">
        <v>13</v>
      </c>
      <c r="M77" s="16">
        <v>40429</v>
      </c>
      <c r="N77" s="60">
        <f ca="1">VALUE(LEFT(C77))</f>
        <v>0</v>
      </c>
      <c r="O77" s="61">
        <f ca="1">INT(IF(N77&gt;0,1+MAX(N77*N77-(IF(D77="",TODAY()+(5-N77)*15,D77)-TODAY())/4,N77),IF(TODAY()-M77&gt;10,0,1)))</f>
        <v>0</v>
      </c>
      <c r="P77" s="1" t="str">
        <f ca="1">IF(ISNA(VLOOKUP(A77,Projects!B:B,1,FALSE)),"","Yes")</f>
        <v/>
      </c>
    </row>
    <row r="78" spans="1:16">
      <c r="A78" s="4" t="s">
        <v>191</v>
      </c>
      <c r="B78" s="5" t="s">
        <v>11</v>
      </c>
      <c r="C78" s="6" t="s">
        <v>48</v>
      </c>
      <c r="D78" s="11"/>
      <c r="F78" s="13" t="str">
        <f ca="1">VLOOKUP(LEFT(A78,IF(ISERROR(FIND(".",A78)),LEN(A78)+1,FIND(".",A78))-1),WorkList!A:C,3,FALSE)</f>
        <v>Deals Database</v>
      </c>
      <c r="G78" s="14" t="str">
        <f ca="1">VLOOKUP(CONCATENATE(A78),WorkList!A:C,3,FALSE)</f>
        <v>Populate bond Index data from Bloomberg.</v>
      </c>
      <c r="H78" s="13" t="str">
        <f ca="1">VLOOKUP(CONCATENATE(A78),WorkList!A:D,4,FALSE)</f>
        <v>Research</v>
      </c>
      <c r="I78" s="15">
        <f ca="1">VLOOKUP(CONCATENATE(A78),WorkList!A:E,5,FALSE)</f>
        <v>39945</v>
      </c>
      <c r="J78" s="49">
        <f ca="1">VLOOKUP(CONCATENATE(A78),WorkList!A:F,6,FALSE)</f>
        <v>0</v>
      </c>
      <c r="K78" s="49">
        <f ca="1">VLOOKUP(CONCATENATE(A78),WorkList!A:G,7,FALSE)</f>
        <v>0</v>
      </c>
      <c r="L78" s="7" t="s">
        <v>13</v>
      </c>
      <c r="M78" s="16">
        <v>39948</v>
      </c>
      <c r="N78" s="60">
        <f ca="1">VALUE(LEFT(C78))</f>
        <v>0</v>
      </c>
      <c r="O78" s="61">
        <f ca="1">INT(IF(N78&gt;0,1+MAX(N78*N78-(IF(D78="",TODAY()+(5-N78)*15,D78)-TODAY())/4,N78),IF(TODAY()-M78&gt;10,0,1)))</f>
        <v>0</v>
      </c>
      <c r="P78" s="1" t="str">
        <f ca="1">IF(ISNA(VLOOKUP(A78,Projects!B:B,1,FALSE)),"","Yes")</f>
        <v/>
      </c>
    </row>
    <row r="79" spans="1:16">
      <c r="A79" s="4" t="s">
        <v>309</v>
      </c>
      <c r="B79" s="5" t="s">
        <v>11</v>
      </c>
      <c r="C79" s="7" t="s">
        <v>48</v>
      </c>
      <c r="D79" s="11"/>
      <c r="F79" s="13" t="str">
        <f ca="1">VLOOKUP(LEFT(A79,IF(ISERROR(FIND(".",A79)),LEN(A79)+1,FIND(".",A79))-1),WorkList!A:C,3,FALSE)</f>
        <v>Deals Database</v>
      </c>
      <c r="G79" s="14" t="str">
        <f ca="1">VLOOKUP(CONCATENATE(A79),WorkList!A:C,3,FALSE)</f>
        <v>Add collateral currency to Deal.</v>
      </c>
      <c r="H79" s="13" t="str">
        <f ca="1">VLOOKUP(CONCATENATE(A79),WorkList!A:D,4,FALSE)</f>
        <v>Neil</v>
      </c>
      <c r="I79" s="15">
        <f ca="1">VLOOKUP(CONCATENATE(A79),WorkList!A:E,5,FALSE)</f>
        <v>40154</v>
      </c>
      <c r="J79" s="49">
        <f ca="1">VLOOKUP(CONCATENATE(A79),WorkList!A:F,6,FALSE)</f>
        <v>5</v>
      </c>
      <c r="K79" s="49">
        <f ca="1">VLOOKUP(CONCATENATE(A79),WorkList!A:G,7,FALSE)</f>
        <v>0</v>
      </c>
      <c r="L79" s="7" t="s">
        <v>13</v>
      </c>
      <c r="M79" s="16">
        <v>40154</v>
      </c>
      <c r="N79" s="60">
        <f ca="1">VALUE(LEFT(C79))</f>
        <v>0</v>
      </c>
      <c r="O79" s="61">
        <f ca="1">INT(IF(N79&gt;0,1+MAX(N79*N79-(IF(D79="",TODAY()+(5-N79)*15,D79)-TODAY())/4,N79),IF(TODAY()-M79&gt;10,0,1)))</f>
        <v>0</v>
      </c>
      <c r="P79" s="1" t="str">
        <f ca="1">IF(ISNA(VLOOKUP(A79,Projects!B:B,1,FALSE)),"","Yes")</f>
        <v/>
      </c>
    </row>
    <row r="80" spans="1:16">
      <c r="A80" s="4" t="s">
        <v>775</v>
      </c>
      <c r="B80" s="5" t="s">
        <v>11</v>
      </c>
      <c r="C80" s="6" t="s">
        <v>48</v>
      </c>
      <c r="D80" s="11"/>
      <c r="F80" s="13" t="str">
        <f ca="1">VLOOKUP(LEFT(A80,IF(ISERROR(FIND(".",A80)),LEN(A80)+1,FIND(".",A80))-1),WorkList!A:C,3,FALSE)</f>
        <v>Deals Database</v>
      </c>
      <c r="G80" s="14" t="str">
        <f ca="1">VLOOKUP(CONCATENATE(A80),WorkList!A:C,3,FALSE)</f>
        <v>Add FX tables for conversions.</v>
      </c>
      <c r="H80" s="13" t="str">
        <f ca="1">VLOOKUP(CONCATENATE(A80),WorkList!A:D,4,FALSE)</f>
        <v>Neil</v>
      </c>
      <c r="I80" s="15">
        <f ca="1">VLOOKUP(CONCATENATE(A80),WorkList!A:E,5,FALSE)</f>
        <v>40154</v>
      </c>
      <c r="J80" s="49">
        <f ca="1">VLOOKUP(CONCATENATE(A80),WorkList!A:F,6,FALSE)</f>
        <v>2</v>
      </c>
      <c r="K80" s="49">
        <f ca="1">VLOOKUP(CONCATENATE(A80),WorkList!A:G,7,FALSE)</f>
        <v>0</v>
      </c>
      <c r="L80" s="7" t="s">
        <v>13</v>
      </c>
      <c r="M80" s="16">
        <v>40157</v>
      </c>
      <c r="N80" s="60">
        <f ca="1">VALUE(LEFT(C80))</f>
        <v>0</v>
      </c>
      <c r="O80" s="61">
        <f ca="1">INT(IF(N80&gt;0,1+MAX(N80*N80-(IF(D80="",TODAY()+(5-N80)*15,D80)-TODAY())/4,N80),IF(TODAY()-M80&gt;10,0,1)))</f>
        <v>0</v>
      </c>
      <c r="P80" s="1" t="str">
        <f ca="1">IF(ISNA(VLOOKUP(A80,Projects!B:B,1,FALSE)),"","Yes")</f>
        <v/>
      </c>
    </row>
    <row r="81" spans="1:16">
      <c r="A81" s="4" t="s">
        <v>777</v>
      </c>
      <c r="B81" s="5" t="s">
        <v>21</v>
      </c>
      <c r="C81" s="7" t="s">
        <v>38</v>
      </c>
      <c r="D81" s="11"/>
      <c r="F81" s="13" t="str">
        <f ca="1">VLOOKUP(LEFT(A81,IF(ISERROR(FIND(".",A81)),LEN(A81)+1,FIND(".",A81))-1),WorkList!A:C,3,FALSE)</f>
        <v>Deals Database</v>
      </c>
      <c r="G81" s="14" t="str">
        <f ca="1">VLOOKUP(CONCATENATE(A81),WorkList!A:C,3,FALSE)</f>
        <v>Fix Deal Issue Amount to be in currency of collateral.</v>
      </c>
      <c r="H81" s="13" t="str">
        <f ca="1">VLOOKUP(CONCATENATE(A81),WorkList!A:D,4,FALSE)</f>
        <v>Neil</v>
      </c>
      <c r="I81" s="15">
        <f ca="1">VLOOKUP(CONCATENATE(A81),WorkList!A:E,5,FALSE)</f>
        <v>40154</v>
      </c>
      <c r="J81" s="49">
        <f ca="1">VLOOKUP(CONCATENATE(A81),WorkList!A:F,6,FALSE)</f>
        <v>2</v>
      </c>
      <c r="K81" s="49" t="str">
        <f ca="1">VLOOKUP(CONCATENATE(A81),WorkList!A:G,7,FALSE)</f>
        <v>Maintenance</v>
      </c>
      <c r="L81" s="7" t="s">
        <v>7</v>
      </c>
      <c r="M81" s="16">
        <v>40283</v>
      </c>
      <c r="N81" s="60">
        <f ca="1">VALUE(LEFT(C81))</f>
        <v>2</v>
      </c>
      <c r="O81" s="61">
        <f ca="1">INT(IF(N81&gt;0,1+MAX(N81*N81-(IF(D81="",TODAY()+(5-N81)*15,D81)-TODAY())/4,N81),IF(TODAY()-M81&gt;10,0,1)))</f>
        <v>3</v>
      </c>
      <c r="P81" s="1" t="str">
        <f ca="1">IF(ISNA(VLOOKUP(A81,Projects!B:B,1,FALSE)),"","Yes")</f>
        <v/>
      </c>
    </row>
    <row r="82" spans="1:16">
      <c r="A82" s="4" t="s">
        <v>266</v>
      </c>
      <c r="B82" s="5" t="s">
        <v>11</v>
      </c>
      <c r="C82" s="6" t="s">
        <v>48</v>
      </c>
      <c r="D82" s="11"/>
      <c r="F82" s="13" t="str">
        <f ca="1">VLOOKUP(LEFT(A82,IF(ISERROR(FIND(".",A82)),LEN(A82)+1,FIND(".",A82))-1),WorkList!A:C,3,FALSE)</f>
        <v>Deals Database</v>
      </c>
      <c r="G82" s="14" t="str">
        <f ca="1">VLOOKUP(CONCATENATE(A82),WorkList!A:C,3,FALSE)</f>
        <v>Move Cashflow Generator to production</v>
      </c>
      <c r="H82" s="13" t="str">
        <f ca="1">VLOOKUP(CONCATENATE(A82),WorkList!A:D,4,FALSE)</f>
        <v>Compliance</v>
      </c>
      <c r="I82" s="15">
        <f ca="1">VLOOKUP(CONCATENATE(A82),WorkList!A:E,5,FALSE)</f>
        <v>39975</v>
      </c>
      <c r="J82" s="49">
        <f ca="1">VLOOKUP(CONCATENATE(A82),WorkList!A:F,6,FALSE)</f>
        <v>0</v>
      </c>
      <c r="K82" s="49">
        <f ca="1">VLOOKUP(CONCATENATE(A82),WorkList!A:G,7,FALSE)</f>
        <v>0</v>
      </c>
      <c r="L82" s="7" t="s">
        <v>13</v>
      </c>
      <c r="M82" s="16">
        <v>40011</v>
      </c>
      <c r="N82" s="60">
        <f ca="1">VALUE(LEFT(C82))</f>
        <v>0</v>
      </c>
      <c r="O82" s="61">
        <f ca="1">INT(IF(N82&gt;0,1+MAX(N82*N82-(IF(D82="",TODAY()+(5-N82)*15,D82)-TODAY())/4,N82),IF(TODAY()-M82&gt;10,0,1)))</f>
        <v>0</v>
      </c>
      <c r="P82" s="1" t="str">
        <f ca="1">IF(ISNA(VLOOKUP(A82,Projects!B:B,1,FALSE)),"","Yes")</f>
        <v/>
      </c>
    </row>
    <row r="83" spans="1:16">
      <c r="A83" s="4" t="s">
        <v>1921</v>
      </c>
      <c r="B83" s="5" t="s">
        <v>11</v>
      </c>
      <c r="C83" s="7" t="s">
        <v>10</v>
      </c>
      <c r="F83" s="13" t="str">
        <f ca="1">VLOOKUP(LEFT(A83,IF(ISERROR(FIND(".",A83)),LEN(A83)+1,FIND(".",A83))-1),WorkList!A:C,3,FALSE)</f>
        <v>Deals Database</v>
      </c>
      <c r="G83" s="14" t="str">
        <f ca="1">VLOOKUP(CONCATENATE(A83),WorkList!A:C,3,FALSE)</f>
        <v>Modify to be able to use QDB BBG data</v>
      </c>
      <c r="H83" s="13" t="str">
        <f ca="1">VLOOKUP(CONCATENATE(A83),WorkList!A:D,4,FALSE)</f>
        <v>Neil</v>
      </c>
      <c r="I83" s="15">
        <f ca="1">VLOOKUP(CONCATENATE(A83),WorkList!A:E,5,FALSE)</f>
        <v>40589</v>
      </c>
      <c r="J83" s="49">
        <f ca="1">VLOOKUP(CONCATENATE(A83),WorkList!A:F,6,FALSE)</f>
        <v>3</v>
      </c>
      <c r="K83" s="49" t="str">
        <f ca="1">VLOOKUP(CONCATENATE(A83),WorkList!A:G,7,FALSE)</f>
        <v>Enhancement</v>
      </c>
      <c r="L83" s="7" t="s">
        <v>7</v>
      </c>
      <c r="M83" s="16">
        <v>40589</v>
      </c>
      <c r="N83" s="60">
        <f ca="1">VALUE(LEFT(C83))</f>
        <v>3</v>
      </c>
      <c r="O83" s="61">
        <f ca="1">INT(IF(N83&gt;0,1+MAX(N83*N83-(IF(D83="",TODAY()+(5-N83)*15,D83)-TODAY())/4,N83),IF(TODAY()-M83&gt;10,0,1)))</f>
        <v>4</v>
      </c>
      <c r="P83" s="1" t="str">
        <f ca="1">IF(ISNA(VLOOKUP(A83,Projects!B:B,1,FALSE)),"","Yes")</f>
        <v/>
      </c>
    </row>
    <row r="84" spans="1:16">
      <c r="A84" s="4" t="s">
        <v>1936</v>
      </c>
      <c r="B84" s="5" t="s">
        <v>29</v>
      </c>
      <c r="C84" s="7" t="s">
        <v>12</v>
      </c>
      <c r="D84" s="7">
        <v>40613</v>
      </c>
      <c r="F84" s="13" t="str">
        <f ca="1">VLOOKUP(LEFT(A84,IF(ISERROR(FIND(".",A84)),LEN(A84)+1,FIND(".",A84))-1),WorkList!A:C,3,FALSE)</f>
        <v>Deals Database</v>
      </c>
      <c r="G84" s="14" t="str">
        <f ca="1">VLOOKUP(CONCATENATE(A84),WorkList!A:C,3,FALSE)</f>
        <v>DealsDB GUI for Middle Office Use</v>
      </c>
      <c r="H84" s="13" t="str">
        <f ca="1">VLOOKUP(CONCATENATE(A84),WorkList!A:D,4,FALSE)</f>
        <v>Zhuu</v>
      </c>
      <c r="I84" s="15">
        <f ca="1">VLOOKUP(CONCATENATE(A84),WorkList!A:E,5,FALSE)</f>
        <v>40590</v>
      </c>
      <c r="J84" s="49">
        <f ca="1">VLOOKUP(CONCATENATE(A84),WorkList!A:F,6,FALSE)</f>
        <v>3</v>
      </c>
      <c r="K84" s="49" t="str">
        <f ca="1">VLOOKUP(CONCATENATE(A84),WorkList!A:G,7,FALSE)</f>
        <v>Enhancement</v>
      </c>
      <c r="L84" s="7" t="s">
        <v>7</v>
      </c>
      <c r="M84" s="16">
        <v>40597</v>
      </c>
      <c r="N84" s="60">
        <f ca="1">VALUE(LEFT(C84))</f>
        <v>4</v>
      </c>
      <c r="O84" s="61">
        <f ca="1">INT(IF(N84&gt;0,1+MAX(N84*N84-(IF(D84="",TODAY()+(5-N84)*15,D84)-TODAY())/4,N84),IF(TODAY()-M84&gt;10,0,1)))</f>
        <v>13</v>
      </c>
      <c r="P84" s="1" t="str">
        <f ca="1">IF(ISNA(VLOOKUP(A84,Projects!B:B,1,FALSE)),"","Yes")</f>
        <v/>
      </c>
    </row>
    <row r="85" spans="1:16">
      <c r="A85" s="4" t="s">
        <v>1945</v>
      </c>
      <c r="B85" s="5" t="s">
        <v>21</v>
      </c>
      <c r="C85" s="7" t="s">
        <v>10</v>
      </c>
      <c r="F85" s="13" t="str">
        <f ca="1">VLOOKUP(LEFT(A85,IF(ISERROR(FIND(".",A85)),LEN(A85)+1,FIND(".",A85))-1),WorkList!A:C,3,FALSE)</f>
        <v>Deals Database</v>
      </c>
      <c r="G85" s="14" t="str">
        <f ca="1">VLOOKUP(CONCATENATE(A85),WorkList!A:C,3,FALSE)</f>
        <v>Make DealsDB GUI data entry more robust</v>
      </c>
      <c r="H85" s="13" t="str">
        <f ca="1">VLOOKUP(CONCATENATE(A85),WorkList!A:D,4,FALSE)</f>
        <v>Ajay</v>
      </c>
      <c r="I85" s="15">
        <f ca="1">VLOOKUP(CONCATENATE(A85),WorkList!A:E,5,FALSE)</f>
        <v>40590</v>
      </c>
      <c r="J85" s="49">
        <f ca="1">VLOOKUP(CONCATENATE(A85),WorkList!A:F,6,FALSE)</f>
        <v>3</v>
      </c>
      <c r="K85" s="49" t="str">
        <f ca="1">VLOOKUP(CONCATENATE(A85),WorkList!A:G,7,FALSE)</f>
        <v>Enhancement</v>
      </c>
      <c r="L85" s="7" t="s">
        <v>7</v>
      </c>
      <c r="M85" s="16">
        <v>40590</v>
      </c>
      <c r="N85" s="60">
        <f ca="1">VALUE(LEFT(C85))</f>
        <v>3</v>
      </c>
      <c r="O85" s="61">
        <f ca="1">INT(IF(N85&gt;0,1+MAX(N85*N85-(IF(D85="",TODAY()+(5-N85)*15,D85)-TODAY())/4,N85),IF(TODAY()-M85&gt;10,0,1)))</f>
        <v>4</v>
      </c>
      <c r="P85" s="1" t="str">
        <f ca="1">IF(ISNA(VLOOKUP(A85,Projects!B:B,1,FALSE)),"","Yes")</f>
        <v/>
      </c>
    </row>
    <row r="86" spans="1:16">
      <c r="A86" s="4" t="s">
        <v>120</v>
      </c>
      <c r="B86" s="5" t="s">
        <v>11</v>
      </c>
      <c r="C86" s="6" t="s">
        <v>48</v>
      </c>
      <c r="D86" s="11"/>
      <c r="F86" s="13" t="str">
        <f ca="1">VLOOKUP(LEFT(A86,IF(ISERROR(FIND(".",A86)),LEN(A86)+1,FIND(".",A86))-1),WorkList!A:C,3,FALSE)</f>
        <v>Intex</v>
      </c>
      <c r="G86" s="14" t="str">
        <f ca="1">VLOOKUP(CONCATENATE(A86),WorkList!A:C,3,FALSE)</f>
        <v>Decide whether to use batch or wrapper</v>
      </c>
      <c r="H86" s="13" t="str">
        <f ca="1">VLOOKUP(CONCATENATE(A86),WorkList!A:D,4,FALSE)</f>
        <v>David Covey</v>
      </c>
      <c r="I86" s="15">
        <f ca="1">VLOOKUP(CONCATENATE(A86),WorkList!A:E,5,FALSE)</f>
        <v>39926</v>
      </c>
      <c r="J86" s="49">
        <f ca="1">VLOOKUP(CONCATENATE(A86),WorkList!A:F,6,FALSE)</f>
        <v>4</v>
      </c>
      <c r="K86" s="49">
        <f ca="1">VLOOKUP(CONCATENATE(A86),WorkList!A:G,7,FALSE)</f>
        <v>0</v>
      </c>
      <c r="L86" s="7" t="s">
        <v>13</v>
      </c>
      <c r="M86" s="16">
        <v>40184</v>
      </c>
      <c r="N86" s="60">
        <f ca="1">VALUE(LEFT(C86))</f>
        <v>0</v>
      </c>
      <c r="O86" s="61">
        <f ca="1">INT(IF(N86&gt;0,1+MAX(N86*N86-(IF(D86="",TODAY()+(5-N86)*15,D86)-TODAY())/4,N86),IF(TODAY()-M86&gt;10,0,1)))</f>
        <v>0</v>
      </c>
      <c r="P86" s="1" t="str">
        <f ca="1">IF(ISNA(VLOOKUP(A86,Projects!B:B,1,FALSE)),"","Yes")</f>
        <v/>
      </c>
    </row>
    <row r="87" spans="1:16">
      <c r="A87" s="4" t="s">
        <v>121</v>
      </c>
      <c r="B87" s="5" t="s">
        <v>11</v>
      </c>
      <c r="C87" s="6" t="s">
        <v>48</v>
      </c>
      <c r="D87" s="11"/>
      <c r="F87" s="13" t="str">
        <f ca="1">VLOOKUP(LEFT(A87,IF(ISERROR(FIND(".",A87)),LEN(A87)+1,FIND(".",A87))-1),WorkList!A:C,3,FALSE)</f>
        <v>Intex</v>
      </c>
      <c r="G87" s="14" t="str">
        <f ca="1">VLOOKUP(CONCATENATE(A87),WorkList!A:C,3,FALSE)</f>
        <v>Figure out design to drive cashflows from CPRs etc.</v>
      </c>
      <c r="H87" s="13" t="str">
        <f ca="1">VLOOKUP(CONCATENATE(A87),WorkList!A:D,4,FALSE)</f>
        <v>David Covey</v>
      </c>
      <c r="I87" s="15">
        <f ca="1">VLOOKUP(CONCATENATE(A87),WorkList!A:E,5,FALSE)</f>
        <v>39926</v>
      </c>
      <c r="J87" s="49">
        <f ca="1">VLOOKUP(CONCATENATE(A87),WorkList!A:F,6,FALSE)</f>
        <v>4</v>
      </c>
      <c r="K87" s="49" t="str">
        <f ca="1">VLOOKUP(CONCATENATE(A87),WorkList!A:G,7,FALSE)</f>
        <v>NewDevelopment</v>
      </c>
      <c r="L87" s="7" t="s">
        <v>13</v>
      </c>
      <c r="M87" s="16">
        <v>40310</v>
      </c>
      <c r="N87" s="60">
        <f ca="1">VALUE(LEFT(C87))</f>
        <v>0</v>
      </c>
      <c r="O87" s="61">
        <f ca="1">INT(IF(N87&gt;0,1+MAX(N87*N87-(IF(D87="",TODAY()+(5-N87)*15,D87)-TODAY())/4,N87),IF(TODAY()-M87&gt;10,0,1)))</f>
        <v>0</v>
      </c>
      <c r="P87" s="1" t="str">
        <f ca="1">IF(ISNA(VLOOKUP(A87,Projects!B:B,1,FALSE)),"","Yes")</f>
        <v/>
      </c>
    </row>
    <row r="88" spans="1:16">
      <c r="A88" s="4" t="s">
        <v>858</v>
      </c>
      <c r="B88" s="5" t="s">
        <v>11</v>
      </c>
      <c r="C88" s="6" t="s">
        <v>48</v>
      </c>
      <c r="D88" s="11"/>
      <c r="F88" s="13" t="str">
        <f ca="1">VLOOKUP(LEFT(A88,IF(ISERROR(FIND(".",A88)),LEN(A88)+1,FIND(".",A88))-1),WorkList!A:C,3,FALSE)</f>
        <v>Intex</v>
      </c>
      <c r="G88" s="14" t="str">
        <f ca="1">VLOOKUP(CONCATENATE(A88),WorkList!A:C,3,FALSE)</f>
        <v>Download Intex Wrapper</v>
      </c>
      <c r="H88" s="13" t="str">
        <f ca="1">VLOOKUP(CONCATENATE(A88),WorkList!A:D,4,FALSE)</f>
        <v>Neil</v>
      </c>
      <c r="I88" s="15">
        <f ca="1">VLOOKUP(CONCATENATE(A88),WorkList!A:E,5,FALSE)</f>
        <v>40200</v>
      </c>
      <c r="J88" s="49">
        <f ca="1">VLOOKUP(CONCATENATE(A88),WorkList!A:F,6,FALSE)</f>
        <v>1</v>
      </c>
      <c r="K88" s="49">
        <f ca="1">VLOOKUP(CONCATENATE(A88),WorkList!A:G,7,FALSE)</f>
        <v>0</v>
      </c>
      <c r="L88" s="7" t="s">
        <v>13</v>
      </c>
      <c r="M88" s="16">
        <v>40206</v>
      </c>
      <c r="N88" s="60">
        <f ca="1">VALUE(LEFT(C88))</f>
        <v>0</v>
      </c>
      <c r="O88" s="61">
        <f ca="1">INT(IF(N88&gt;0,1+MAX(N88*N88-(IF(D88="",TODAY()+(5-N88)*15,D88)-TODAY())/4,N88),IF(TODAY()-M88&gt;10,0,1)))</f>
        <v>0</v>
      </c>
      <c r="P88" s="1" t="str">
        <f ca="1">IF(ISNA(VLOOKUP(A88,Projects!B:B,1,FALSE)),"","Yes")</f>
        <v/>
      </c>
    </row>
    <row r="89" spans="1:16" ht="25.5">
      <c r="A89" s="4" t="s">
        <v>196</v>
      </c>
      <c r="B89" s="5" t="s">
        <v>21</v>
      </c>
      <c r="C89" s="6" t="s">
        <v>38</v>
      </c>
      <c r="D89" s="11"/>
      <c r="F89" s="13" t="str">
        <f ca="1">VLOOKUP(LEFT(A89,IF(ISERROR(FIND(".",A89)),LEN(A89)+1,FIND(".",A89))-1),WorkList!A:C,3,FALSE)</f>
        <v>Intex</v>
      </c>
      <c r="G89" s="14" t="str">
        <f ca="1">VLOOKUP(CONCATENATE(A89),WorkList!A:C,3,FALSE)</f>
        <v>Intex verses BBG cashflow comparator to identify where default BBG cashflows are very different from Intex</v>
      </c>
      <c r="H89" s="13" t="str">
        <f ca="1">VLOOKUP(CONCATENATE(A89),WorkList!A:D,4,FALSE)</f>
        <v>David Covey</v>
      </c>
      <c r="I89" s="15">
        <f ca="1">VLOOKUP(CONCATENATE(A89),WorkList!A:E,5,FALSE)</f>
        <v>40135</v>
      </c>
      <c r="J89" s="49">
        <f ca="1">VLOOKUP(CONCATENATE(A89),WorkList!A:F,6,FALSE)</f>
        <v>45</v>
      </c>
      <c r="K89" s="49" t="str">
        <f ca="1">VLOOKUP(CONCATENATE(A89),WorkList!A:G,7,FALSE)</f>
        <v>NewDevelopment</v>
      </c>
      <c r="L89" s="7" t="s">
        <v>716</v>
      </c>
      <c r="M89" s="16">
        <v>40283</v>
      </c>
      <c r="N89" s="60">
        <f ca="1">VALUE(LEFT(C89))</f>
        <v>2</v>
      </c>
      <c r="O89" s="61">
        <f ca="1">INT(IF(N89&gt;0,1+MAX(N89*N89-(IF(D89="",TODAY()+(5-N89)*15,D89)-TODAY())/4,N89),IF(TODAY()-M89&gt;10,0,1)))</f>
        <v>3</v>
      </c>
      <c r="P89" s="1" t="str">
        <f ca="1">IF(ISNA(VLOOKUP(A89,Projects!B:B,1,FALSE)),"","Yes")</f>
        <v/>
      </c>
    </row>
    <row r="90" spans="1:16">
      <c r="A90" s="4" t="s">
        <v>660</v>
      </c>
      <c r="B90" s="5" t="s">
        <v>11</v>
      </c>
      <c r="C90" s="6" t="s">
        <v>48</v>
      </c>
      <c r="D90" s="11"/>
      <c r="F90" s="13" t="str">
        <f ca="1">VLOOKUP(LEFT(A90,IF(ISERROR(FIND(".",A90)),LEN(A90)+1,FIND(".",A90))-1),WorkList!A:C,3,FALSE)</f>
        <v>Intex</v>
      </c>
      <c r="G90" s="14" t="str">
        <f ca="1">VLOOKUP(CONCATENATE(A90),WorkList!A:C,3,FALSE)</f>
        <v>Extract loan data for Paragon and EMAC</v>
      </c>
      <c r="H90" s="13" t="str">
        <f ca="1">VLOOKUP(CONCATENATE(A90),WorkList!A:D,4,FALSE)</f>
        <v>David Covey</v>
      </c>
      <c r="I90" s="15">
        <f ca="1">VLOOKUP(CONCATENATE(A90),WorkList!A:E,5,FALSE)</f>
        <v>40123</v>
      </c>
      <c r="J90" s="49">
        <f ca="1">VLOOKUP(CONCATENATE(A90),WorkList!A:F,6,FALSE)</f>
        <v>2</v>
      </c>
      <c r="K90" s="49">
        <f ca="1">VLOOKUP(CONCATENATE(A90),WorkList!A:G,7,FALSE)</f>
        <v>0</v>
      </c>
      <c r="L90" s="7" t="s">
        <v>13</v>
      </c>
      <c r="M90" s="16">
        <v>40144</v>
      </c>
      <c r="N90" s="60">
        <f ca="1">VALUE(LEFT(C90))</f>
        <v>0</v>
      </c>
      <c r="O90" s="61">
        <f ca="1">INT(IF(N90&gt;0,1+MAX(N90*N90-(IF(D90="",TODAY()+(5-N90)*15,D90)-TODAY())/4,N90),IF(TODAY()-M90&gt;10,0,1)))</f>
        <v>0</v>
      </c>
      <c r="P90" s="1" t="str">
        <f ca="1">IF(ISNA(VLOOKUP(A90,Projects!B:B,1,FALSE)),"","Yes")</f>
        <v/>
      </c>
    </row>
    <row r="91" spans="1:16">
      <c r="A91" s="4" t="s">
        <v>1001</v>
      </c>
      <c r="B91" s="5" t="s">
        <v>11</v>
      </c>
      <c r="C91" s="7" t="s">
        <v>48</v>
      </c>
      <c r="D91" s="11"/>
      <c r="F91" s="13" t="str">
        <f ca="1">VLOOKUP(LEFT(A91,IF(ISERROR(FIND(".",A91)),LEN(A91)+1,FIND(".",A91))-1),WorkList!A:C,3,FALSE)</f>
        <v>Intex</v>
      </c>
      <c r="G91" s="14" t="str">
        <f ca="1">VLOOKUP(CONCATENATE(A91),WorkList!A:C,3,FALSE)</f>
        <v>Get US Intex files</v>
      </c>
      <c r="H91" s="13" t="str">
        <f ca="1">VLOOKUP(CONCATENATE(A91),WorkList!A:D,4,FALSE)</f>
        <v>David Covey</v>
      </c>
      <c r="I91" s="15">
        <f ca="1">VLOOKUP(CONCATENATE(A91),WorkList!A:E,5,FALSE)</f>
        <v>40253</v>
      </c>
      <c r="J91" s="49">
        <f ca="1">VLOOKUP(CONCATENATE(A91),WorkList!A:F,6,FALSE)</f>
        <v>2</v>
      </c>
      <c r="K91" s="49">
        <f ca="1">VLOOKUP(CONCATENATE(A91),WorkList!A:G,7,FALSE)</f>
        <v>0</v>
      </c>
      <c r="L91" s="7" t="s">
        <v>13</v>
      </c>
      <c r="M91" s="16">
        <v>40283</v>
      </c>
      <c r="N91" s="60">
        <f ca="1">VALUE(LEFT(C91))</f>
        <v>0</v>
      </c>
      <c r="O91" s="61">
        <f ca="1">INT(IF(N91&gt;0,1+MAX(N91*N91-(IF(D91="",TODAY()+(5-N91)*15,D91)-TODAY())/4,N91),IF(TODAY()-M91&gt;10,0,1)))</f>
        <v>0</v>
      </c>
      <c r="P91" s="1" t="str">
        <f ca="1">IF(ISNA(VLOOKUP(A91,Projects!B:B,1,FALSE)),"","Yes")</f>
        <v/>
      </c>
    </row>
    <row r="92" spans="1:16">
      <c r="A92" s="4" t="s">
        <v>1009</v>
      </c>
      <c r="B92" s="5" t="s">
        <v>11</v>
      </c>
      <c r="C92" s="6" t="s">
        <v>48</v>
      </c>
      <c r="D92" s="11"/>
      <c r="F92" s="13" t="str">
        <f ca="1">VLOOKUP(LEFT(A92,IF(ISERROR(FIND(".",A92)),LEN(A92)+1,FIND(".",A92))-1),WorkList!A:C,3,FALSE)</f>
        <v>Intex</v>
      </c>
      <c r="G92" s="14" t="str">
        <f ca="1">VLOOKUP(CONCATENATE(A92),WorkList!A:C,3,FALSE)</f>
        <v>Intex files missing</v>
      </c>
      <c r="H92" s="13" t="str">
        <f ca="1">VLOOKUP(CONCATENATE(A92),WorkList!A:D,4,FALSE)</f>
        <v>Zhuu</v>
      </c>
      <c r="I92" s="15">
        <f ca="1">VLOOKUP(CONCATENATE(A92),WorkList!A:E,5,FALSE)</f>
        <v>40255</v>
      </c>
      <c r="J92" s="49">
        <f ca="1">VLOOKUP(CONCATENATE(A92),WorkList!A:F,6,FALSE)</f>
        <v>1</v>
      </c>
      <c r="K92" s="49">
        <f ca="1">VLOOKUP(CONCATENATE(A92),WorkList!A:G,7,FALSE)</f>
        <v>0</v>
      </c>
      <c r="L92" s="7" t="s">
        <v>13</v>
      </c>
      <c r="M92" s="16">
        <v>40262</v>
      </c>
      <c r="N92" s="60">
        <f ca="1">VALUE(LEFT(C92))</f>
        <v>0</v>
      </c>
      <c r="O92" s="61">
        <f ca="1">INT(IF(N92&gt;0,1+MAX(N92*N92-(IF(D92="",TODAY()+(5-N92)*15,D92)-TODAY())/4,N92),IF(TODAY()-M92&gt;10,0,1)))</f>
        <v>0</v>
      </c>
      <c r="P92" s="1" t="str">
        <f ca="1">IF(ISNA(VLOOKUP(A92,Projects!B:B,1,FALSE)),"","Yes")</f>
        <v/>
      </c>
    </row>
    <row r="93" spans="1:16">
      <c r="A93" s="4" t="s">
        <v>887</v>
      </c>
      <c r="B93" s="5" t="s">
        <v>11</v>
      </c>
      <c r="C93" s="6" t="s">
        <v>48</v>
      </c>
      <c r="D93" s="11"/>
      <c r="F93" s="13" t="str">
        <f ca="1">VLOOKUP(LEFT(A93,IF(ISERROR(FIND(".",A93)),LEN(A93)+1,FIND(".",A93))-1),WorkList!A:C,3,FALSE)</f>
        <v>Intex</v>
      </c>
      <c r="G93" s="14" t="str">
        <f ca="1">VLOOKUP(CONCATENATE(A93),WorkList!A:C,3,FALSE)</f>
        <v>Intex Wrapper: Design suitable wrapper</v>
      </c>
      <c r="H93" s="13" t="str">
        <f ca="1">VLOOKUP(CONCATENATE(A93),WorkList!A:D,4,FALSE)</f>
        <v>Neil</v>
      </c>
      <c r="I93" s="15">
        <f ca="1">VLOOKUP(CONCATENATE(A93),WorkList!A:E,5,FALSE)</f>
        <v>40218</v>
      </c>
      <c r="J93" s="49">
        <f ca="1">VLOOKUP(CONCATENATE(A93),WorkList!A:F,6,FALSE)</f>
        <v>5</v>
      </c>
      <c r="K93" s="49">
        <f ca="1">VLOOKUP(CONCATENATE(A93),WorkList!A:G,7,FALSE)</f>
        <v>0</v>
      </c>
      <c r="L93" s="7" t="s">
        <v>13</v>
      </c>
      <c r="M93" s="16">
        <v>40246</v>
      </c>
      <c r="N93" s="60">
        <f ca="1">VALUE(LEFT(C93))</f>
        <v>0</v>
      </c>
      <c r="O93" s="61">
        <f ca="1">INT(IF(N93&gt;0,1+MAX(N93*N93-(IF(D93="",TODAY()+(5-N93)*15,D93)-TODAY())/4,N93),IF(TODAY()-M93&gt;10,0,1)))</f>
        <v>0</v>
      </c>
      <c r="P93" s="1" t="str">
        <f ca="1">IF(ISNA(VLOOKUP(A93,Projects!B:B,1,FALSE)),"","Yes")</f>
        <v>Yes</v>
      </c>
    </row>
    <row r="94" spans="1:16">
      <c r="A94" s="4" t="s">
        <v>888</v>
      </c>
      <c r="B94" s="5" t="s">
        <v>685</v>
      </c>
      <c r="C94" s="6" t="s">
        <v>48</v>
      </c>
      <c r="D94" s="11"/>
      <c r="F94" s="13" t="str">
        <f ca="1">VLOOKUP(LEFT(A94,IF(ISERROR(FIND(".",A94)),LEN(A94)+1,FIND(".",A94))-1),WorkList!A:C,3,FALSE)</f>
        <v>Intex</v>
      </c>
      <c r="G94" s="14" t="str">
        <f ca="1">VLOOKUP(CONCATENATE(A94),WorkList!A:C,3,FALSE)</f>
        <v>Intex Wrapper: Review and agree design</v>
      </c>
      <c r="H94" s="13" t="str">
        <f ca="1">VLOOKUP(CONCATENATE(A94),WorkList!A:D,4,FALSE)</f>
        <v>Neil</v>
      </c>
      <c r="I94" s="15">
        <f ca="1">VLOOKUP(CONCATENATE(A94),WorkList!A:E,5,FALSE)</f>
        <v>40218</v>
      </c>
      <c r="J94" s="49">
        <f ca="1">VLOOKUP(CONCATENATE(A94),WorkList!A:F,6,FALSE)</f>
        <v>2</v>
      </c>
      <c r="K94" s="49">
        <f ca="1">VLOOKUP(CONCATENATE(A94),WorkList!A:G,7,FALSE)</f>
        <v>0</v>
      </c>
      <c r="L94" s="7" t="s">
        <v>13</v>
      </c>
      <c r="M94" s="16">
        <v>40246</v>
      </c>
      <c r="N94" s="60">
        <f ca="1">VALUE(LEFT(C94))</f>
        <v>0</v>
      </c>
      <c r="O94" s="61">
        <f ca="1">INT(IF(N94&gt;0,1+MAX(N94*N94-(IF(D94="",TODAY()+(5-N94)*15,D94)-TODAY())/4,N94),IF(TODAY()-M94&gt;10,0,1)))</f>
        <v>0</v>
      </c>
      <c r="P94" s="1" t="str">
        <f ca="1">IF(ISNA(VLOOKUP(A94,Projects!B:B,1,FALSE)),"","Yes")</f>
        <v>Yes</v>
      </c>
    </row>
    <row r="95" spans="1:16">
      <c r="A95" s="4" t="s">
        <v>901</v>
      </c>
      <c r="B95" s="5" t="s">
        <v>11</v>
      </c>
      <c r="C95" s="6" t="s">
        <v>48</v>
      </c>
      <c r="D95" s="11"/>
      <c r="F95" s="13" t="str">
        <f ca="1">VLOOKUP(LEFT(A95,IF(ISERROR(FIND(".",A95)),LEN(A95)+1,FIND(".",A95))-1),WorkList!A:C,3,FALSE)</f>
        <v>Intex</v>
      </c>
      <c r="G95" s="14" t="str">
        <f ca="1">VLOOKUP(CONCATENATE(A95),WorkList!A:C,3,FALSE)</f>
        <v>Intex Wrapper: First core implementation</v>
      </c>
      <c r="H95" s="13" t="str">
        <f ca="1">VLOOKUP(CONCATENATE(A95),WorkList!A:D,4,FALSE)</f>
        <v>Neil</v>
      </c>
      <c r="I95" s="15">
        <f ca="1">VLOOKUP(CONCATENATE(A95),WorkList!A:E,5,FALSE)</f>
        <v>40218</v>
      </c>
      <c r="J95" s="49">
        <f ca="1">VLOOKUP(CONCATENATE(A95),WorkList!A:F,6,FALSE)</f>
        <v>5</v>
      </c>
      <c r="K95" s="49" t="str">
        <f ca="1">VLOOKUP(CONCATENATE(A95),WorkList!A:G,7,FALSE)</f>
        <v>NewDevelopment</v>
      </c>
      <c r="L95" s="7" t="s">
        <v>13</v>
      </c>
      <c r="M95" s="16">
        <v>40310</v>
      </c>
      <c r="N95" s="60">
        <f ca="1">VALUE(LEFT(C95))</f>
        <v>0</v>
      </c>
      <c r="O95" s="61">
        <f ca="1">INT(IF(N95&gt;0,1+MAX(N95*N95-(IF(D95="",TODAY()+(5-N95)*15,D95)-TODAY())/4,N95),IF(TODAY()-M95&gt;10,0,1)))</f>
        <v>0</v>
      </c>
      <c r="P95" s="1" t="str">
        <f ca="1">IF(ISNA(VLOOKUP(A95,Projects!B:B,1,FALSE)),"","Yes")</f>
        <v>Yes</v>
      </c>
    </row>
    <row r="96" spans="1:16">
      <c r="A96" s="4" t="s">
        <v>902</v>
      </c>
      <c r="B96" s="5" t="s">
        <v>685</v>
      </c>
      <c r="C96" s="6" t="s">
        <v>48</v>
      </c>
      <c r="D96" s="11"/>
      <c r="F96" s="13" t="str">
        <f ca="1">VLOOKUP(LEFT(A96,IF(ISERROR(FIND(".",A96)),LEN(A96)+1,FIND(".",A96))-1),WorkList!A:C,3,FALSE)</f>
        <v>Intex</v>
      </c>
      <c r="G96" s="14" t="str">
        <f ca="1">VLOOKUP(CONCATENATE(A96),WorkList!A:C,3,FALSE)</f>
        <v>Intex Wrapper: Review and agree implementation</v>
      </c>
      <c r="H96" s="13" t="str">
        <f ca="1">VLOOKUP(CONCATENATE(A96),WorkList!A:D,4,FALSE)</f>
        <v>Neil</v>
      </c>
      <c r="I96" s="15">
        <f ca="1">VLOOKUP(CONCATENATE(A96),WorkList!A:E,5,FALSE)</f>
        <v>40218</v>
      </c>
      <c r="J96" s="49">
        <f ca="1">VLOOKUP(CONCATENATE(A96),WorkList!A:F,6,FALSE)</f>
        <v>2</v>
      </c>
      <c r="K96" s="49" t="str">
        <f ca="1">VLOOKUP(CONCATENATE(A96),WorkList!A:G,7,FALSE)</f>
        <v>NewDevelopment</v>
      </c>
      <c r="L96" s="7" t="s">
        <v>13</v>
      </c>
      <c r="M96" s="16">
        <v>40567</v>
      </c>
      <c r="N96" s="60">
        <f ca="1">VALUE(LEFT(C96))</f>
        <v>0</v>
      </c>
      <c r="O96" s="61">
        <f ca="1">INT(IF(N96&gt;0,1+MAX(N96*N96-(IF(D96="",TODAY()+(5-N96)*15,D96)-TODAY())/4,N96),IF(TODAY()-M96&gt;10,0,1)))</f>
        <v>0</v>
      </c>
      <c r="P96" s="1" t="str">
        <f ca="1">IF(ISNA(VLOOKUP(A96,Projects!B:B,1,FALSE)),"","Yes")</f>
        <v>Yes</v>
      </c>
    </row>
    <row r="97" spans="1:16">
      <c r="A97" s="4" t="s">
        <v>907</v>
      </c>
      <c r="B97" s="5" t="s">
        <v>11</v>
      </c>
      <c r="C97" s="6" t="s">
        <v>48</v>
      </c>
      <c r="D97" s="11"/>
      <c r="F97" s="13" t="str">
        <f ca="1">VLOOKUP(LEFT(A97,IF(ISERROR(FIND(".",A97)),LEN(A97)+1,FIND(".",A97))-1),WorkList!A:C,3,FALSE)</f>
        <v>Intex</v>
      </c>
      <c r="G97" s="14" t="str">
        <f ca="1">VLOOKUP(CONCATENATE(A97),WorkList!A:C,3,FALSE)</f>
        <v>Intex Wrapper: Complete implementation</v>
      </c>
      <c r="H97" s="13" t="str">
        <f ca="1">VLOOKUP(CONCATENATE(A97),WorkList!A:D,4,FALSE)</f>
        <v>Neil</v>
      </c>
      <c r="I97" s="15">
        <f ca="1">VLOOKUP(CONCATENATE(A97),WorkList!A:E,5,FALSE)</f>
        <v>40218</v>
      </c>
      <c r="J97" s="49">
        <f ca="1">VLOOKUP(CONCATENATE(A97),WorkList!A:F,6,FALSE)</f>
        <v>10</v>
      </c>
      <c r="K97" s="49" t="str">
        <f ca="1">VLOOKUP(CONCATENATE(A97),WorkList!A:G,7,FALSE)</f>
        <v>NewDevelopment</v>
      </c>
      <c r="L97" s="7" t="s">
        <v>13</v>
      </c>
      <c r="M97" s="16">
        <v>40567</v>
      </c>
      <c r="N97" s="60">
        <f ca="1">VALUE(LEFT(C97))</f>
        <v>0</v>
      </c>
      <c r="O97" s="61">
        <f ca="1">INT(IF(N97&gt;0,1+MAX(N97*N97-(IF(D97="",TODAY()+(5-N97)*15,D97)-TODAY())/4,N97),IF(TODAY()-M97&gt;10,0,1)))</f>
        <v>0</v>
      </c>
      <c r="P97" s="1" t="str">
        <f ca="1">IF(ISNA(VLOOKUP(A97,Projects!B:B,1,FALSE)),"","Yes")</f>
        <v>Yes</v>
      </c>
    </row>
    <row r="98" spans="1:16">
      <c r="A98" s="4" t="s">
        <v>1007</v>
      </c>
      <c r="B98" s="5" t="s">
        <v>11</v>
      </c>
      <c r="C98" s="6" t="s">
        <v>48</v>
      </c>
      <c r="D98" s="11"/>
      <c r="F98" s="13" t="str">
        <f ca="1">VLOOKUP(LEFT(A98,IF(ISERROR(FIND(".",A98)),LEN(A98)+1,FIND(".",A98))-1),WorkList!A:C,3,FALSE)</f>
        <v>Intex</v>
      </c>
      <c r="G98" s="14" t="str">
        <f ca="1">VLOOKUP(CONCATENATE(A98),WorkList!A:C,3,FALSE)</f>
        <v>Scraper - 1st implementation</v>
      </c>
      <c r="H98" s="13" t="str">
        <f ca="1">VLOOKUP(CONCATENATE(A98),WorkList!A:D,4,FALSE)</f>
        <v>Neil</v>
      </c>
      <c r="I98" s="15">
        <f ca="1">VLOOKUP(CONCATENATE(A98),WorkList!A:E,5,FALSE)</f>
        <v>40253</v>
      </c>
      <c r="J98" s="49">
        <f ca="1">VLOOKUP(CONCATENATE(A98),WorkList!A:F,6,FALSE)</f>
        <v>5</v>
      </c>
      <c r="K98" s="49" t="str">
        <f ca="1">VLOOKUP(CONCATENATE(A98),WorkList!A:G,7,FALSE)</f>
        <v>NewDevelopment</v>
      </c>
      <c r="L98" s="7" t="s">
        <v>13</v>
      </c>
      <c r="M98" s="16">
        <v>40310</v>
      </c>
      <c r="N98" s="60">
        <f ca="1">VALUE(LEFT(C98))</f>
        <v>0</v>
      </c>
      <c r="O98" s="61">
        <f ca="1">INT(IF(N98&gt;0,1+MAX(N98*N98-(IF(D98="",TODAY()+(5-N98)*15,D98)-TODAY())/4,N98),IF(TODAY()-M98&gt;10,0,1)))</f>
        <v>0</v>
      </c>
      <c r="P98" s="1" t="str">
        <f ca="1">IF(ISNA(VLOOKUP(A98,Projects!B:B,1,FALSE)),"","Yes")</f>
        <v/>
      </c>
    </row>
    <row r="99" spans="1:16">
      <c r="A99" s="4" t="s">
        <v>1900</v>
      </c>
      <c r="B99" s="5" t="s">
        <v>1159</v>
      </c>
      <c r="C99" s="7" t="s">
        <v>12</v>
      </c>
      <c r="D99" s="7">
        <v>40592</v>
      </c>
      <c r="F99" s="13" t="str">
        <f ca="1">VLOOKUP(LEFT(A99,IF(ISERROR(FIND(".",A99)),LEN(A99)+1,FIND(".",A99))-1),WorkList!A:C,3,FALSE)</f>
        <v>Intex</v>
      </c>
      <c r="G99" s="14" t="str">
        <f ca="1">VLOOKUP(CONCATENATE(A99),WorkList!A:C,3,FALSE)</f>
        <v>Expand scraper for Reneesh</v>
      </c>
      <c r="H99" s="13" t="str">
        <f ca="1">VLOOKUP(CONCATENATE(A99),WorkList!A:D,4,FALSE)</f>
        <v>Reneesh</v>
      </c>
      <c r="I99" s="15">
        <f ca="1">VLOOKUP(CONCATENATE(A99),WorkList!A:E,5,FALSE)</f>
        <v>40588</v>
      </c>
      <c r="J99" s="49">
        <f ca="1">VLOOKUP(CONCATENATE(A99),WorkList!A:F,6,FALSE)</f>
        <v>2</v>
      </c>
      <c r="K99" s="49" t="str">
        <f ca="1">VLOOKUP(CONCATENATE(A99),WorkList!A:G,7,FALSE)</f>
        <v>NewDevelopment</v>
      </c>
      <c r="L99" s="7" t="s">
        <v>5</v>
      </c>
      <c r="M99" s="16">
        <v>40588</v>
      </c>
      <c r="N99" s="60">
        <f ca="1">VALUE(LEFT(C99))</f>
        <v>4</v>
      </c>
      <c r="O99" s="61">
        <f ca="1">INT(IF(N99&gt;0,1+MAX(N99*N99-(IF(D99="",TODAY()+(5-N99)*15,D99)-TODAY())/4,N99),IF(TODAY()-M99&gt;10,0,1)))</f>
        <v>18</v>
      </c>
      <c r="P99" s="1" t="str">
        <f ca="1">IF(ISNA(VLOOKUP(A99,Projects!B:B,1,FALSE)),"","Yes")</f>
        <v/>
      </c>
    </row>
    <row r="100" spans="1:16" ht="25.5">
      <c r="A100" s="4" t="s">
        <v>1148</v>
      </c>
      <c r="B100" s="5" t="s">
        <v>11</v>
      </c>
      <c r="C100" s="6" t="s">
        <v>48</v>
      </c>
      <c r="D100" s="7">
        <v>40330</v>
      </c>
      <c r="F100" s="13" t="str">
        <f ca="1">VLOOKUP(LEFT(A100,IF(ISERROR(FIND(".",A100)),LEN(A100)+1,FIND(".",A100))-1),WorkList!A:C,3,FALSE)</f>
        <v>Intex</v>
      </c>
      <c r="G100" s="14" t="str">
        <f ca="1">VLOOKUP(CONCATENATE(A100),WorkList!A:C,3,FALSE)</f>
        <v>CFGen: Complete Prototype Implementation with Wrapped API and document</v>
      </c>
      <c r="H100" s="13" t="str">
        <f ca="1">VLOOKUP(CONCATENATE(A100),WorkList!A:D,4,FALSE)</f>
        <v>Neil</v>
      </c>
      <c r="I100" s="15">
        <f ca="1">VLOOKUP(CONCATENATE(A100),WorkList!A:E,5,FALSE)</f>
        <v>40325</v>
      </c>
      <c r="J100" s="49">
        <f ca="1">VLOOKUP(CONCATENATE(A100),WorkList!A:F,6,FALSE)</f>
        <v>3</v>
      </c>
      <c r="K100" s="49" t="str">
        <f ca="1">VLOOKUP(CONCATENATE(A100),WorkList!A:G,7,FALSE)</f>
        <v>NewDevelopment</v>
      </c>
      <c r="L100" s="7" t="s">
        <v>13</v>
      </c>
      <c r="M100" s="16">
        <v>40330</v>
      </c>
      <c r="N100" s="60">
        <f ca="1">VALUE(LEFT(C100))</f>
        <v>0</v>
      </c>
      <c r="O100" s="61">
        <f ca="1">INT(IF(N100&gt;0,1+MAX(N100*N100-(IF(D100="",TODAY()+(5-N100)*15,D100)-TODAY())/4,N100),IF(TODAY()-M100&gt;10,0,1)))</f>
        <v>0</v>
      </c>
      <c r="P100" s="1" t="str">
        <f ca="1">IF(ISNA(VLOOKUP(A100,Projects!B:B,1,FALSE)),"","Yes")</f>
        <v>Yes</v>
      </c>
    </row>
    <row r="101" spans="1:16">
      <c r="A101" s="4" t="s">
        <v>1149</v>
      </c>
      <c r="B101" s="5" t="s">
        <v>11</v>
      </c>
      <c r="C101" s="6" t="s">
        <v>48</v>
      </c>
      <c r="F101" s="13" t="str">
        <f ca="1">VLOOKUP(LEFT(A101,IF(ISERROR(FIND(".",A101)),LEN(A101)+1,FIND(".",A101))-1),WorkList!A:C,3,FALSE)</f>
        <v>Intex</v>
      </c>
      <c r="G101" s="14" t="str">
        <f ca="1">VLOOKUP(CONCATENATE(A101),WorkList!A:C,3,FALSE)</f>
        <v>CFGen: Spec out requirements for using Intex Bond Cfs</v>
      </c>
      <c r="H101" s="13" t="str">
        <f ca="1">VLOOKUP(CONCATENATE(A101),WorkList!A:D,4,FALSE)</f>
        <v>Zhuu</v>
      </c>
      <c r="I101" s="15">
        <f ca="1">VLOOKUP(CONCATENATE(A101),WorkList!A:E,5,FALSE)</f>
        <v>40310</v>
      </c>
      <c r="J101" s="49">
        <f ca="1">VLOOKUP(CONCATENATE(A101),WorkList!A:F,6,FALSE)</f>
        <v>2</v>
      </c>
      <c r="K101" s="49" t="str">
        <f ca="1">VLOOKUP(CONCATENATE(A101),WorkList!A:G,7,FALSE)</f>
        <v>NewDevelopment</v>
      </c>
      <c r="L101" s="7" t="s">
        <v>13</v>
      </c>
      <c r="M101" s="16">
        <v>40514</v>
      </c>
      <c r="N101" s="60">
        <f ca="1">VALUE(LEFT(C101))</f>
        <v>0</v>
      </c>
      <c r="O101" s="61">
        <f ca="1">INT(IF(N101&gt;0,1+MAX(N101*N101-(IF(D101="",TODAY()+(5-N101)*15,D101)-TODAY())/4,N101),IF(TODAY()-M101&gt;10,0,1)))</f>
        <v>0</v>
      </c>
      <c r="P101" s="1" t="str">
        <f ca="1">IF(ISNA(VLOOKUP(A101,Projects!B:B,1,FALSE)),"","Yes")</f>
        <v>Yes</v>
      </c>
    </row>
    <row r="102" spans="1:16">
      <c r="A102" s="4" t="s">
        <v>1150</v>
      </c>
      <c r="B102" s="5" t="s">
        <v>11</v>
      </c>
      <c r="C102" s="6" t="s">
        <v>48</v>
      </c>
      <c r="F102" s="13" t="str">
        <f ca="1">VLOOKUP(LEFT(A102,IF(ISERROR(FIND(".",A102)),LEN(A102)+1,FIND(".",A102))-1),WorkList!A:C,3,FALSE)</f>
        <v>Intex</v>
      </c>
      <c r="G102" s="14" t="str">
        <f ca="1">VLOOKUP(CONCATENATE(A102),WorkList!A:C,3,FALSE)</f>
        <v>CFGen: Design and build 1st implementation</v>
      </c>
      <c r="H102" s="13" t="str">
        <f ca="1">VLOOKUP(CONCATENATE(A102),WorkList!A:D,4,FALSE)</f>
        <v>Neil</v>
      </c>
      <c r="I102" s="15">
        <f ca="1">VLOOKUP(CONCATENATE(A102),WorkList!A:E,5,FALSE)</f>
        <v>40310</v>
      </c>
      <c r="J102" s="49">
        <f ca="1">VLOOKUP(CONCATENATE(A102),WorkList!A:F,6,FALSE)</f>
        <v>5</v>
      </c>
      <c r="K102" s="49" t="str">
        <f ca="1">VLOOKUP(CONCATENATE(A102),WorkList!A:G,7,FALSE)</f>
        <v>NewDevelopment</v>
      </c>
      <c r="L102" s="7" t="s">
        <v>13</v>
      </c>
      <c r="M102" s="16">
        <v>40514</v>
      </c>
      <c r="N102" s="60">
        <f ca="1">VALUE(LEFT(C102))</f>
        <v>0</v>
      </c>
      <c r="O102" s="61">
        <f ca="1">INT(IF(N102&gt;0,1+MAX(N102*N102-(IF(D102="",TODAY()+(5-N102)*15,D102)-TODAY())/4,N102),IF(TODAY()-M102&gt;10,0,1)))</f>
        <v>0</v>
      </c>
      <c r="P102" s="1" t="str">
        <f ca="1">IF(ISNA(VLOOKUP(A102,Projects!B:B,1,FALSE)),"","Yes")</f>
        <v>Yes</v>
      </c>
    </row>
    <row r="103" spans="1:16">
      <c r="A103" s="4" t="s">
        <v>1153</v>
      </c>
      <c r="B103" s="5" t="s">
        <v>11</v>
      </c>
      <c r="C103" s="6" t="s">
        <v>48</v>
      </c>
      <c r="F103" s="13" t="str">
        <f ca="1">VLOOKUP(LEFT(A103,IF(ISERROR(FIND(".",A103)),LEN(A103)+1,FIND(".",A103))-1),WorkList!A:C,3,FALSE)</f>
        <v>Intex</v>
      </c>
      <c r="G103" s="14" t="str">
        <f ca="1">VLOOKUP(CONCATENATE(A103),WorkList!A:C,3,FALSE)</f>
        <v>CFGen: Review and agree implementation</v>
      </c>
      <c r="H103" s="13" t="str">
        <f ca="1">VLOOKUP(CONCATENATE(A103),WorkList!A:D,4,FALSE)</f>
        <v>Neil</v>
      </c>
      <c r="I103" s="15">
        <f ca="1">VLOOKUP(CONCATENATE(A103),WorkList!A:E,5,FALSE)</f>
        <v>40310</v>
      </c>
      <c r="J103" s="49">
        <f ca="1">VLOOKUP(CONCATENATE(A103),WorkList!A:F,6,FALSE)</f>
        <v>2</v>
      </c>
      <c r="K103" s="49" t="str">
        <f ca="1">VLOOKUP(CONCATENATE(A103),WorkList!A:G,7,FALSE)</f>
        <v>NewDevelopment</v>
      </c>
      <c r="L103" s="7" t="s">
        <v>13</v>
      </c>
      <c r="M103" s="16">
        <v>40514</v>
      </c>
      <c r="N103" s="60">
        <f ca="1">VALUE(LEFT(C103))</f>
        <v>0</v>
      </c>
      <c r="O103" s="61">
        <f ca="1">INT(IF(N103&gt;0,1+MAX(N103*N103-(IF(D103="",TODAY()+(5-N103)*15,D103)-TODAY())/4,N103),IF(TODAY()-M103&gt;10,0,1)))</f>
        <v>0</v>
      </c>
      <c r="P103" s="1" t="str">
        <f ca="1">IF(ISNA(VLOOKUP(A103,Projects!B:B,1,FALSE)),"","Yes")</f>
        <v>Yes</v>
      </c>
    </row>
    <row r="104" spans="1:16">
      <c r="A104" s="4" t="s">
        <v>1155</v>
      </c>
      <c r="B104" s="5" t="s">
        <v>11</v>
      </c>
      <c r="C104" s="6" t="s">
        <v>48</v>
      </c>
      <c r="F104" s="13" t="str">
        <f ca="1">VLOOKUP(LEFT(A104,IF(ISERROR(FIND(".",A104)),LEN(A104)+1,FIND(".",A104))-1),WorkList!A:C,3,FALSE)</f>
        <v>Intex</v>
      </c>
      <c r="G104" s="14" t="str">
        <f ca="1">VLOOKUP(CONCATENATE(A104),WorkList!A:C,3,FALSE)</f>
        <v>CFGen: Complete first implementation</v>
      </c>
      <c r="H104" s="13" t="str">
        <f ca="1">VLOOKUP(CONCATENATE(A104),WorkList!A:D,4,FALSE)</f>
        <v>Neil</v>
      </c>
      <c r="I104" s="15">
        <f ca="1">VLOOKUP(CONCATENATE(A104),WorkList!A:E,5,FALSE)</f>
        <v>40310</v>
      </c>
      <c r="J104" s="49">
        <f ca="1">VLOOKUP(CONCATENATE(A104),WorkList!A:F,6,FALSE)</f>
        <v>10</v>
      </c>
      <c r="K104" s="49" t="str">
        <f ca="1">VLOOKUP(CONCATENATE(A104),WorkList!A:G,7,FALSE)</f>
        <v>NewDevelopment</v>
      </c>
      <c r="L104" s="7" t="s">
        <v>13</v>
      </c>
      <c r="M104" s="16">
        <v>40514</v>
      </c>
      <c r="N104" s="60">
        <f ca="1">VALUE(LEFT(C104))</f>
        <v>0</v>
      </c>
      <c r="O104" s="61">
        <f ca="1">INT(IF(N104&gt;0,1+MAX(N104*N104-(IF(D104="",TODAY()+(5-N104)*15,D104)-TODAY())/4,N104),IF(TODAY()-M104&gt;10,0,1)))</f>
        <v>0</v>
      </c>
      <c r="P104" s="1" t="str">
        <f ca="1">IF(ISNA(VLOOKUP(A104,Projects!B:B,1,FALSE)),"","Yes")</f>
        <v>Yes</v>
      </c>
    </row>
    <row r="105" spans="1:16">
      <c r="A105" s="4" t="s">
        <v>1157</v>
      </c>
      <c r="B105" s="5" t="s">
        <v>11</v>
      </c>
      <c r="C105" s="6" t="s">
        <v>48</v>
      </c>
      <c r="F105" s="13" t="str">
        <f ca="1">VLOOKUP(LEFT(A105,IF(ISERROR(FIND(".",A105)),LEN(A105)+1,FIND(".",A105))-1),WorkList!A:C,3,FALSE)</f>
        <v>Intex</v>
      </c>
      <c r="G105" s="14" t="str">
        <f ca="1">VLOOKUP(CONCATENATE(A105),WorkList!A:C,3,FALSE)</f>
        <v>CFGen: Test in QA</v>
      </c>
      <c r="H105" s="13" t="str">
        <f ca="1">VLOOKUP(CONCATENATE(A105),WorkList!A:D,4,FALSE)</f>
        <v>Neil</v>
      </c>
      <c r="I105" s="15">
        <f ca="1">VLOOKUP(CONCATENATE(A105),WorkList!A:E,5,FALSE)</f>
        <v>40310</v>
      </c>
      <c r="J105" s="49">
        <f ca="1">VLOOKUP(CONCATENATE(A105),WorkList!A:F,6,FALSE)</f>
        <v>5</v>
      </c>
      <c r="K105" s="49" t="str">
        <f ca="1">VLOOKUP(CONCATENATE(A105),WorkList!A:G,7,FALSE)</f>
        <v>NewDevelopment</v>
      </c>
      <c r="L105" s="7" t="s">
        <v>13</v>
      </c>
      <c r="M105" s="16">
        <v>40514</v>
      </c>
      <c r="N105" s="60">
        <f ca="1">VALUE(LEFT(C105))</f>
        <v>0</v>
      </c>
      <c r="O105" s="61">
        <f ca="1">INT(IF(N105&gt;0,1+MAX(N105*N105-(IF(D105="",TODAY()+(5-N105)*15,D105)-TODAY())/4,N105),IF(TODAY()-M105&gt;10,0,1)))</f>
        <v>0</v>
      </c>
      <c r="P105" s="1" t="str">
        <f ca="1">IF(ISNA(VLOOKUP(A105,Projects!B:B,1,FALSE)),"","Yes")</f>
        <v>Yes</v>
      </c>
    </row>
    <row r="106" spans="1:16">
      <c r="A106" s="4" t="s">
        <v>1536</v>
      </c>
      <c r="B106" s="5" t="s">
        <v>11</v>
      </c>
      <c r="C106" s="6" t="s">
        <v>48</v>
      </c>
      <c r="D106" s="7">
        <v>40446</v>
      </c>
      <c r="F106" s="13" t="str">
        <f ca="1">VLOOKUP(LEFT(A106,IF(ISERROR(FIND(".",A106)),LEN(A106)+1,FIND(".",A106))-1),WorkList!A:C,3,FALSE)</f>
        <v>Intex</v>
      </c>
      <c r="G106" s="14" t="str">
        <f ca="1">VLOOKUP(CONCATENATE(A106),WorkList!A:C,3,FALSE)</f>
        <v>CFGen: Stand alone version for Aus RMBS</v>
      </c>
      <c r="H106" s="13" t="str">
        <f ca="1">VLOOKUP(CONCATENATE(A106),WorkList!A:D,4,FALSE)</f>
        <v>Neil</v>
      </c>
      <c r="I106" s="15">
        <f ca="1">VLOOKUP(CONCATENATE(A106),WorkList!A:E,5,FALSE)</f>
        <v>40438</v>
      </c>
      <c r="J106" s="49">
        <f ca="1">VLOOKUP(CONCATENATE(A106),WorkList!A:F,6,FALSE)</f>
        <v>3</v>
      </c>
      <c r="K106" s="49" t="str">
        <f ca="1">VLOOKUP(CONCATENATE(A106),WorkList!A:G,7,FALSE)</f>
        <v>NewDevelopment</v>
      </c>
      <c r="L106" s="7" t="s">
        <v>13</v>
      </c>
      <c r="M106" s="16">
        <v>40514</v>
      </c>
      <c r="N106" s="60">
        <f ca="1">VALUE(LEFT(C106))</f>
        <v>0</v>
      </c>
      <c r="O106" s="61">
        <f ca="1">INT(IF(N106&gt;0,1+MAX(N106*N106-(IF(D106="",TODAY()+(5-N106)*15,D106)-TODAY())/4,N106),IF(TODAY()-M106&gt;10,0,1)))</f>
        <v>0</v>
      </c>
      <c r="P106" s="1" t="str">
        <f ca="1">IF(ISNA(VLOOKUP(A106,Projects!B:B,1,FALSE)),"","Yes")</f>
        <v/>
      </c>
    </row>
    <row r="107" spans="1:16">
      <c r="A107" s="4" t="s">
        <v>113</v>
      </c>
      <c r="B107" s="5" t="s">
        <v>11</v>
      </c>
      <c r="C107" s="6" t="s">
        <v>48</v>
      </c>
      <c r="D107" s="11"/>
      <c r="F107" s="13" t="str">
        <f ca="1">VLOOKUP(LEFT(A107,IF(ISERROR(FIND(".",A107)),LEN(A107)+1,FIND(".",A107))-1),WorkList!A:C,3,FALSE)</f>
        <v>Deal Analyser</v>
      </c>
      <c r="G107" s="14" t="str">
        <f ca="1">VLOOKUP(CONCATENATE(A107),WorkList!A:C,3,FALSE)</f>
        <v>Get feed from ABSNet and load into database</v>
      </c>
      <c r="H107" s="13" t="str">
        <f ca="1">VLOOKUP(CONCATENATE(A107),WorkList!A:D,4,FALSE)</f>
        <v>Research</v>
      </c>
      <c r="I107" s="15">
        <f ca="1">VLOOKUP(CONCATENATE(A107),WorkList!A:E,5,FALSE)</f>
        <v>39911</v>
      </c>
      <c r="J107" s="49">
        <f ca="1">VLOOKUP(CONCATENATE(A107),WorkList!A:F,6,FALSE)</f>
        <v>0</v>
      </c>
      <c r="K107" s="49">
        <f ca="1">VLOOKUP(CONCATENATE(A107),WorkList!A:G,7,FALSE)</f>
        <v>0</v>
      </c>
      <c r="L107" s="7" t="s">
        <v>13</v>
      </c>
      <c r="M107" s="16">
        <v>39910</v>
      </c>
      <c r="N107" s="60">
        <f ca="1">VALUE(LEFT(C107))</f>
        <v>0</v>
      </c>
      <c r="O107" s="61">
        <f ca="1">INT(IF(N107&gt;0,1+MAX(N107*N107-(IF(D107="",TODAY()+(5-N107)*15,D107)-TODAY())/4,N107),IF(TODAY()-M107&gt;10,0,1)))</f>
        <v>0</v>
      </c>
      <c r="P107" s="1" t="str">
        <f ca="1">IF(ISNA(VLOOKUP(A107,Projects!B:B,1,FALSE)),"","Yes")</f>
        <v/>
      </c>
    </row>
    <row r="108" spans="1:16">
      <c r="A108" s="4" t="s">
        <v>124</v>
      </c>
      <c r="B108" s="5" t="s">
        <v>11</v>
      </c>
      <c r="C108" s="6" t="s">
        <v>48</v>
      </c>
      <c r="D108" s="11"/>
      <c r="F108" s="13" t="str">
        <f ca="1">VLOOKUP(LEFT(A108,IF(ISERROR(FIND(".",A108)),LEN(A108)+1,FIND(".",A108))-1),WorkList!A:C,3,FALSE)</f>
        <v>Deal Analyser</v>
      </c>
      <c r="G108" s="14" t="str">
        <f ca="1">VLOOKUP(CONCATENATE(A108),WorkList!A:C,3,FALSE)</f>
        <v>Add aggregation functionality</v>
      </c>
      <c r="H108" s="13" t="str">
        <f ca="1">VLOOKUP(CONCATENATE(A108),WorkList!A:D,4,FALSE)</f>
        <v>David Covey</v>
      </c>
      <c r="I108" s="15">
        <f ca="1">VLOOKUP(CONCATENATE(A108),WorkList!A:E,5,FALSE)</f>
        <v>39926</v>
      </c>
      <c r="J108" s="49">
        <f ca="1">VLOOKUP(CONCATENATE(A108),WorkList!A:F,6,FALSE)</f>
        <v>0</v>
      </c>
      <c r="K108" s="49">
        <f ca="1">VLOOKUP(CONCATENATE(A108),WorkList!A:G,7,FALSE)</f>
        <v>0</v>
      </c>
      <c r="L108" s="7" t="s">
        <v>13</v>
      </c>
      <c r="M108" s="16">
        <v>39932</v>
      </c>
      <c r="N108" s="60">
        <f ca="1">VALUE(LEFT(C108))</f>
        <v>0</v>
      </c>
      <c r="O108" s="61">
        <f ca="1">INT(IF(N108&gt;0,1+MAX(N108*N108-(IF(D108="",TODAY()+(5-N108)*15,D108)-TODAY())/4,N108),IF(TODAY()-M108&gt;10,0,1)))</f>
        <v>0</v>
      </c>
      <c r="P108" s="1" t="str">
        <f ca="1">IF(ISNA(VLOOKUP(A108,Projects!B:B,1,FALSE)),"","Yes")</f>
        <v/>
      </c>
    </row>
    <row r="109" spans="1:16">
      <c r="A109" s="4" t="s">
        <v>125</v>
      </c>
      <c r="B109" s="5" t="s">
        <v>11</v>
      </c>
      <c r="C109" s="6" t="s">
        <v>48</v>
      </c>
      <c r="D109" s="11"/>
      <c r="F109" s="13" t="str">
        <f ca="1">VLOOKUP(LEFT(A109,IF(ISERROR(FIND(".",A109)),LEN(A109)+1,FIND(".",A109))-1),WorkList!A:C,3,FALSE)</f>
        <v>Deal Analyser</v>
      </c>
      <c r="G109" s="14" t="str">
        <f ca="1">VLOOKUP(CONCATENATE(A109),WorkList!A:C,3,FALSE)</f>
        <v>Add graphing functionality</v>
      </c>
      <c r="H109" s="13" t="str">
        <f ca="1">VLOOKUP(CONCATENATE(A109),WorkList!A:D,4,FALSE)</f>
        <v>David Covey</v>
      </c>
      <c r="I109" s="15">
        <f ca="1">VLOOKUP(CONCATENATE(A109),WorkList!A:E,5,FALSE)</f>
        <v>39926</v>
      </c>
      <c r="J109" s="49">
        <f ca="1">VLOOKUP(CONCATENATE(A109),WorkList!A:F,6,FALSE)</f>
        <v>0</v>
      </c>
      <c r="K109" s="49">
        <f ca="1">VLOOKUP(CONCATENATE(A109),WorkList!A:G,7,FALSE)</f>
        <v>0</v>
      </c>
      <c r="L109" s="7" t="s">
        <v>13</v>
      </c>
      <c r="M109" s="16">
        <v>39932</v>
      </c>
      <c r="N109" s="60">
        <f ca="1">VALUE(LEFT(C109))</f>
        <v>0</v>
      </c>
      <c r="O109" s="61">
        <f ca="1">INT(IF(N109&gt;0,1+MAX(N109*N109-(IF(D109="",TODAY()+(5-N109)*15,D109)-TODAY())/4,N109),IF(TODAY()-M109&gt;10,0,1)))</f>
        <v>0</v>
      </c>
      <c r="P109" s="1" t="str">
        <f ca="1">IF(ISNA(VLOOKUP(A109,Projects!B:B,1,FALSE)),"","Yes")</f>
        <v/>
      </c>
    </row>
    <row r="110" spans="1:16">
      <c r="A110" s="4" t="s">
        <v>139</v>
      </c>
      <c r="B110" s="5" t="s">
        <v>11</v>
      </c>
      <c r="C110" s="6" t="s">
        <v>48</v>
      </c>
      <c r="D110" s="11"/>
      <c r="F110" s="13" t="str">
        <f ca="1">VLOOKUP(LEFT(A110,IF(ISERROR(FIND(".",A110)),LEN(A110)+1,FIND(".",A110))-1),WorkList!A:C,3,FALSE)</f>
        <v>Deal Analyser</v>
      </c>
      <c r="G110" s="14" t="str">
        <f ca="1">VLOOKUP(CONCATENATE(A110),WorkList!A:C,3,FALSE)</f>
        <v>Testing and comments from Research</v>
      </c>
      <c r="H110" s="13" t="str">
        <f ca="1">VLOOKUP(CONCATENATE(A110),WorkList!A:D,4,FALSE)</f>
        <v>David Covey</v>
      </c>
      <c r="I110" s="15">
        <f ca="1">VLOOKUP(CONCATENATE(A110),WorkList!A:E,5,FALSE)</f>
        <v>39932</v>
      </c>
      <c r="J110" s="49">
        <f ca="1">VLOOKUP(CONCATENATE(A110),WorkList!A:F,6,FALSE)</f>
        <v>0</v>
      </c>
      <c r="K110" s="49">
        <f ca="1">VLOOKUP(CONCATENATE(A110),WorkList!A:G,7,FALSE)</f>
        <v>0</v>
      </c>
      <c r="L110" s="7" t="s">
        <v>13</v>
      </c>
      <c r="M110" s="16">
        <v>39975</v>
      </c>
      <c r="N110" s="60">
        <f ca="1">VALUE(LEFT(C110))</f>
        <v>0</v>
      </c>
      <c r="O110" s="61">
        <f ca="1">INT(IF(N110&gt;0,1+MAX(N110*N110-(IF(D110="",TODAY()+(5-N110)*15,D110)-TODAY())/4,N110),IF(TODAY()-M110&gt;10,0,1)))</f>
        <v>0</v>
      </c>
      <c r="P110" s="1" t="str">
        <f ca="1">IF(ISNA(VLOOKUP(A110,Projects!B:B,1,FALSE)),"","Yes")</f>
        <v/>
      </c>
    </row>
    <row r="111" spans="1:16">
      <c r="A111" s="4" t="s">
        <v>168</v>
      </c>
      <c r="B111" s="5" t="s">
        <v>11</v>
      </c>
      <c r="C111" s="6" t="s">
        <v>48</v>
      </c>
      <c r="D111" s="11"/>
      <c r="F111" s="13" t="str">
        <f ca="1">VLOOKUP(LEFT(A111,IF(ISERROR(FIND(".",A111)),LEN(A111)+1,FIND(".",A111))-1),WorkList!A:C,3,FALSE)</f>
        <v>Deal Analyser</v>
      </c>
      <c r="G111" s="14" t="str">
        <f ca="1">VLOOKUP(CONCATENATE(A111),WorkList!A:C,3,FALSE)</f>
        <v>Move loader application to Trunk</v>
      </c>
      <c r="H111" s="13" t="str">
        <f ca="1">VLOOKUP(CONCATENATE(A111),WorkList!A:D,4,FALSE)</f>
        <v>Neil</v>
      </c>
      <c r="I111" s="15">
        <f ca="1">VLOOKUP(CONCATENATE(A111),WorkList!A:E,5,FALSE)</f>
        <v>39944</v>
      </c>
      <c r="J111" s="49">
        <f ca="1">VLOOKUP(CONCATENATE(A111),WorkList!A:F,6,FALSE)</f>
        <v>0</v>
      </c>
      <c r="K111" s="49">
        <f ca="1">VLOOKUP(CONCATENATE(A111),WorkList!A:G,7,FALSE)</f>
        <v>0</v>
      </c>
      <c r="L111" s="7" t="s">
        <v>13</v>
      </c>
      <c r="M111" s="16">
        <v>39965</v>
      </c>
      <c r="N111" s="60">
        <f ca="1">VALUE(LEFT(C111))</f>
        <v>0</v>
      </c>
      <c r="O111" s="61">
        <f ca="1">INT(IF(N111&gt;0,1+MAX(N111*N111-(IF(D111="",TODAY()+(5-N111)*15,D111)-TODAY())/4,N111),IF(TODAY()-M111&gt;10,0,1)))</f>
        <v>0</v>
      </c>
      <c r="P111" s="1" t="str">
        <f ca="1">IF(ISNA(VLOOKUP(A111,Projects!B:B,1,FALSE)),"","Yes")</f>
        <v/>
      </c>
    </row>
    <row r="112" spans="1:16">
      <c r="A112" s="4" t="s">
        <v>169</v>
      </c>
      <c r="B112" s="5" t="s">
        <v>11</v>
      </c>
      <c r="C112" s="6" t="s">
        <v>48</v>
      </c>
      <c r="D112" s="11"/>
      <c r="F112" s="13" t="str">
        <f ca="1">VLOOKUP(LEFT(A112,IF(ISERROR(FIND(".",A112)),LEN(A112)+1,FIND(".",A112))-1),WorkList!A:C,3,FALSE)</f>
        <v>Deal Analyser</v>
      </c>
      <c r="G112" s="14" t="str">
        <f ca="1">VLOOKUP(CONCATENATE(A112),WorkList!A:C,3,FALSE)</f>
        <v>Integrate SFTP scripts in loader</v>
      </c>
      <c r="H112" s="13" t="str">
        <f ca="1">VLOOKUP(CONCATENATE(A112),WorkList!A:D,4,FALSE)</f>
        <v>Neil</v>
      </c>
      <c r="I112" s="15">
        <f ca="1">VLOOKUP(CONCATENATE(A112),WorkList!A:E,5,FALSE)</f>
        <v>39944</v>
      </c>
      <c r="J112" s="49">
        <f ca="1">VLOOKUP(CONCATENATE(A112),WorkList!A:F,6,FALSE)</f>
        <v>0</v>
      </c>
      <c r="K112" s="49">
        <f ca="1">VLOOKUP(CONCATENATE(A112),WorkList!A:G,7,FALSE)</f>
        <v>0</v>
      </c>
      <c r="L112" s="7" t="s">
        <v>13</v>
      </c>
      <c r="M112" s="16">
        <v>39979</v>
      </c>
      <c r="N112" s="60">
        <f ca="1">VALUE(LEFT(C112))</f>
        <v>0</v>
      </c>
      <c r="O112" s="61">
        <f ca="1">INT(IF(N112&gt;0,1+MAX(N112*N112-(IF(D112="",TODAY()+(5-N112)*15,D112)-TODAY())/4,N112),IF(TODAY()-M112&gt;10,0,1)))</f>
        <v>0</v>
      </c>
      <c r="P112" s="1" t="str">
        <f ca="1">IF(ISNA(VLOOKUP(A112,Projects!B:B,1,FALSE)),"","Yes")</f>
        <v/>
      </c>
    </row>
    <row r="113" spans="1:16">
      <c r="A113" s="4" t="s">
        <v>170</v>
      </c>
      <c r="B113" s="5" t="s">
        <v>11</v>
      </c>
      <c r="C113" s="6" t="s">
        <v>48</v>
      </c>
      <c r="D113" s="11"/>
      <c r="F113" s="13" t="str">
        <f ca="1">VLOOKUP(LEFT(A113,IF(ISERROR(FIND(".",A113)),LEN(A113)+1,FIND(".",A113))-1),WorkList!A:C,3,FALSE)</f>
        <v>Deal Analyser</v>
      </c>
      <c r="G113" s="14" t="str">
        <f ca="1">VLOOKUP(CONCATENATE(A113),WorkList!A:C,3,FALSE)</f>
        <v>Test and release data loader</v>
      </c>
      <c r="H113" s="13" t="str">
        <f ca="1">VLOOKUP(CONCATENATE(A113),WorkList!A:D,4,FALSE)</f>
        <v>Neil</v>
      </c>
      <c r="I113" s="15">
        <f ca="1">VLOOKUP(CONCATENATE(A113),WorkList!A:E,5,FALSE)</f>
        <v>39944</v>
      </c>
      <c r="J113" s="49">
        <f ca="1">VLOOKUP(CONCATENATE(A113),WorkList!A:F,6,FALSE)</f>
        <v>0</v>
      </c>
      <c r="K113" s="49">
        <f ca="1">VLOOKUP(CONCATENATE(A113),WorkList!A:G,7,FALSE)</f>
        <v>0</v>
      </c>
      <c r="L113" s="7" t="s">
        <v>13</v>
      </c>
      <c r="M113" s="16">
        <v>39979</v>
      </c>
      <c r="N113" s="60">
        <f ca="1">VALUE(LEFT(C113))</f>
        <v>0</v>
      </c>
      <c r="O113" s="61">
        <f ca="1">INT(IF(N113&gt;0,1+MAX(N113*N113-(IF(D113="",TODAY()+(5-N113)*15,D113)-TODAY())/4,N113),IF(TODAY()-M113&gt;10,0,1)))</f>
        <v>0</v>
      </c>
      <c r="P113" s="1" t="str">
        <f ca="1">IF(ISNA(VLOOKUP(A113,Projects!B:B,1,FALSE)),"","Yes")</f>
        <v/>
      </c>
    </row>
    <row r="114" spans="1:16">
      <c r="A114" s="4" t="s">
        <v>565</v>
      </c>
      <c r="B114" s="5" t="s">
        <v>11</v>
      </c>
      <c r="C114" s="6" t="s">
        <v>48</v>
      </c>
      <c r="D114" s="11"/>
      <c r="F114" s="13" t="str">
        <f ca="1">VLOOKUP(LEFT(A114,IF(ISERROR(FIND(".",A114)),LEN(A114)+1,FIND(".",A114))-1),WorkList!A:C,3,FALSE)</f>
        <v>Deal Analyser</v>
      </c>
      <c r="G114" s="14" t="str">
        <f ca="1">VLOOKUP(CONCATENATE(A114),WorkList!A:C,3,FALSE)</f>
        <v>Add 'All' and 'None' button to aggregate windows</v>
      </c>
      <c r="H114" s="13" t="str">
        <f ca="1">VLOOKUP(CONCATENATE(A114),WorkList!A:D,4,FALSE)</f>
        <v>David Covey</v>
      </c>
      <c r="I114" s="15">
        <f ca="1">VLOOKUP(CONCATENATE(A114),WorkList!A:E,5,FALSE)</f>
        <v>39954</v>
      </c>
      <c r="J114" s="49">
        <f ca="1">VLOOKUP(CONCATENATE(A114),WorkList!A:F,6,FALSE)</f>
        <v>0</v>
      </c>
      <c r="K114" s="49">
        <f ca="1">VLOOKUP(CONCATENATE(A114),WorkList!A:G,7,FALSE)</f>
        <v>0</v>
      </c>
      <c r="L114" s="7" t="s">
        <v>13</v>
      </c>
      <c r="M114" s="16">
        <v>39959</v>
      </c>
      <c r="N114" s="60">
        <f ca="1">VALUE(LEFT(C114))</f>
        <v>0</v>
      </c>
      <c r="O114" s="61">
        <f ca="1">INT(IF(N114&gt;0,1+MAX(N114*N114-(IF(D114="",TODAY()+(5-N114)*15,D114)-TODAY())/4,N114),IF(TODAY()-M114&gt;10,0,1)))</f>
        <v>0</v>
      </c>
      <c r="P114" s="1" t="str">
        <f ca="1">IF(ISNA(VLOOKUP(A114,Projects!B:B,1,FALSE)),"","Yes")</f>
        <v/>
      </c>
    </row>
    <row r="115" spans="1:16">
      <c r="A115" s="4" t="s">
        <v>564</v>
      </c>
      <c r="B115" s="5" t="s">
        <v>11</v>
      </c>
      <c r="C115" s="6" t="s">
        <v>48</v>
      </c>
      <c r="D115" s="11"/>
      <c r="F115" s="13" t="str">
        <f ca="1">VLOOKUP(LEFT(A115,IF(ISERROR(FIND(".",A115)),LEN(A115)+1,FIND(".",A115))-1),WorkList!A:C,3,FALSE)</f>
        <v>Deal Analyser</v>
      </c>
      <c r="G115" s="14" t="str">
        <f ca="1">VLOOKUP(CONCATENATE(A115),WorkList!A:C,3,FALSE)</f>
        <v>Allow 'Aggregates' list box to be widened</v>
      </c>
      <c r="H115" s="13" t="str">
        <f ca="1">VLOOKUP(CONCATENATE(A115),WorkList!A:D,4,FALSE)</f>
        <v>David Covey</v>
      </c>
      <c r="I115" s="15">
        <f ca="1">VLOOKUP(CONCATENATE(A115),WorkList!A:E,5,FALSE)</f>
        <v>39954</v>
      </c>
      <c r="J115" s="49">
        <f ca="1">VLOOKUP(CONCATENATE(A115),WorkList!A:F,6,FALSE)</f>
        <v>0</v>
      </c>
      <c r="K115" s="49">
        <f ca="1">VLOOKUP(CONCATENATE(A115),WorkList!A:G,7,FALSE)</f>
        <v>0</v>
      </c>
      <c r="L115" s="7" t="s">
        <v>13</v>
      </c>
      <c r="M115" s="16">
        <v>39959</v>
      </c>
      <c r="N115" s="60">
        <f ca="1">VALUE(LEFT(C115))</f>
        <v>0</v>
      </c>
      <c r="O115" s="61">
        <f ca="1">INT(IF(N115&gt;0,1+MAX(N115*N115-(IF(D115="",TODAY()+(5-N115)*15,D115)-TODAY())/4,N115),IF(TODAY()-M115&gt;10,0,1)))</f>
        <v>0</v>
      </c>
      <c r="P115" s="1" t="str">
        <f ca="1">IF(ISNA(VLOOKUP(A115,Projects!B:B,1,FALSE)),"","Yes")</f>
        <v/>
      </c>
    </row>
    <row r="116" spans="1:16" ht="25.5">
      <c r="A116" s="4" t="s">
        <v>563</v>
      </c>
      <c r="B116" s="5" t="s">
        <v>11</v>
      </c>
      <c r="C116" s="6" t="s">
        <v>48</v>
      </c>
      <c r="D116" s="11"/>
      <c r="F116" s="13" t="str">
        <f ca="1">VLOOKUP(LEFT(A116,IF(ISERROR(FIND(".",A116)),LEN(A116)+1,FIND(".",A116))-1),WorkList!A:C,3,FALSE)</f>
        <v>Deal Analyser</v>
      </c>
      <c r="G116" s="14" t="str">
        <f ca="1">VLOOKUP(CONCATENATE(A116),WorkList!A:C,3,FALSE)</f>
        <v>Use the 'Series_ID' as the ASBNetDealID rather than the 'series_pk' in the database. - Cancelled.</v>
      </c>
      <c r="H116" s="13" t="str">
        <f ca="1">VLOOKUP(CONCATENATE(A116),WorkList!A:D,4,FALSE)</f>
        <v>Neil</v>
      </c>
      <c r="I116" s="15">
        <f ca="1">VLOOKUP(CONCATENATE(A116),WorkList!A:E,5,FALSE)</f>
        <v>39993</v>
      </c>
      <c r="J116" s="49">
        <f ca="1">VLOOKUP(CONCATENATE(A116),WorkList!A:F,6,FALSE)</f>
        <v>0</v>
      </c>
      <c r="K116" s="49">
        <f ca="1">VLOOKUP(CONCATENATE(A116),WorkList!A:G,7,FALSE)</f>
        <v>0</v>
      </c>
      <c r="L116" s="7" t="s">
        <v>13</v>
      </c>
      <c r="M116" s="16">
        <v>39993</v>
      </c>
      <c r="N116" s="60">
        <f ca="1">VALUE(LEFT(C116))</f>
        <v>0</v>
      </c>
      <c r="O116" s="61">
        <f ca="1">INT(IF(N116&gt;0,1+MAX(N116*N116-(IF(D116="",TODAY()+(5-N116)*15,D116)-TODAY())/4,N116),IF(TODAY()-M116&gt;10,0,1)))</f>
        <v>0</v>
      </c>
      <c r="P116" s="1" t="str">
        <f ca="1">IF(ISNA(VLOOKUP(A116,Projects!B:B,1,FALSE)),"","Yes")</f>
        <v/>
      </c>
    </row>
    <row r="117" spans="1:16">
      <c r="A117" s="4" t="s">
        <v>562</v>
      </c>
      <c r="B117" s="5" t="s">
        <v>37</v>
      </c>
      <c r="C117" s="6" t="s">
        <v>1087</v>
      </c>
      <c r="D117" s="11"/>
      <c r="F117" s="13" t="str">
        <f ca="1">VLOOKUP(LEFT(A117,IF(ISERROR(FIND(".",A117)),LEN(A117)+1,FIND(".",A117))-1),WorkList!A:C,3,FALSE)</f>
        <v>Deal Analyser</v>
      </c>
      <c r="G117" s="14" t="str">
        <f ca="1">VLOOKUP(CONCATENATE(A117),WorkList!A:C,3,FALSE)</f>
        <v>Add comments functionality</v>
      </c>
      <c r="H117" s="13" t="str">
        <f ca="1">VLOOKUP(CONCATENATE(A117),WorkList!A:D,4,FALSE)</f>
        <v>David Covey</v>
      </c>
      <c r="I117" s="15">
        <f ca="1">VLOOKUP(CONCATENATE(A117),WorkList!A:E,5,FALSE)</f>
        <v>40283</v>
      </c>
      <c r="J117" s="49">
        <f ca="1">VLOOKUP(CONCATENATE(A117),WorkList!A:F,6,FALSE)</f>
        <v>7</v>
      </c>
      <c r="K117" s="49" t="str">
        <f ca="1">VLOOKUP(CONCATENATE(A117),WorkList!A:G,7,FALSE)</f>
        <v>NewDevelopment</v>
      </c>
      <c r="L117" s="7" t="s">
        <v>1096</v>
      </c>
      <c r="M117" s="16">
        <v>40394</v>
      </c>
      <c r="N117" s="60">
        <f ca="1">VALUE(LEFT(C117))</f>
        <v>0</v>
      </c>
      <c r="O117" s="61">
        <f ca="1">INT(IF(N117&gt;0,1+MAX(N117*N117-(IF(D117="",TODAY()+(5-N117)*15,D117)-TODAY())/4,N117),IF(TODAY()-M117&gt;10,0,1)))</f>
        <v>0</v>
      </c>
      <c r="P117" s="1" t="str">
        <f ca="1">IF(ISNA(VLOOKUP(A117,Projects!B:B,1,FALSE)),"","Yes")</f>
        <v/>
      </c>
    </row>
    <row r="118" spans="1:16">
      <c r="A118" s="4" t="s">
        <v>561</v>
      </c>
      <c r="B118" s="5" t="s">
        <v>29</v>
      </c>
      <c r="C118" s="6" t="s">
        <v>48</v>
      </c>
      <c r="D118" s="11"/>
      <c r="F118" s="13" t="str">
        <f ca="1">VLOOKUP(LEFT(A118,IF(ISERROR(FIND(".",A118)),LEN(A118)+1,FIND(".",A118))-1),WorkList!A:C,3,FALSE)</f>
        <v>Deal Analyser</v>
      </c>
      <c r="G118" s="14" t="str">
        <f ca="1">VLOOKUP(CONCATENATE(A118),WorkList!A:C,3,FALSE)</f>
        <v>Move aggregate definitions to UserConfig DB</v>
      </c>
      <c r="H118" s="13" t="str">
        <f ca="1">VLOOKUP(CONCATENATE(A118),WorkList!A:D,4,FALSE)</f>
        <v>Neil</v>
      </c>
      <c r="I118" s="15">
        <f ca="1">VLOOKUP(CONCATENATE(A118),WorkList!A:E,5,FALSE)</f>
        <v>39975</v>
      </c>
      <c r="J118" s="49">
        <f ca="1">VLOOKUP(CONCATENATE(A118),WorkList!A:F,6,FALSE)</f>
        <v>0</v>
      </c>
      <c r="K118" s="49">
        <f ca="1">VLOOKUP(CONCATENATE(A118),WorkList!A:G,7,FALSE)</f>
        <v>0</v>
      </c>
      <c r="L118" s="7" t="s">
        <v>13</v>
      </c>
      <c r="M118" s="16">
        <v>40053</v>
      </c>
      <c r="N118" s="60">
        <f ca="1">VALUE(LEFT(C118))</f>
        <v>0</v>
      </c>
      <c r="O118" s="61">
        <f ca="1">INT(IF(N118&gt;0,1+MAX(N118*N118-(IF(D118="",TODAY()+(5-N118)*15,D118)-TODAY())/4,N118),IF(TODAY()-M118&gt;10,0,1)))</f>
        <v>0</v>
      </c>
      <c r="P118" s="1" t="str">
        <f ca="1">IF(ISNA(VLOOKUP(A118,Projects!B:B,1,FALSE)),"","Yes")</f>
        <v/>
      </c>
    </row>
    <row r="119" spans="1:16">
      <c r="A119" s="4" t="s">
        <v>560</v>
      </c>
      <c r="B119" s="5" t="s">
        <v>11</v>
      </c>
      <c r="C119" s="6" t="s">
        <v>48</v>
      </c>
      <c r="D119" s="11"/>
      <c r="F119" s="13" t="str">
        <f ca="1">VLOOKUP(LEFT(A119,IF(ISERROR(FIND(".",A119)),LEN(A119)+1,FIND(".",A119))-1),WorkList!A:C,3,FALSE)</f>
        <v>Deal Analyser</v>
      </c>
      <c r="G119" s="14" t="str">
        <f ca="1">VLOOKUP(CONCATENATE(A119),WorkList!A:C,3,FALSE)</f>
        <v>Various enhancements as specified by David</v>
      </c>
      <c r="H119" s="13" t="str">
        <f ca="1">VLOOKUP(CONCATENATE(A119),WorkList!A:D,4,FALSE)</f>
        <v>David Covey</v>
      </c>
      <c r="I119" s="15">
        <f ca="1">VLOOKUP(CONCATENATE(A119),WorkList!A:E,5,FALSE)</f>
        <v>39975</v>
      </c>
      <c r="J119" s="49">
        <f ca="1">VLOOKUP(CONCATENATE(A119),WorkList!A:F,6,FALSE)</f>
        <v>0</v>
      </c>
      <c r="K119" s="49">
        <f ca="1">VLOOKUP(CONCATENATE(A119),WorkList!A:G,7,FALSE)</f>
        <v>0</v>
      </c>
      <c r="L119" s="7" t="s">
        <v>13</v>
      </c>
      <c r="M119" s="16">
        <v>40025</v>
      </c>
      <c r="N119" s="60">
        <f ca="1">VALUE(LEFT(C119))</f>
        <v>0</v>
      </c>
      <c r="O119" s="61">
        <f ca="1">INT(IF(N119&gt;0,1+MAX(N119*N119-(IF(D119="",TODAY()+(5-N119)*15,D119)-TODAY())/4,N119),IF(TODAY()-M119&gt;10,0,1)))</f>
        <v>0</v>
      </c>
      <c r="P119" s="1" t="str">
        <f ca="1">IF(ISNA(VLOOKUP(A119,Projects!B:B,1,FALSE)),"","Yes")</f>
        <v/>
      </c>
    </row>
    <row r="120" spans="1:16">
      <c r="A120" s="4" t="s">
        <v>559</v>
      </c>
      <c r="B120" s="5" t="s">
        <v>29</v>
      </c>
      <c r="C120" s="6" t="s">
        <v>48</v>
      </c>
      <c r="D120" s="11"/>
      <c r="F120" s="13" t="str">
        <f ca="1">VLOOKUP(LEFT(A120,IF(ISERROR(FIND(".",A120)),LEN(A120)+1,FIND(".",A120))-1),WorkList!A:C,3,FALSE)</f>
        <v>Deal Analyser</v>
      </c>
      <c r="G120" s="14" t="str">
        <f ca="1">VLOOKUP(CONCATENATE(A120),WorkList!A:C,3,FALSE)</f>
        <v>Add 180+ and 360+ DQ</v>
      </c>
      <c r="H120" s="13" t="str">
        <f ca="1">VLOOKUP(CONCATENATE(A120),WorkList!A:D,4,FALSE)</f>
        <v>David Covey</v>
      </c>
      <c r="I120" s="15">
        <f ca="1">VLOOKUP(CONCATENATE(A120),WorkList!A:E,5,FALSE)</f>
        <v>40025</v>
      </c>
      <c r="J120" s="49">
        <f ca="1">VLOOKUP(CONCATENATE(A120),WorkList!A:F,6,FALSE)</f>
        <v>0</v>
      </c>
      <c r="K120" s="49">
        <f ca="1">VLOOKUP(CONCATENATE(A120),WorkList!A:G,7,FALSE)</f>
        <v>0</v>
      </c>
      <c r="L120" s="7" t="s">
        <v>13</v>
      </c>
      <c r="M120" s="16">
        <v>40053</v>
      </c>
      <c r="N120" s="60">
        <f ca="1">VALUE(LEFT(C120))</f>
        <v>0</v>
      </c>
      <c r="O120" s="61">
        <f ca="1">INT(IF(N120&gt;0,1+MAX(N120*N120-(IF(D120="",TODAY()+(5-N120)*15,D120)-TODAY())/4,N120),IF(TODAY()-M120&gt;10,0,1)))</f>
        <v>0</v>
      </c>
      <c r="P120" s="1" t="str">
        <f ca="1">IF(ISNA(VLOOKUP(A120,Projects!B:B,1,FALSE)),"","Yes")</f>
        <v/>
      </c>
    </row>
    <row r="121" spans="1:16">
      <c r="A121" s="4" t="s">
        <v>558</v>
      </c>
      <c r="B121" s="5" t="s">
        <v>29</v>
      </c>
      <c r="C121" s="6" t="s">
        <v>48</v>
      </c>
      <c r="D121" s="11"/>
      <c r="F121" s="13" t="str">
        <f ca="1">VLOOKUP(LEFT(A121,IF(ISERROR(FIND(".",A121)),LEN(A121)+1,FIND(".",A121))-1),WorkList!A:C,3,FALSE)</f>
        <v>Deal Analyser</v>
      </c>
      <c r="G121" s="14" t="str">
        <f ca="1">VLOOKUP(CONCATENATE(A121),WorkList!A:C,3,FALSE)</f>
        <v>Update PlotGrapth to latest version</v>
      </c>
      <c r="H121" s="13" t="str">
        <f ca="1">VLOOKUP(CONCATENATE(A121),WorkList!A:D,4,FALSE)</f>
        <v>Neil</v>
      </c>
      <c r="I121" s="15">
        <f ca="1">VLOOKUP(CONCATENATE(A121),WorkList!A:E,5,FALSE)</f>
        <v>40029</v>
      </c>
      <c r="J121" s="49">
        <f ca="1">VLOOKUP(CONCATENATE(A121),WorkList!A:F,6,FALSE)</f>
        <v>0</v>
      </c>
      <c r="K121" s="49">
        <f ca="1">VLOOKUP(CONCATENATE(A121),WorkList!A:G,7,FALSE)</f>
        <v>0</v>
      </c>
      <c r="L121" s="7" t="s">
        <v>13</v>
      </c>
      <c r="M121" s="16">
        <v>40053</v>
      </c>
      <c r="N121" s="60">
        <f ca="1">VALUE(LEFT(C121))</f>
        <v>0</v>
      </c>
      <c r="O121" s="61">
        <f ca="1">INT(IF(N121&gt;0,1+MAX(N121*N121-(IF(D121="",TODAY()+(5-N121)*15,D121)-TODAY())/4,N121),IF(TODAY()-M121&gt;10,0,1)))</f>
        <v>0</v>
      </c>
      <c r="P121" s="1" t="str">
        <f ca="1">IF(ISNA(VLOOKUP(A121,Projects!B:B,1,FALSE)),"","Yes")</f>
        <v/>
      </c>
    </row>
    <row r="122" spans="1:16">
      <c r="A122" s="4" t="s">
        <v>557</v>
      </c>
      <c r="B122" s="5" t="s">
        <v>21</v>
      </c>
      <c r="C122" s="6" t="s">
        <v>38</v>
      </c>
      <c r="D122" s="11"/>
      <c r="F122" s="13" t="str">
        <f ca="1">VLOOKUP(LEFT(A122,IF(ISERROR(FIND(".",A122)),LEN(A122)+1,FIND(".",A122))-1),WorkList!A:C,3,FALSE)</f>
        <v>Deal Analyser</v>
      </c>
      <c r="G122" s="14" t="str">
        <f ca="1">VLOOKUP(CONCATENATE(A122),WorkList!A:C,3,FALSE)</f>
        <v>Make Deal Analyser Handle Master Trusts</v>
      </c>
      <c r="H122" s="13" t="str">
        <f ca="1">VLOOKUP(CONCATENATE(A122),WorkList!A:D,4,FALSE)</f>
        <v>Neil</v>
      </c>
      <c r="I122" s="15">
        <f ca="1">VLOOKUP(CONCATENATE(A122),WorkList!A:E,5,FALSE)</f>
        <v>40049</v>
      </c>
      <c r="J122" s="49">
        <f ca="1">VLOOKUP(CONCATENATE(A122),WorkList!A:F,6,FALSE)</f>
        <v>4</v>
      </c>
      <c r="K122" s="49" t="str">
        <f ca="1">VLOOKUP(CONCATENATE(A122),WorkList!A:G,7,FALSE)</f>
        <v>NewDevelopment</v>
      </c>
      <c r="L122" s="7" t="s">
        <v>7</v>
      </c>
      <c r="M122" s="16">
        <v>40283</v>
      </c>
      <c r="N122" s="60">
        <f ca="1">VALUE(LEFT(C122))</f>
        <v>2</v>
      </c>
      <c r="O122" s="61">
        <f ca="1">INT(IF(N122&gt;0,1+MAX(N122*N122-(IF(D122="",TODAY()+(5-N122)*15,D122)-TODAY())/4,N122),IF(TODAY()-M122&gt;10,0,1)))</f>
        <v>3</v>
      </c>
      <c r="P122" s="1" t="str">
        <f ca="1">IF(ISNA(VLOOKUP(A122,Projects!B:B,1,FALSE)),"","Yes")</f>
        <v/>
      </c>
    </row>
    <row r="123" spans="1:16">
      <c r="A123" s="4" t="s">
        <v>477</v>
      </c>
      <c r="B123" s="5" t="s">
        <v>29</v>
      </c>
      <c r="C123" s="4" t="s">
        <v>48</v>
      </c>
      <c r="D123" s="11"/>
      <c r="F123" s="13" t="str">
        <f ca="1">VLOOKUP(LEFT(A123,IF(ISERROR(FIND(".",A123)),LEN(A123)+1,FIND(".",A123))-1),WorkList!A:C,3,FALSE)</f>
        <v>Deal Analyser</v>
      </c>
      <c r="G123" s="14" t="str">
        <f ca="1">VLOOKUP(CONCATENATE(A123),WorkList!A:C,3,FALSE)</f>
        <v>Make Deal Analyser use Aggregate library</v>
      </c>
      <c r="H123" s="13" t="str">
        <f ca="1">VLOOKUP(CONCATENATE(A123),WorkList!A:D,4,FALSE)</f>
        <v>Neil</v>
      </c>
      <c r="I123" s="15">
        <f ca="1">VLOOKUP(CONCATENATE(A123),WorkList!A:E,5,FALSE)</f>
        <v>40074</v>
      </c>
      <c r="J123" s="49">
        <f ca="1">VLOOKUP(CONCATENATE(A123),WorkList!A:F,6,FALSE)</f>
        <v>0</v>
      </c>
      <c r="K123" s="49">
        <f ca="1">VLOOKUP(CONCATENATE(A123),WorkList!A:G,7,FALSE)</f>
        <v>0</v>
      </c>
      <c r="L123" s="7" t="s">
        <v>13</v>
      </c>
      <c r="M123" s="16">
        <v>40111</v>
      </c>
      <c r="N123" s="60">
        <f ca="1">VALUE(LEFT(C123))</f>
        <v>0</v>
      </c>
      <c r="O123" s="61">
        <f ca="1">INT(IF(N123&gt;0,1+MAX(N123*N123-(IF(D123="",TODAY()+(5-N123)*15,D123)-TODAY())/4,N123),IF(TODAY()-M123&gt;10,0,1)))</f>
        <v>0</v>
      </c>
      <c r="P123" s="1" t="str">
        <f ca="1">IF(ISNA(VLOOKUP(A123,Projects!B:B,1,FALSE)),"","Yes")</f>
        <v/>
      </c>
    </row>
    <row r="124" spans="1:16">
      <c r="A124" s="4" t="s">
        <v>517</v>
      </c>
      <c r="B124" s="5" t="s">
        <v>29</v>
      </c>
      <c r="C124" s="6" t="s">
        <v>48</v>
      </c>
      <c r="D124" s="11"/>
      <c r="F124" s="13" t="str">
        <f ca="1">VLOOKUP(LEFT(A124,IF(ISERROR(FIND(".",A124)),LEN(A124)+1,FIND(".",A124))-1),WorkList!A:C,3,FALSE)</f>
        <v>Deal Analyser</v>
      </c>
      <c r="G124" s="14" t="str">
        <f ca="1">VLOOKUP(CONCATENATE(A124),WorkList!A:C,3,FALSE)</f>
        <v>Take comments from Peer review of Aggregate library</v>
      </c>
      <c r="H124" s="13" t="str">
        <f ca="1">VLOOKUP(CONCATENATE(A124),WorkList!A:D,4,FALSE)</f>
        <v>Neil</v>
      </c>
      <c r="I124" s="15">
        <f ca="1">VLOOKUP(CONCATENATE(A124),WorkList!A:E,5,FALSE)</f>
        <v>40086</v>
      </c>
      <c r="J124" s="49">
        <f ca="1">VLOOKUP(CONCATENATE(A124),WorkList!A:F,6,FALSE)</f>
        <v>0</v>
      </c>
      <c r="K124" s="49">
        <f ca="1">VLOOKUP(CONCATENATE(A124),WorkList!A:G,7,FALSE)</f>
        <v>0</v>
      </c>
      <c r="L124" s="7" t="s">
        <v>13</v>
      </c>
      <c r="M124" s="16">
        <v>40101</v>
      </c>
      <c r="N124" s="60">
        <f ca="1">VALUE(LEFT(C124))</f>
        <v>0</v>
      </c>
      <c r="O124" s="61">
        <f ca="1">INT(IF(N124&gt;0,1+MAX(N124*N124-(IF(D124="",TODAY()+(5-N124)*15,D124)-TODAY())/4,N124),IF(TODAY()-M124&gt;10,0,1)))</f>
        <v>0</v>
      </c>
      <c r="P124" s="1" t="str">
        <f ca="1">IF(ISNA(VLOOKUP(A124,Projects!B:B,1,FALSE)),"","Yes")</f>
        <v/>
      </c>
    </row>
    <row r="125" spans="1:16">
      <c r="A125" s="4" t="s">
        <v>631</v>
      </c>
      <c r="B125" s="5" t="s">
        <v>21</v>
      </c>
      <c r="C125" s="7" t="s">
        <v>38</v>
      </c>
      <c r="D125" s="11"/>
      <c r="F125" s="13" t="str">
        <f ca="1">VLOOKUP(LEFT(A125,IF(ISERROR(FIND(".",A125)),LEN(A125)+1,FIND(".",A125))-1),WorkList!A:C,3,FALSE)</f>
        <v>Deal Analyser</v>
      </c>
      <c r="G125" s="14" t="str">
        <f ca="1">VLOOKUP(CONCATENATE(A125),WorkList!A:C,3,FALSE)</f>
        <v>Prevent commas and semi-colons in aggregate names</v>
      </c>
      <c r="H125" s="13" t="str">
        <f ca="1">VLOOKUP(CONCATENATE(A125),WorkList!A:D,4,FALSE)</f>
        <v>Gerald</v>
      </c>
      <c r="I125" s="15">
        <f ca="1">VLOOKUP(CONCATENATE(A125),WorkList!A:E,5,FALSE)</f>
        <v>40114</v>
      </c>
      <c r="J125" s="49">
        <f ca="1">VLOOKUP(CONCATENATE(A125),WorkList!A:F,6,FALSE)</f>
        <v>0.5</v>
      </c>
      <c r="K125" s="49" t="str">
        <f ca="1">VLOOKUP(CONCATENATE(A125),WorkList!A:G,7,FALSE)</f>
        <v>Maintenance</v>
      </c>
      <c r="L125" s="7" t="s">
        <v>7</v>
      </c>
      <c r="M125" s="16">
        <v>40283</v>
      </c>
      <c r="N125" s="60">
        <f ca="1">VALUE(LEFT(C125))</f>
        <v>2</v>
      </c>
      <c r="O125" s="61">
        <f ca="1">INT(IF(N125&gt;0,1+MAX(N125*N125-(IF(D125="",TODAY()+(5-N125)*15,D125)-TODAY())/4,N125),IF(TODAY()-M125&gt;10,0,1)))</f>
        <v>3</v>
      </c>
      <c r="P125" s="1" t="str">
        <f ca="1">IF(ISNA(VLOOKUP(A125,Projects!B:B,1,FALSE)),"","Yes")</f>
        <v/>
      </c>
    </row>
    <row r="126" spans="1:16">
      <c r="A126" s="4" t="s">
        <v>1107</v>
      </c>
      <c r="B126" s="5" t="s">
        <v>11</v>
      </c>
      <c r="C126" s="7" t="s">
        <v>48</v>
      </c>
      <c r="D126" s="11">
        <v>40304</v>
      </c>
      <c r="F126" s="13" t="str">
        <f ca="1">VLOOKUP(LEFT(A126,IF(ISERROR(FIND(".",A126)),LEN(A126)+1,FIND(".",A126))-1),WorkList!A:C,3,FALSE)</f>
        <v>Deal Analyser</v>
      </c>
      <c r="G126" s="14" t="str">
        <f ca="1">VLOOKUP(CONCATENATE(A126),WorkList!A:C,3,FALSE)</f>
        <v>Use DealId in database not BBG Deal Name</v>
      </c>
      <c r="H126" s="13" t="str">
        <f ca="1">VLOOKUP(CONCATENATE(A126),WorkList!A:D,4,FALSE)</f>
        <v>Neil</v>
      </c>
      <c r="I126" s="15">
        <f ca="1">VLOOKUP(CONCATENATE(A126),WorkList!A:E,5,FALSE)</f>
        <v>40302</v>
      </c>
      <c r="J126" s="49">
        <f ca="1">VLOOKUP(CONCATENATE(A126),WorkList!A:F,6,FALSE)</f>
        <v>2</v>
      </c>
      <c r="K126" s="49" t="str">
        <f ca="1">VLOOKUP(CONCATENATE(A126),WorkList!A:G,7,FALSE)</f>
        <v>Maintenance</v>
      </c>
      <c r="L126" s="7" t="s">
        <v>13</v>
      </c>
      <c r="M126" s="16">
        <v>40304</v>
      </c>
      <c r="N126" s="60">
        <f ca="1">VALUE(LEFT(C126))</f>
        <v>0</v>
      </c>
      <c r="O126" s="61">
        <f ca="1">INT(IF(N126&gt;0,1+MAX(N126*N126-(IF(D126="",TODAY()+(5-N126)*15,D126)-TODAY())/4,N126),IF(TODAY()-M126&gt;10,0,1)))</f>
        <v>0</v>
      </c>
      <c r="P126" s="1" t="str">
        <f ca="1">IF(ISNA(VLOOKUP(A126,Projects!B:B,1,FALSE)),"","Yes")</f>
        <v/>
      </c>
    </row>
    <row r="127" spans="1:16">
      <c r="A127" s="4" t="s">
        <v>234</v>
      </c>
      <c r="B127" s="5" t="s">
        <v>11</v>
      </c>
      <c r="C127" s="6" t="s">
        <v>48</v>
      </c>
      <c r="D127" s="11"/>
      <c r="F127" s="13" t="str">
        <f ca="1">VLOOKUP(LEFT(A127,IF(ISERROR(FIND(".",A127)),LEN(A127)+1,FIND(".",A127))-1),WorkList!A:C,3,FALSE)</f>
        <v>Deal Analyser</v>
      </c>
      <c r="G127" s="14" t="str">
        <f ca="1">VLOOKUP(CONCATENATE(A127),WorkList!A:C,3,FALSE)</f>
        <v>Write detailed support notes for ABSNet</v>
      </c>
      <c r="H127" s="13" t="str">
        <f ca="1">VLOOKUP(CONCATENATE(A127),WorkList!A:D,4,FALSE)</f>
        <v>Neil</v>
      </c>
      <c r="I127" s="15">
        <f ca="1">VLOOKUP(CONCATENATE(A127),WorkList!A:E,5,FALSE)</f>
        <v>39960</v>
      </c>
      <c r="J127" s="49">
        <f ca="1">VLOOKUP(CONCATENATE(A127),WorkList!A:F,6,FALSE)</f>
        <v>0</v>
      </c>
      <c r="K127" s="49">
        <f ca="1">VLOOKUP(CONCATENATE(A127),WorkList!A:G,7,FALSE)</f>
        <v>0</v>
      </c>
      <c r="L127" s="7" t="s">
        <v>13</v>
      </c>
      <c r="M127" s="16">
        <v>39979</v>
      </c>
      <c r="N127" s="60">
        <f ca="1">VALUE(LEFT(C127))</f>
        <v>0</v>
      </c>
      <c r="O127" s="61">
        <f ca="1">INT(IF(N127&gt;0,1+MAX(N127*N127-(IF(D127="",TODAY()+(5-N127)*15,D127)-TODAY())/4,N127),IF(TODAY()-M127&gt;10,0,1)))</f>
        <v>0</v>
      </c>
      <c r="P127" s="1" t="str">
        <f ca="1">IF(ISNA(VLOOKUP(A127,Projects!B:B,1,FALSE)),"","Yes")</f>
        <v/>
      </c>
    </row>
    <row r="128" spans="1:16">
      <c r="A128" s="4" t="s">
        <v>236</v>
      </c>
      <c r="B128" s="5" t="s">
        <v>37</v>
      </c>
      <c r="C128" s="6" t="s">
        <v>48</v>
      </c>
      <c r="D128" s="11"/>
      <c r="F128" s="13" t="str">
        <f ca="1">VLOOKUP(LEFT(A128,IF(ISERROR(FIND(".",A128)),LEN(A128)+1,FIND(".",A128))-1),WorkList!A:C,3,FALSE)</f>
        <v>Deal Analyser</v>
      </c>
      <c r="G128" s="14" t="str">
        <f ca="1">VLOOKUP(CONCATENATE(A128),WorkList!A:C,3,FALSE)</f>
        <v>Investigate and resolve issues with Italian and Dutch loans</v>
      </c>
      <c r="H128" s="13" t="str">
        <f ca="1">VLOOKUP(CONCATENATE(A128),WorkList!A:D,4,FALSE)</f>
        <v>David Covey</v>
      </c>
      <c r="I128" s="15">
        <f ca="1">VLOOKUP(CONCATENATE(A128),WorkList!A:E,5,FALSE)</f>
        <v>39960</v>
      </c>
      <c r="J128" s="49">
        <f ca="1">VLOOKUP(CONCATENATE(A128),WorkList!A:F,6,FALSE)</f>
        <v>0</v>
      </c>
      <c r="K128" s="49">
        <f ca="1">VLOOKUP(CONCATENATE(A128),WorkList!A:G,7,FALSE)</f>
        <v>0</v>
      </c>
      <c r="L128" s="7" t="s">
        <v>13</v>
      </c>
      <c r="M128" s="16">
        <v>39972</v>
      </c>
      <c r="N128" s="60">
        <f ca="1">VALUE(LEFT(C128))</f>
        <v>0</v>
      </c>
      <c r="O128" s="61">
        <f ca="1">INT(IF(N128&gt;0,1+MAX(N128*N128-(IF(D128="",TODAY()+(5-N128)*15,D128)-TODAY())/4,N128),IF(TODAY()-M128&gt;10,0,1)))</f>
        <v>0</v>
      </c>
      <c r="P128" s="1" t="str">
        <f ca="1">IF(ISNA(VLOOKUP(A128,Projects!B:B,1,FALSE)),"","Yes")</f>
        <v/>
      </c>
    </row>
    <row r="129" spans="1:16">
      <c r="A129" s="4" t="s">
        <v>286</v>
      </c>
      <c r="B129" s="5" t="s">
        <v>11</v>
      </c>
      <c r="C129" s="6" t="s">
        <v>48</v>
      </c>
      <c r="D129" s="11"/>
      <c r="F129" s="13" t="str">
        <f ca="1">VLOOKUP(LEFT(A129,IF(ISERROR(FIND(".",A129)),LEN(A129)+1,FIND(".",A129))-1),WorkList!A:C,3,FALSE)</f>
        <v>Deal Analyser</v>
      </c>
      <c r="G129" s="14" t="str">
        <f ca="1">VLOOKUP(CONCATENATE(A129),WorkList!A:C,3,FALSE)</f>
        <v>Merge sub pools into main pool - can't be done</v>
      </c>
      <c r="H129" s="13" t="str">
        <f ca="1">VLOOKUP(CONCATENATE(A129),WorkList!A:D,4,FALSE)</f>
        <v>Neil</v>
      </c>
      <c r="I129" s="15">
        <f ca="1">VLOOKUP(CONCATENATE(A129),WorkList!A:E,5,FALSE)</f>
        <v>39997</v>
      </c>
      <c r="J129" s="49">
        <f ca="1">VLOOKUP(CONCATENATE(A129),WorkList!A:F,6,FALSE)</f>
        <v>0</v>
      </c>
      <c r="K129" s="49">
        <f ca="1">VLOOKUP(CONCATENATE(A129),WorkList!A:G,7,FALSE)</f>
        <v>0</v>
      </c>
      <c r="L129" s="7" t="s">
        <v>13</v>
      </c>
      <c r="M129" s="16">
        <v>39997</v>
      </c>
      <c r="N129" s="60">
        <f ca="1">VALUE(LEFT(C129))</f>
        <v>0</v>
      </c>
      <c r="O129" s="61">
        <f ca="1">INT(IF(N129&gt;0,1+MAX(N129*N129-(IF(D129="",TODAY()+(5-N129)*15,D129)-TODAY())/4,N129),IF(TODAY()-M129&gt;10,0,1)))</f>
        <v>0</v>
      </c>
      <c r="P129" s="1" t="str">
        <f ca="1">IF(ISNA(VLOOKUP(A129,Projects!B:B,1,FALSE)),"","Yes")</f>
        <v/>
      </c>
    </row>
    <row r="130" spans="1:16" ht="38.25">
      <c r="A130" s="4" t="s">
        <v>302</v>
      </c>
      <c r="B130" s="5" t="s">
        <v>21</v>
      </c>
      <c r="C130" s="6" t="s">
        <v>38</v>
      </c>
      <c r="D130" s="11"/>
      <c r="F130" s="13" t="str">
        <f ca="1">VLOOKUP(LEFT(A130,IF(ISERROR(FIND(".",A130)),LEN(A130)+1,FIND(".",A130))-1),WorkList!A:C,3,FALSE)</f>
        <v>Deal Analyser</v>
      </c>
      <c r="G130" s="14" t="str">
        <f ca="1">VLOOKUP(CONCATENATE(A130),WorkList!A:C,3,FALSE)</f>
        <v>Add checks to the ABSNet data loader to check for any deals missing from the feed, and to email the result to the group.</v>
      </c>
      <c r="H130" s="13" t="str">
        <f ca="1">VLOOKUP(CONCATENATE(A130),WorkList!A:D,4,FALSE)</f>
        <v>Neil</v>
      </c>
      <c r="I130" s="15">
        <f ca="1">VLOOKUP(CONCATENATE(A130),WorkList!A:E,5,FALSE)</f>
        <v>40001</v>
      </c>
      <c r="J130" s="49">
        <f ca="1">VLOOKUP(CONCATENATE(A130),WorkList!A:F,6,FALSE)</f>
        <v>4</v>
      </c>
      <c r="K130" s="49" t="str">
        <f ca="1">VLOOKUP(CONCATENATE(A130),WorkList!A:G,7,FALSE)</f>
        <v>Enhancement</v>
      </c>
      <c r="L130" s="7" t="s">
        <v>7</v>
      </c>
      <c r="M130" s="16">
        <v>40283</v>
      </c>
      <c r="N130" s="60">
        <f ca="1">VALUE(LEFT(C130))</f>
        <v>2</v>
      </c>
      <c r="O130" s="61">
        <f ca="1">INT(IF(N130&gt;0,1+MAX(N130*N130-(IF(D130="",TODAY()+(5-N130)*15,D130)-TODAY())/4,N130),IF(TODAY()-M130&gt;10,0,1)))</f>
        <v>3</v>
      </c>
      <c r="P130" s="1" t="str">
        <f ca="1">IF(ISNA(VLOOKUP(A130,Projects!B:B,1,FALSE)),"","Yes")</f>
        <v/>
      </c>
    </row>
    <row r="131" spans="1:16">
      <c r="A131" s="4" t="s">
        <v>728</v>
      </c>
      <c r="B131" s="5" t="s">
        <v>29</v>
      </c>
      <c r="C131" s="4" t="s">
        <v>48</v>
      </c>
      <c r="D131" s="11"/>
      <c r="F131" s="13" t="str">
        <f ca="1">VLOOKUP(LEFT(A131,IF(ISERROR(FIND(".",A131)),LEN(A131)+1,FIND(".",A131))-1),WorkList!A:C,3,FALSE)</f>
        <v>Deal Analyser</v>
      </c>
      <c r="G131" s="14" t="str">
        <f ca="1">VLOOKUP(CONCATENATE(A131),WorkList!A:C,3,FALSE)</f>
        <v>Update ABSNet loader for latest DB and email notification</v>
      </c>
      <c r="H131" s="13" t="str">
        <f ca="1">VLOOKUP(CONCATENATE(A131),WorkList!A:D,4,FALSE)</f>
        <v>Neil</v>
      </c>
      <c r="I131" s="15">
        <f ca="1">VLOOKUP(CONCATENATE(A131),WorkList!A:E,5,FALSE)</f>
        <v>40147</v>
      </c>
      <c r="J131" s="49">
        <f ca="1">VLOOKUP(CONCATENATE(A131),WorkList!A:F,6,FALSE)</f>
        <v>1</v>
      </c>
      <c r="K131" s="49">
        <f ca="1">VLOOKUP(CONCATENATE(A131),WorkList!A:G,7,FALSE)</f>
        <v>0</v>
      </c>
      <c r="L131" s="7" t="s">
        <v>13</v>
      </c>
      <c r="M131" s="16">
        <v>40150</v>
      </c>
      <c r="N131" s="60">
        <f ca="1">VALUE(LEFT(C131))</f>
        <v>0</v>
      </c>
      <c r="O131" s="61">
        <f ca="1">INT(IF(N131&gt;0,1+MAX(N131*N131-(IF(D131="",TODAY()+(5-N131)*15,D131)-TODAY())/4,N131),IF(TODAY()-M131&gt;10,0,1)))</f>
        <v>0</v>
      </c>
      <c r="P131" s="1" t="str">
        <f ca="1">IF(ISNA(VLOOKUP(A131,Projects!B:B,1,FALSE)),"","Yes")</f>
        <v/>
      </c>
    </row>
    <row r="132" spans="1:16">
      <c r="A132" s="4" t="s">
        <v>929</v>
      </c>
      <c r="B132" s="5" t="s">
        <v>29</v>
      </c>
      <c r="C132" s="6" t="s">
        <v>48</v>
      </c>
      <c r="D132" s="11"/>
      <c r="F132" s="13" t="str">
        <f ca="1">VLOOKUP(LEFT(A132,IF(ISERROR(FIND(".",A132)),LEN(A132)+1,FIND(".",A132))-1),WorkList!A:C,3,FALSE)</f>
        <v>Deal Analyser</v>
      </c>
      <c r="G132" s="14" t="str">
        <f ca="1">VLOOKUP(CONCATENATE(A132),WorkList!A:C,3,FALSE)</f>
        <v>Update ABSNet loader for new SENG schema</v>
      </c>
      <c r="H132" s="13" t="str">
        <f ca="1">VLOOKUP(CONCATENATE(A132),WorkList!A:D,4,FALSE)</f>
        <v>Ruth</v>
      </c>
      <c r="I132" s="15">
        <f ca="1">VLOOKUP(CONCATENATE(A132),WorkList!A:E,5,FALSE)</f>
        <v>40233</v>
      </c>
      <c r="J132" s="49">
        <v>5</v>
      </c>
      <c r="K132" s="49">
        <f ca="1">VLOOKUP(CONCATENATE(A132),WorkList!A:G,7,FALSE)</f>
        <v>0</v>
      </c>
      <c r="L132" s="7" t="s">
        <v>13</v>
      </c>
      <c r="M132" s="16">
        <v>40252</v>
      </c>
      <c r="N132" s="60">
        <f ca="1">VALUE(LEFT(C132))</f>
        <v>0</v>
      </c>
      <c r="O132" s="61">
        <f ca="1">INT(IF(N132&gt;0,1+MAX(N132*N132-(IF(D132="",TODAY()+(5-N132)*15,D132)-TODAY())/4,N132),IF(TODAY()-M132&gt;10,0,1)))</f>
        <v>0</v>
      </c>
      <c r="P132" s="1" t="str">
        <f ca="1">IF(ISNA(VLOOKUP(A132,Projects!B:B,1,FALSE)),"","Yes")</f>
        <v/>
      </c>
    </row>
    <row r="133" spans="1:16">
      <c r="A133" s="4" t="s">
        <v>1184</v>
      </c>
      <c r="B133" s="5" t="s">
        <v>21</v>
      </c>
      <c r="C133" s="7" t="s">
        <v>10</v>
      </c>
      <c r="F133" s="13" t="str">
        <f ca="1">VLOOKUP(LEFT(A133,IF(ISERROR(FIND(".",A133)),LEN(A133)+1,FIND(".",A133))-1),WorkList!A:C,3,FALSE)</f>
        <v>Deal Analyser</v>
      </c>
      <c r="G133" s="14" t="str">
        <f ca="1">VLOOKUP(CONCATENATE(A133),WorkList!A:C,3,FALSE)</f>
        <v>Clean up ABS Net Log and other fixes</v>
      </c>
      <c r="H133" s="13" t="str">
        <f ca="1">VLOOKUP(CONCATENATE(A133),WorkList!A:D,4,FALSE)</f>
        <v>Neil</v>
      </c>
      <c r="I133" s="15">
        <f ca="1">VLOOKUP(CONCATENATE(A133),WorkList!A:E,5,FALSE)</f>
        <v>40438</v>
      </c>
      <c r="J133" s="49">
        <f ca="1">VLOOKUP(CONCATENATE(A133),WorkList!A:F,6,FALSE)</f>
        <v>2</v>
      </c>
      <c r="K133" s="49" t="str">
        <f ca="1">VLOOKUP(CONCATENATE(A133),WorkList!A:G,7,FALSE)</f>
        <v>Maintenance</v>
      </c>
      <c r="L133" s="7" t="s">
        <v>7</v>
      </c>
      <c r="M133" s="16">
        <v>40330</v>
      </c>
      <c r="N133" s="60">
        <f ca="1">VALUE(LEFT(C133))</f>
        <v>3</v>
      </c>
      <c r="O133" s="61">
        <f ca="1">INT(IF(N133&gt;0,1+MAX(N133*N133-(IF(D133="",TODAY()+(5-N133)*15,D133)-TODAY())/4,N133),IF(TODAY()-M133&gt;10,0,1)))</f>
        <v>4</v>
      </c>
      <c r="P133" s="1" t="str">
        <f ca="1">IF(ISNA(VLOOKUP(A133,Projects!B:B,1,FALSE)),"","Yes")</f>
        <v/>
      </c>
    </row>
    <row r="134" spans="1:16" ht="38.25">
      <c r="A134" s="4" t="s">
        <v>1886</v>
      </c>
      <c r="B134" s="5" t="s">
        <v>21</v>
      </c>
      <c r="C134" s="7" t="s">
        <v>1087</v>
      </c>
      <c r="F134" s="13" t="str">
        <f ca="1">VLOOKUP(LEFT(A134,IF(ISERROR(FIND(".",A134)),LEN(A134)+1,FIND(".",A134))-1),WorkList!A:C,3,FALSE)</f>
        <v>Deal Analyser</v>
      </c>
      <c r="G134" s="14" t="str">
        <f ca="1">VLOOKUP(CONCATENATE(A134),WorkList!A:C,3,FALSE)</f>
        <v>Modify loader to cope with shared and varing POOL data - No need, since it incrementally adds pool data if it is missing</v>
      </c>
      <c r="H134" s="13" t="str">
        <f ca="1">VLOOKUP(CONCATENATE(A134),WorkList!A:D,4,FALSE)</f>
        <v>Neil</v>
      </c>
      <c r="I134" s="15">
        <f ca="1">VLOOKUP(CONCATENATE(A134),WorkList!A:E,5,FALSE)</f>
        <v>40590</v>
      </c>
      <c r="J134" s="49">
        <f ca="1">VLOOKUP(CONCATENATE(A134),WorkList!A:F,6,FALSE)</f>
        <v>2</v>
      </c>
      <c r="K134" s="49" t="str">
        <f ca="1">VLOOKUP(CONCATENATE(A134),WorkList!A:G,7,FALSE)</f>
        <v>Maintenance</v>
      </c>
      <c r="L134" s="7" t="s">
        <v>1096</v>
      </c>
      <c r="M134" s="16">
        <v>40590</v>
      </c>
      <c r="N134" s="60">
        <f ca="1">VALUE(LEFT(C134))</f>
        <v>0</v>
      </c>
      <c r="O134" s="61">
        <f ca="1">INT(IF(N134&gt;0,1+MAX(N134*N134-(IF(D134="",TODAY()+(5-N134)*15,D134)-TODAY())/4,N134),IF(TODAY()-M134&gt;10,0,1)))</f>
        <v>1</v>
      </c>
      <c r="P134" s="1" t="str">
        <f ca="1">IF(ISNA(VLOOKUP(A134,Projects!B:B,1,FALSE)),"","Yes")</f>
        <v/>
      </c>
    </row>
    <row r="135" spans="1:16">
      <c r="A135" s="4" t="s">
        <v>1952</v>
      </c>
      <c r="B135" s="5" t="s">
        <v>11</v>
      </c>
      <c r="C135" s="7" t="s">
        <v>12</v>
      </c>
      <c r="F135" s="13" t="str">
        <f ca="1">VLOOKUP(LEFT(A135,IF(ISERROR(FIND(".",A135)),LEN(A135)+1,FIND(".",A135))-1),WorkList!A:C,3,FALSE)</f>
        <v>Deal Analyser</v>
      </c>
      <c r="G135" s="14" t="str">
        <f ca="1">VLOOKUP(CONCATENATE(A135),WorkList!A:C,3,FALSE)</f>
        <v>Bad pool performance data for HMI 2006-1X</v>
      </c>
      <c r="H135" s="13" t="str">
        <f ca="1">VLOOKUP(CONCATENATE(A135),WorkList!A:D,4,FALSE)</f>
        <v>David</v>
      </c>
      <c r="I135" s="15">
        <f ca="1">VLOOKUP(CONCATENATE(A135),WorkList!A:E,5,FALSE)</f>
        <v>40590</v>
      </c>
      <c r="J135" s="49">
        <f ca="1">VLOOKUP(CONCATENATE(A135),WorkList!A:F,6,FALSE)</f>
        <v>1</v>
      </c>
      <c r="K135" s="49" t="str">
        <f ca="1">VLOOKUP(CONCATENATE(A135),WorkList!A:G,7,FALSE)</f>
        <v>Support</v>
      </c>
      <c r="L135" s="7" t="s">
        <v>5</v>
      </c>
      <c r="M135" s="16">
        <v>40590</v>
      </c>
      <c r="N135" s="60">
        <f ca="1">VALUE(LEFT(C135))</f>
        <v>4</v>
      </c>
      <c r="O135" s="61">
        <f ca="1">INT(IF(N135&gt;0,1+MAX(N135*N135-(IF(D135="",TODAY()+(5-N135)*15,D135)-TODAY())/4,N135),IF(TODAY()-M135&gt;10,0,1)))</f>
        <v>13</v>
      </c>
      <c r="P135" s="1" t="str">
        <f ca="1">IF(ISNA(VLOOKUP(A135,Projects!B:B,1,FALSE)),"","Yes")</f>
        <v/>
      </c>
    </row>
    <row r="136" spans="1:16">
      <c r="A136" s="4" t="s">
        <v>546</v>
      </c>
      <c r="B136" s="5" t="s">
        <v>21</v>
      </c>
      <c r="C136" s="6" t="s">
        <v>197</v>
      </c>
      <c r="D136" s="11"/>
      <c r="F136" s="13" t="str">
        <f ca="1">VLOOKUP(LEFT(A136,IF(ISERROR(FIND(".",A136)),LEN(A136)+1,FIND(".",A136))-1),WorkList!A:C,3,FALSE)</f>
        <v>Deal Analyser</v>
      </c>
      <c r="G136" s="14" t="str">
        <f ca="1">VLOOKUP(CONCATENATE(A136),WorkList!A:C,3,FALSE)</f>
        <v>Plan design for Deal Level Delinquencies</v>
      </c>
      <c r="H136" s="13" t="str">
        <f ca="1">VLOOKUP(CONCATENATE(A136),WorkList!A:D,4,FALSE)</f>
        <v>Danny</v>
      </c>
      <c r="I136" s="15">
        <f ca="1">VLOOKUP(CONCATENATE(A136),WorkList!A:E,5,FALSE)</f>
        <v>40105</v>
      </c>
      <c r="J136" s="49">
        <f ca="1">VLOOKUP(CONCATENATE(A136),WorkList!A:F,6,FALSE)</f>
        <v>1</v>
      </c>
      <c r="K136" s="49" t="str">
        <f ca="1">VLOOKUP(CONCATENATE(A136),WorkList!A:G,7,FALSE)</f>
        <v>NewDevelopment</v>
      </c>
      <c r="L136" s="7" t="s">
        <v>7</v>
      </c>
      <c r="M136" s="16">
        <v>40283</v>
      </c>
      <c r="N136" s="60">
        <f ca="1">VALUE(LEFT(C136))</f>
        <v>1</v>
      </c>
      <c r="O136" s="61">
        <f ca="1">INT(IF(N136&gt;0,1+MAX(N136*N136-(IF(D136="",TODAY()+(5-N136)*15,D136)-TODAY())/4,N136),IF(TODAY()-M136&gt;10,0,1)))</f>
        <v>2</v>
      </c>
      <c r="P136" s="1" t="str">
        <f ca="1">IF(ISNA(VLOOKUP(A136,Projects!B:B,1,FALSE)),"","Yes")</f>
        <v/>
      </c>
    </row>
    <row r="137" spans="1:16">
      <c r="A137" s="4" t="s">
        <v>690</v>
      </c>
      <c r="B137" s="5" t="s">
        <v>21</v>
      </c>
      <c r="C137" s="6" t="s">
        <v>38</v>
      </c>
      <c r="D137" s="11"/>
      <c r="F137" s="13" t="str">
        <f ca="1">VLOOKUP(LEFT(A137,IF(ISERROR(FIND(".",A137)),LEN(A137)+1,FIND(".",A137))-1),WorkList!A:C,3,FALSE)</f>
        <v>Deal Analyser</v>
      </c>
      <c r="G137" s="14" t="str">
        <f ca="1">VLOOKUP(CONCATENATE(A137),WorkList!A:C,3,FALSE)</f>
        <v>Implement Deal Level Delinquencies</v>
      </c>
      <c r="H137" s="13" t="str">
        <f ca="1">VLOOKUP(CONCATENATE(A137),WorkList!A:D,4,FALSE)</f>
        <v>Danny</v>
      </c>
      <c r="I137" s="15">
        <f ca="1">VLOOKUP(CONCATENATE(A137),WorkList!A:E,5,FALSE)</f>
        <v>40135</v>
      </c>
      <c r="J137" s="49">
        <f ca="1">VLOOKUP(CONCATENATE(A137),WorkList!A:F,6,FALSE)</f>
        <v>5</v>
      </c>
      <c r="K137" s="49" t="str">
        <f ca="1">VLOOKUP(CONCATENATE(A137),WorkList!A:G,7,FALSE)</f>
        <v>NewDevelopment</v>
      </c>
      <c r="L137" s="7" t="s">
        <v>7</v>
      </c>
      <c r="M137" s="16">
        <v>40283</v>
      </c>
      <c r="N137" s="60">
        <f ca="1">VALUE(LEFT(C137))</f>
        <v>2</v>
      </c>
      <c r="O137" s="61">
        <f ca="1">INT(IF(N137&gt;0,1+MAX(N137*N137-(IF(D137="",TODAY()+(5-N137)*15,D137)-TODAY())/4,N137),IF(TODAY()-M137&gt;10,0,1)))</f>
        <v>3</v>
      </c>
      <c r="P137" s="1" t="str">
        <f ca="1">IF(ISNA(VLOOKUP(A137,Projects!B:B,1,FALSE)),"","Yes")</f>
        <v/>
      </c>
    </row>
    <row r="138" spans="1:16">
      <c r="A138" s="4" t="s">
        <v>732</v>
      </c>
      <c r="B138" s="5" t="s">
        <v>29</v>
      </c>
      <c r="C138" s="4" t="s">
        <v>48</v>
      </c>
      <c r="D138" s="11"/>
      <c r="F138" s="13" t="str">
        <f ca="1">VLOOKUP(LEFT(A138,IF(ISERROR(FIND(".",A138)),LEN(A138)+1,FIND(".",A138))-1),WorkList!A:C,3,FALSE)</f>
        <v>Deal Analyser</v>
      </c>
      <c r="G138" s="14" t="str">
        <f ca="1">VLOOKUP(CONCATENATE(A138),WorkList!A:C,3,FALSE)</f>
        <v>CE - Determine generic CE algorithm</v>
      </c>
      <c r="H138" s="13" t="str">
        <f ca="1">VLOOKUP(CONCATENATE(A138),WorkList!A:D,4,FALSE)</f>
        <v>Ajay</v>
      </c>
      <c r="I138" s="15">
        <f ca="1">VLOOKUP(CONCATENATE(A138),WorkList!A:E,5,FALSE)</f>
        <v>40304</v>
      </c>
      <c r="J138" s="49">
        <v>15</v>
      </c>
      <c r="K138" s="49">
        <f ca="1">VLOOKUP(CONCATENATE(A138),WorkList!A:G,7,FALSE)</f>
        <v>0</v>
      </c>
      <c r="L138" s="7" t="s">
        <v>13</v>
      </c>
      <c r="M138" s="16">
        <v>40150</v>
      </c>
      <c r="N138" s="60">
        <f ca="1">VALUE(LEFT(C138))</f>
        <v>0</v>
      </c>
      <c r="O138" s="61">
        <f ca="1">INT(IF(N138&gt;0,1+MAX(N138*N138-(IF(D138="",TODAY()+(5-N138)*15,D138)-TODAY())/4,N138),IF(TODAY()-M138&gt;10,0,1)))</f>
        <v>0</v>
      </c>
      <c r="P138" s="1" t="str">
        <f ca="1">IF(ISNA(VLOOKUP(A138,Projects!B:B,1,FALSE)),"","Yes")</f>
        <v/>
      </c>
    </row>
    <row r="139" spans="1:16">
      <c r="A139" s="4" t="s">
        <v>1123</v>
      </c>
      <c r="B139" s="5" t="s">
        <v>919</v>
      </c>
      <c r="C139" s="6" t="s">
        <v>48</v>
      </c>
      <c r="D139" s="11">
        <v>40312</v>
      </c>
      <c r="F139" s="13" t="str">
        <f ca="1">VLOOKUP(LEFT(A139,IF(ISERROR(FIND(".",A139)),LEN(A139)+1,FIND(".",A139))-1),WorkList!A:C,3,FALSE)</f>
        <v>Deal Analyser</v>
      </c>
      <c r="G139" s="14" t="str">
        <f ca="1">VLOOKUP(CONCATENATE(A139),WorkList!A:C,3,FALSE)</f>
        <v>CE - Implement updated algorithm as specified by Ajay</v>
      </c>
      <c r="H139" s="13" t="str">
        <f ca="1">VLOOKUP(CONCATENATE(A139),WorkList!A:D,4,FALSE)</f>
        <v>Pramendra</v>
      </c>
      <c r="I139" s="15">
        <f ca="1">VLOOKUP(CONCATENATE(A139),WorkList!A:E,5,FALSE)</f>
        <v>40304</v>
      </c>
      <c r="J139" s="49">
        <f ca="1">VLOOKUP(CONCATENATE(A139),WorkList!A:F,6,FALSE)</f>
        <v>2</v>
      </c>
      <c r="K139" s="49" t="str">
        <f ca="1">VLOOKUP(CONCATENATE(A139),WorkList!A:G,7,FALSE)</f>
        <v>NewDevelopment</v>
      </c>
      <c r="L139" s="7" t="s">
        <v>13</v>
      </c>
      <c r="M139" s="16">
        <v>40336</v>
      </c>
      <c r="N139" s="60">
        <f ca="1">VALUE(LEFT(C139))</f>
        <v>0</v>
      </c>
      <c r="O139" s="61">
        <f ca="1">INT(IF(N139&gt;0,1+MAX(N139*N139-(IF(D139="",TODAY()+(5-N139)*15,D139)-TODAY())/4,N139),IF(TODAY()-M139&gt;10,0,1)))</f>
        <v>0</v>
      </c>
      <c r="P139" s="1" t="str">
        <f ca="1">IF(ISNA(VLOOKUP(A139,Projects!B:B,1,FALSE)),"","Yes")</f>
        <v/>
      </c>
    </row>
    <row r="140" spans="1:16">
      <c r="A140" s="4" t="s">
        <v>1221</v>
      </c>
      <c r="B140" s="5" t="s">
        <v>919</v>
      </c>
      <c r="C140" s="6" t="s">
        <v>48</v>
      </c>
      <c r="D140" s="11">
        <v>40330</v>
      </c>
      <c r="F140" s="13" t="str">
        <f ca="1">VLOOKUP(LEFT(A140,IF(ISERROR(FIND(".",A140)),LEN(A140)+1,FIND(".",A140))-1),WorkList!A:C,3,FALSE)</f>
        <v>Deal Analyser</v>
      </c>
      <c r="G140" s="14" t="str">
        <f ca="1">VLOOKUP(CONCATENATE(A140),WorkList!A:C,3,FALSE)</f>
        <v>CE - Release CE to Prod for June conference</v>
      </c>
      <c r="H140" s="13" t="str">
        <f ca="1">VLOOKUP(CONCATENATE(A140),WorkList!A:D,4,FALSE)</f>
        <v>Pramendra</v>
      </c>
      <c r="I140" s="15">
        <f ca="1">VLOOKUP(CONCATENATE(A140),WorkList!A:E,5,FALSE)</f>
        <v>40304</v>
      </c>
      <c r="J140" s="49">
        <f ca="1">VLOOKUP(CONCATENATE(A140),WorkList!A:F,6,FALSE)</f>
        <v>15</v>
      </c>
      <c r="K140" s="49" t="str">
        <f ca="1">VLOOKUP(CONCATENATE(A140),WorkList!A:G,7,FALSE)</f>
        <v>NewDevelopment</v>
      </c>
      <c r="L140" s="7" t="s">
        <v>13</v>
      </c>
      <c r="M140" s="16">
        <v>40350</v>
      </c>
      <c r="N140" s="60">
        <f ca="1">VALUE(LEFT(C140))</f>
        <v>0</v>
      </c>
      <c r="O140" s="61">
        <f ca="1">INT(IF(N140&gt;0,1+MAX(N140*N140-(IF(D140="",TODAY()+(5-N140)*15,D140)-TODAY())/4,N140),IF(TODAY()-M140&gt;10,0,1)))</f>
        <v>0</v>
      </c>
      <c r="P140" s="1" t="str">
        <f ca="1">IF(ISNA(VLOOKUP(A140,Projects!B:B,1,FALSE)),"","Yes")</f>
        <v/>
      </c>
    </row>
    <row r="141" spans="1:16" ht="25.5">
      <c r="A141" s="4" t="s">
        <v>1175</v>
      </c>
      <c r="B141" s="5" t="s">
        <v>29</v>
      </c>
      <c r="C141" s="4" t="s">
        <v>12</v>
      </c>
      <c r="F141" s="13" t="str">
        <f ca="1">VLOOKUP(LEFT(A141,IF(ISERROR(FIND(".",A141)),LEN(A141)+1,FIND(".",A141))-1),WorkList!A:C,3,FALSE)</f>
        <v>Deal Analyser</v>
      </c>
      <c r="G141" s="14" t="str">
        <f ca="1">VLOOKUP(CONCATENATE(A141),WorkList!A:C,3,FALSE)</f>
        <v>CE - Review database tables for Deal vs Issuer after June conference</v>
      </c>
      <c r="H141" s="13" t="str">
        <f ca="1">VLOOKUP(CONCATENATE(A141),WorkList!A:D,4,FALSE)</f>
        <v>Neil</v>
      </c>
      <c r="I141" s="15">
        <f ca="1">VLOOKUP(CONCATENATE(A141),WorkList!A:E,5,FALSE)</f>
        <v>40325</v>
      </c>
      <c r="J141" s="49">
        <f ca="1">VLOOKUP(CONCATENATE(A141),WorkList!A:F,6,FALSE)</f>
        <v>2</v>
      </c>
      <c r="K141" s="49" t="str">
        <f ca="1">VLOOKUP(CONCATENATE(A141),WorkList!A:G,7,FALSE)</f>
        <v>Enhancement</v>
      </c>
      <c r="L141" s="7" t="s">
        <v>7</v>
      </c>
      <c r="M141" s="16">
        <v>40505</v>
      </c>
      <c r="N141" s="60">
        <f ca="1">VALUE(LEFT(C141))</f>
        <v>4</v>
      </c>
      <c r="O141" s="61">
        <f ca="1">INT(IF(N141&gt;0,1+MAX(N141*N141-(IF(D141="",TODAY()+(5-N141)*15,D141)-TODAY())/4,N141),IF(TODAY()-M141&gt;10,0,1)))</f>
        <v>13</v>
      </c>
      <c r="P141" s="1" t="str">
        <f ca="1">IF(ISNA(VLOOKUP(A141,Projects!B:B,1,FALSE)),"","Yes")</f>
        <v/>
      </c>
    </row>
    <row r="142" spans="1:16">
      <c r="A142" s="4" t="s">
        <v>1363</v>
      </c>
      <c r="B142" s="5" t="s">
        <v>21</v>
      </c>
      <c r="C142" s="4" t="s">
        <v>38</v>
      </c>
      <c r="F142" s="13" t="str">
        <f ca="1">VLOOKUP(LEFT(A142,IF(ISERROR(FIND(".",A142)),LEN(A142)+1,FIND(".",A142))-1),WorkList!A:C,3,FALSE)</f>
        <v>Deal Analyser</v>
      </c>
      <c r="G142" s="14" t="str">
        <f ca="1">VLOOKUP(CONCATENATE(A142),WorkList!A:C,3,FALSE)</f>
        <v>CE - Make use of PerformanceDataLib</v>
      </c>
      <c r="H142" s="13" t="str">
        <f ca="1">VLOOKUP(CONCATENATE(A142),WorkList!A:D,4,FALSE)</f>
        <v>Ruth</v>
      </c>
      <c r="I142" s="15">
        <f ca="1">VLOOKUP(CONCATENATE(A142),WorkList!A:E,5,FALSE)</f>
        <v>40387</v>
      </c>
      <c r="J142" s="49">
        <f ca="1">VLOOKUP(CONCATENATE(A142),WorkList!A:F,6,FALSE)</f>
        <v>1</v>
      </c>
      <c r="K142" s="49" t="str">
        <f ca="1">VLOOKUP(CONCATENATE(A142),WorkList!A:G,7,FALSE)</f>
        <v>Enhancement</v>
      </c>
      <c r="L142" s="7" t="s">
        <v>7</v>
      </c>
      <c r="M142" s="16">
        <v>40387</v>
      </c>
      <c r="N142" s="60">
        <f ca="1">VALUE(LEFT(C142))</f>
        <v>2</v>
      </c>
      <c r="O142" s="61">
        <f ca="1">INT(IF(N142&gt;0,1+MAX(N142*N142-(IF(D142="",TODAY()+(5-N142)*15,D142)-TODAY())/4,N142),IF(TODAY()-M142&gt;10,0,1)))</f>
        <v>3</v>
      </c>
      <c r="P142" s="1" t="str">
        <f ca="1">IF(ISNA(VLOOKUP(A142,Projects!B:B,1,FALSE)),"","Yes")</f>
        <v/>
      </c>
    </row>
    <row r="143" spans="1:16">
      <c r="A143" s="4" t="s">
        <v>1414</v>
      </c>
      <c r="B143" s="5" t="s">
        <v>21</v>
      </c>
      <c r="C143" s="6" t="s">
        <v>38</v>
      </c>
      <c r="F143" s="13" t="str">
        <f ca="1">VLOOKUP(LEFT(A143,IF(ISERROR(FIND(".",A143)),LEN(A143)+1,FIND(".",A143))-1),WorkList!A:C,3,FALSE)</f>
        <v>Deal Analyser</v>
      </c>
      <c r="G143" s="14" t="str">
        <f ca="1">VLOOKUP(CONCATENATE(A143),WorkList!A:C,3,FALSE)</f>
        <v>CE - Design override GUI</v>
      </c>
      <c r="H143" s="13" t="str">
        <f ca="1">VLOOKUP(CONCATENATE(A143),WorkList!A:D,4,FALSE)</f>
        <v>Neil</v>
      </c>
      <c r="I143" s="15">
        <f ca="1">VLOOKUP(CONCATENATE(A143),WorkList!A:E,5,FALSE)</f>
        <v>40403</v>
      </c>
      <c r="J143" s="49">
        <f ca="1">VLOOKUP(CONCATENATE(A143),WorkList!A:F,6,FALSE)</f>
        <v>1</v>
      </c>
      <c r="K143" s="49" t="str">
        <f ca="1">VLOOKUP(CONCATENATE(A143),WorkList!A:G,7,FALSE)</f>
        <v>Enhancement</v>
      </c>
      <c r="L143" s="7" t="s">
        <v>7</v>
      </c>
      <c r="M143" s="16">
        <v>40403</v>
      </c>
      <c r="N143" s="60">
        <f ca="1">VALUE(LEFT(C143))</f>
        <v>2</v>
      </c>
      <c r="O143" s="61">
        <f ca="1">INT(IF(N143&gt;0,1+MAX(N143*N143-(IF(D143="",TODAY()+(5-N143)*15,D143)-TODAY())/4,N143),IF(TODAY()-M143&gt;10,0,1)))</f>
        <v>3</v>
      </c>
      <c r="P143" s="1" t="str">
        <f ca="1">IF(ISNA(VLOOKUP(A143,Projects!B:B,1,FALSE)),"","Yes")</f>
        <v/>
      </c>
    </row>
    <row r="144" spans="1:16">
      <c r="A144" s="4" t="s">
        <v>1530</v>
      </c>
      <c r="B144" s="5" t="s">
        <v>919</v>
      </c>
      <c r="C144" s="7" t="s">
        <v>10</v>
      </c>
      <c r="E144" s="12">
        <v>1</v>
      </c>
      <c r="F144" s="13" t="str">
        <f ca="1">VLOOKUP(LEFT(A144,IF(ISERROR(FIND(".",A144)),LEN(A144)+1,FIND(".",A144))-1),WorkList!A:C,3,FALSE)</f>
        <v>Deal Analyser</v>
      </c>
      <c r="G144" s="14" t="str">
        <f ca="1">VLOOKUP(CONCATENATE(A144),WorkList!A:C,3,FALSE)</f>
        <v>CE - Improve email logging and avoid issuing as a Warning</v>
      </c>
      <c r="H144" s="13" t="str">
        <f ca="1">VLOOKUP(CONCATENATE(A144),WorkList!A:D,4,FALSE)</f>
        <v>Neil</v>
      </c>
      <c r="I144" s="15">
        <f ca="1">VLOOKUP(CONCATENATE(A144),WorkList!A:E,5,FALSE)</f>
        <v>40438</v>
      </c>
      <c r="J144" s="49">
        <f ca="1">VLOOKUP(CONCATENATE(A144),WorkList!A:F,6,FALSE)</f>
        <v>1</v>
      </c>
      <c r="K144" s="49" t="str">
        <f ca="1">VLOOKUP(CONCATENATE(A144),WorkList!A:G,7,FALSE)</f>
        <v>Enhancement</v>
      </c>
      <c r="L144" s="7" t="s">
        <v>5</v>
      </c>
      <c r="M144" s="16">
        <v>40567</v>
      </c>
      <c r="N144" s="60">
        <f ca="1">VALUE(LEFT(C144))</f>
        <v>3</v>
      </c>
      <c r="O144" s="61">
        <f ca="1">INT(IF(N144&gt;0,1+MAX(N144*N144-(IF(D144="",TODAY()+(5-N144)*15,D144)-TODAY())/4,N144),IF(TODAY()-M144&gt;10,0,1)))</f>
        <v>4</v>
      </c>
      <c r="P144" s="1" t="str">
        <f ca="1">IF(ISNA(VLOOKUP(A144,Projects!B:B,1,FALSE)),"","Yes")</f>
        <v/>
      </c>
    </row>
    <row r="145" spans="1:16">
      <c r="A145" s="4" t="s">
        <v>733</v>
      </c>
      <c r="B145" s="5" t="s">
        <v>29</v>
      </c>
      <c r="C145" s="6" t="s">
        <v>48</v>
      </c>
      <c r="D145" s="11"/>
      <c r="F145" s="13" t="str">
        <f ca="1">VLOOKUP(LEFT(A145,IF(ISERROR(FIND(".",A145)),LEN(A145)+1,FIND(".",A145))-1),WorkList!A:C,3,FALSE)</f>
        <v>Deal Analyser</v>
      </c>
      <c r="G145" s="14" t="str">
        <f ca="1">VLOOKUP(CONCATENATE(A145),WorkList!A:C,3,FALSE)</f>
        <v>CE - Develop application to generate CE</v>
      </c>
      <c r="H145" s="13" t="str">
        <f ca="1">VLOOKUP(CONCATENATE(A145),WorkList!A:D,4,FALSE)</f>
        <v>Ajay</v>
      </c>
      <c r="I145" s="15">
        <f ca="1">VLOOKUP(CONCATENATE(A145),WorkList!A:E,5,FALSE)</f>
        <v>40304</v>
      </c>
      <c r="J145" s="49">
        <v>10</v>
      </c>
      <c r="K145" s="49">
        <f ca="1">VLOOKUP(CONCATENATE(A145),WorkList!A:G,7,FALSE)</f>
        <v>0</v>
      </c>
      <c r="L145" s="7" t="s">
        <v>13</v>
      </c>
      <c r="M145" s="16">
        <v>40163</v>
      </c>
      <c r="N145" s="60">
        <f ca="1">VALUE(LEFT(C145))</f>
        <v>0</v>
      </c>
      <c r="O145" s="61">
        <f ca="1">INT(IF(N145&gt;0,1+MAX(N145*N145-(IF(D145="",TODAY()+(5-N145)*15,D145)-TODAY())/4,N145),IF(TODAY()-M145&gt;10,0,1)))</f>
        <v>0</v>
      </c>
      <c r="P145" s="1" t="str">
        <f ca="1">IF(ISNA(VLOOKUP(A145,Projects!B:B,1,FALSE)),"","Yes")</f>
        <v/>
      </c>
    </row>
    <row r="146" spans="1:16">
      <c r="A146" s="4" t="s">
        <v>734</v>
      </c>
      <c r="B146" s="5" t="s">
        <v>29</v>
      </c>
      <c r="C146" s="6" t="s">
        <v>48</v>
      </c>
      <c r="D146" s="11"/>
      <c r="F146" s="13" t="str">
        <f ca="1">VLOOKUP(LEFT(A146,IF(ISERROR(FIND(".",A146)),LEN(A146)+1,FIND(".",A146))-1),WorkList!A:C,3,FALSE)</f>
        <v>Deal Analyser</v>
      </c>
      <c r="G146" s="14" t="str">
        <f ca="1">VLOOKUP(CONCATENATE(A146),WorkList!A:C,3,FALSE)</f>
        <v>CE - Integrate CE with Nomura Now</v>
      </c>
      <c r="H146" s="13" t="str">
        <f ca="1">VLOOKUP(CONCATENATE(A146),WorkList!A:D,4,FALSE)</f>
        <v>Gerald</v>
      </c>
      <c r="I146" s="15">
        <f ca="1">VLOOKUP(CONCATENATE(A146),WorkList!A:E,5,FALSE)</f>
        <v>40304</v>
      </c>
      <c r="J146" s="49">
        <v>10</v>
      </c>
      <c r="K146" s="49">
        <f ca="1">VLOOKUP(CONCATENATE(A146),WorkList!A:G,7,FALSE)</f>
        <v>0</v>
      </c>
      <c r="L146" s="7" t="s">
        <v>13</v>
      </c>
      <c r="M146" s="16">
        <v>40235</v>
      </c>
      <c r="N146" s="60">
        <f ca="1">VALUE(LEFT(C146))</f>
        <v>0</v>
      </c>
      <c r="O146" s="61">
        <f ca="1">INT(IF(N146&gt;0,1+MAX(N146*N146-(IF(D146="",TODAY()+(5-N146)*15,D146)-TODAY())/4,N146),IF(TODAY()-M146&gt;10,0,1)))</f>
        <v>0</v>
      </c>
      <c r="P146" s="1" t="str">
        <f ca="1">IF(ISNA(VLOOKUP(A146,Projects!B:B,1,FALSE)),"","Yes")</f>
        <v/>
      </c>
    </row>
    <row r="147" spans="1:16">
      <c r="A147" s="4" t="s">
        <v>735</v>
      </c>
      <c r="B147" s="5" t="s">
        <v>29</v>
      </c>
      <c r="C147" s="6" t="s">
        <v>48</v>
      </c>
      <c r="D147" s="11">
        <v>40320</v>
      </c>
      <c r="F147" s="13" t="str">
        <f ca="1">VLOOKUP(LEFT(A147,IF(ISERROR(FIND(".",A147)),LEN(A147)+1,FIND(".",A147))-1),WorkList!A:C,3,FALSE)</f>
        <v>Deal Analyser</v>
      </c>
      <c r="G147" s="14" t="str">
        <f ca="1">VLOOKUP(CONCATENATE(A147),WorkList!A:C,3,FALSE)</f>
        <v>CE - Release CE to production</v>
      </c>
      <c r="H147" s="13" t="str">
        <f ca="1">VLOOKUP(CONCATENATE(A147),WorkList!A:D,4,FALSE)</f>
        <v>Neil</v>
      </c>
      <c r="I147" s="15">
        <f ca="1">VLOOKUP(CONCATENATE(A147),WorkList!A:E,5,FALSE)</f>
        <v>40304</v>
      </c>
      <c r="J147" s="49">
        <v>5</v>
      </c>
      <c r="K147" s="49" t="str">
        <f ca="1">VLOOKUP(CONCATENATE(A147),WorkList!A:G,7,FALSE)</f>
        <v>NewDevelopment</v>
      </c>
      <c r="L147" s="7" t="s">
        <v>13</v>
      </c>
      <c r="M147" s="16">
        <v>40353</v>
      </c>
      <c r="N147" s="60">
        <f ca="1">VALUE(LEFT(C147))</f>
        <v>0</v>
      </c>
      <c r="O147" s="61">
        <f ca="1">INT(IF(N147&gt;0,1+MAX(N147*N147-(IF(D147="",TODAY()+(5-N147)*15,D147)-TODAY())/4,N147),IF(TODAY()-M147&gt;10,0,1)))</f>
        <v>0</v>
      </c>
      <c r="P147" s="1" t="str">
        <f ca="1">IF(ISNA(VLOOKUP(A147,Projects!B:B,1,FALSE)),"","Yes")</f>
        <v/>
      </c>
    </row>
    <row r="148" spans="1:16">
      <c r="A148" s="4" t="s">
        <v>736</v>
      </c>
      <c r="B148" s="5" t="s">
        <v>29</v>
      </c>
      <c r="C148" s="6" t="s">
        <v>48</v>
      </c>
      <c r="D148" s="11">
        <v>40330</v>
      </c>
      <c r="F148" s="13" t="str">
        <f ca="1">VLOOKUP(LEFT(A148,IF(ISERROR(FIND(".",A148)),LEN(A148)+1,FIND(".",A148))-1),WorkList!A:C,3,FALSE)</f>
        <v>Deal Analyser</v>
      </c>
      <c r="G148" s="14" t="str">
        <f ca="1">VLOOKUP(CONCATENATE(A148),WorkList!A:C,3,FALSE)</f>
        <v>CE - Extend CE for Master trusts</v>
      </c>
      <c r="H148" s="13" t="str">
        <f ca="1">VLOOKUP(CONCATENATE(A148),WorkList!A:D,4,FALSE)</f>
        <v>Ajay</v>
      </c>
      <c r="I148" s="15">
        <f ca="1">VLOOKUP(CONCATENATE(A148),WorkList!A:E,5,FALSE)</f>
        <v>40304</v>
      </c>
      <c r="J148" s="49">
        <v>10</v>
      </c>
      <c r="K148" s="49" t="str">
        <f ca="1">VLOOKUP(CONCATENATE(A148),WorkList!A:G,7,FALSE)</f>
        <v>NewDevelopment</v>
      </c>
      <c r="L148" s="7" t="s">
        <v>13</v>
      </c>
      <c r="M148" s="16">
        <v>40336</v>
      </c>
      <c r="N148" s="60">
        <f ca="1">VALUE(LEFT(C148))</f>
        <v>0</v>
      </c>
      <c r="O148" s="61">
        <f ca="1">INT(IF(N148&gt;0,1+MAX(N148*N148-(IF(D148="",TODAY()+(5-N148)*15,D148)-TODAY())/4,N148),IF(TODAY()-M148&gt;10,0,1)))</f>
        <v>0</v>
      </c>
      <c r="P148" s="1" t="str">
        <f ca="1">IF(ISNA(VLOOKUP(A148,Projects!B:B,1,FALSE)),"","Yes")</f>
        <v/>
      </c>
    </row>
    <row r="149" spans="1:16">
      <c r="A149" s="4" t="s">
        <v>737</v>
      </c>
      <c r="B149" s="5" t="s">
        <v>21</v>
      </c>
      <c r="C149" s="6" t="s">
        <v>38</v>
      </c>
      <c r="D149" s="11"/>
      <c r="F149" s="13" t="str">
        <f ca="1">VLOOKUP(LEFT(A149,IF(ISERROR(FIND(".",A149)),LEN(A149)+1,FIND(".",A149))-1),WorkList!A:C,3,FALSE)</f>
        <v>Deal Analyser</v>
      </c>
      <c r="G149" s="14" t="str">
        <f ca="1">VLOOKUP(CONCATENATE(A149),WorkList!A:C,3,FALSE)</f>
        <v>CE - Extend CE for more esoteric deals</v>
      </c>
      <c r="H149" s="13" t="str">
        <f ca="1">VLOOKUP(CONCATENATE(A149),WorkList!A:D,4,FALSE)</f>
        <v>Ajay</v>
      </c>
      <c r="I149" s="15">
        <f ca="1">VLOOKUP(CONCATENATE(A149),WorkList!A:E,5,FALSE)</f>
        <v>40304</v>
      </c>
      <c r="J149" s="49">
        <v>10</v>
      </c>
      <c r="K149" s="49" t="str">
        <f ca="1">VLOOKUP(CONCATENATE(A149),WorkList!A:G,7,FALSE)</f>
        <v>NewDevelopment</v>
      </c>
      <c r="L149" s="7" t="s">
        <v>7</v>
      </c>
      <c r="M149" s="16">
        <v>40283</v>
      </c>
      <c r="N149" s="60">
        <f ca="1">VALUE(LEFT(C149))</f>
        <v>2</v>
      </c>
      <c r="O149" s="61">
        <f ca="1">INT(IF(N149&gt;0,1+MAX(N149*N149-(IF(D149="",TODAY()+(5-N149)*15,D149)-TODAY())/4,N149),IF(TODAY()-M149&gt;10,0,1)))</f>
        <v>3</v>
      </c>
      <c r="P149" s="1" t="str">
        <f ca="1">IF(ISNA(VLOOKUP(A149,Projects!B:B,1,FALSE)),"","Yes")</f>
        <v/>
      </c>
    </row>
    <row r="150" spans="1:16">
      <c r="A150" s="4" t="s">
        <v>878</v>
      </c>
      <c r="B150" s="5" t="s">
        <v>29</v>
      </c>
      <c r="C150" s="6" t="s">
        <v>48</v>
      </c>
      <c r="D150" s="11"/>
      <c r="F150" s="13" t="str">
        <f ca="1">VLOOKUP(LEFT(A150,IF(ISERROR(FIND(".",A150)),LEN(A150)+1,FIND(".",A150))-1),WorkList!A:C,3,FALSE)</f>
        <v>Deal Analyser</v>
      </c>
      <c r="G150" s="14" t="str">
        <f ca="1">VLOOKUP(CONCATENATE(A150),WorkList!A:C,3,FALSE)</f>
        <v>CE - Release CE GUI</v>
      </c>
      <c r="H150" s="13" t="str">
        <f ca="1">VLOOKUP(CONCATENATE(A150),WorkList!A:D,4,FALSE)</f>
        <v>Ajay</v>
      </c>
      <c r="I150" s="15">
        <f ca="1">VLOOKUP(CONCATENATE(A150),WorkList!A:E,5,FALSE)</f>
        <v>40304</v>
      </c>
      <c r="J150" s="49">
        <f ca="1">VLOOKUP(CONCATENATE(A150),WorkList!A:F,6,FALSE)</f>
        <v>2</v>
      </c>
      <c r="K150" s="49">
        <f ca="1">VLOOKUP(CONCATENATE(A150),WorkList!A:G,7,FALSE)</f>
        <v>0</v>
      </c>
      <c r="L150" s="7" t="s">
        <v>13</v>
      </c>
      <c r="M150" s="16">
        <v>40210</v>
      </c>
      <c r="N150" s="60">
        <f ca="1">VALUE(LEFT(C150))</f>
        <v>0</v>
      </c>
      <c r="O150" s="61">
        <f ca="1">INT(IF(N150&gt;0,1+MAX(N150*N150-(IF(D150="",TODAY()+(5-N150)*15,D150)-TODAY())/4,N150),IF(TODAY()-M150&gt;10,0,1)))</f>
        <v>0</v>
      </c>
      <c r="P150" s="1" t="str">
        <f ca="1">IF(ISNA(VLOOKUP(A150,Projects!B:B,1,FALSE)),"","Yes")</f>
        <v/>
      </c>
    </row>
    <row r="151" spans="1:16">
      <c r="A151" s="4" t="s">
        <v>924</v>
      </c>
      <c r="B151" s="5" t="s">
        <v>29</v>
      </c>
      <c r="C151" s="6" t="s">
        <v>48</v>
      </c>
      <c r="D151" s="11">
        <v>40330</v>
      </c>
      <c r="F151" s="13" t="str">
        <f ca="1">VLOOKUP(LEFT(A151,IF(ISERROR(FIND(".",A151)),LEN(A151)+1,FIND(".",A151))-1),WorkList!A:C,3,FALSE)</f>
        <v>Deal Analyser</v>
      </c>
      <c r="G151" s="14" t="str">
        <f ca="1">VLOOKUP(CONCATENATE(A151),WorkList!A:C,3,FALSE)</f>
        <v>CE - Release CE for Master Trusts</v>
      </c>
      <c r="H151" s="13" t="str">
        <f ca="1">VLOOKUP(CONCATENATE(A151),WorkList!A:D,4,FALSE)</f>
        <v>Ajay</v>
      </c>
      <c r="I151" s="15">
        <f ca="1">VLOOKUP(CONCATENATE(A151),WorkList!A:E,5,FALSE)</f>
        <v>40304</v>
      </c>
      <c r="J151" s="49">
        <v>5</v>
      </c>
      <c r="K151" s="49" t="str">
        <f ca="1">VLOOKUP(CONCATENATE(A151),WorkList!A:G,7,FALSE)</f>
        <v>NewDevelopment</v>
      </c>
      <c r="L151" s="7" t="s">
        <v>13</v>
      </c>
      <c r="M151" s="16">
        <v>40410</v>
      </c>
      <c r="N151" s="60">
        <f ca="1">VALUE(LEFT(C151))</f>
        <v>0</v>
      </c>
      <c r="O151" s="61">
        <f ca="1">INT(IF(N151&gt;0,1+MAX(N151*N151-(IF(D151="",TODAY()+(5-N151)*15,D151)-TODAY())/4,N151),IF(TODAY()-M151&gt;10,0,1)))</f>
        <v>0</v>
      </c>
      <c r="P151" s="1" t="str">
        <f ca="1">IF(ISNA(VLOOKUP(A151,Projects!B:B,1,FALSE)),"","Yes")</f>
        <v/>
      </c>
    </row>
    <row r="152" spans="1:16">
      <c r="A152" s="4" t="s">
        <v>1052</v>
      </c>
      <c r="B152" s="5" t="s">
        <v>29</v>
      </c>
      <c r="C152" s="6" t="s">
        <v>48</v>
      </c>
      <c r="D152" s="11">
        <v>40288</v>
      </c>
      <c r="F152" s="13" t="str">
        <f ca="1">VLOOKUP(LEFT(A152,IF(ISERROR(FIND(".",A152)),LEN(A152)+1,FIND(".",A152))-1),WorkList!A:C,3,FALSE)</f>
        <v>Deal Analyser</v>
      </c>
      <c r="G152" s="14" t="str">
        <f ca="1">VLOOKUP(CONCATENATE(A152),WorkList!A:C,3,FALSE)</f>
        <v>CE - Incorporate comments from group review (apr 10)</v>
      </c>
      <c r="H152" s="13" t="str">
        <f ca="1">VLOOKUP(CONCATENATE(A152),WorkList!A:D,4,FALSE)</f>
        <v>Neil</v>
      </c>
      <c r="I152" s="15">
        <f ca="1">VLOOKUP(CONCATENATE(A152),WorkList!A:E,5,FALSE)</f>
        <v>40304</v>
      </c>
      <c r="J152" s="49">
        <v>10</v>
      </c>
      <c r="K152" s="49" t="str">
        <f ca="1">VLOOKUP(CONCATENATE(A152),WorkList!A:G,7,FALSE)</f>
        <v>NewDevelopment</v>
      </c>
      <c r="L152" s="7" t="s">
        <v>13</v>
      </c>
      <c r="M152" s="16">
        <v>40304</v>
      </c>
      <c r="N152" s="60">
        <f ca="1">VALUE(LEFT(C152))</f>
        <v>0</v>
      </c>
      <c r="O152" s="61">
        <f ca="1">INT(IF(N152&gt;0,1+MAX(N152*N152-(IF(D152="",TODAY()+(5-N152)*15,D152)-TODAY())/4,N152),IF(TODAY()-M152&gt;10,0,1)))</f>
        <v>0</v>
      </c>
      <c r="P152" s="1" t="str">
        <f ca="1">IF(ISNA(VLOOKUP(A152,Projects!B:B,1,FALSE)),"","Yes")</f>
        <v/>
      </c>
    </row>
    <row r="153" spans="1:16">
      <c r="A153" s="4" t="s">
        <v>106</v>
      </c>
      <c r="B153" s="5" t="s">
        <v>29</v>
      </c>
      <c r="C153" s="6" t="s">
        <v>48</v>
      </c>
      <c r="D153" s="11"/>
      <c r="F153" s="13" t="str">
        <f ca="1">VLOOKUP(LEFT(A153,IF(ISERROR(FIND(".",A153)),LEN(A153)+1,FIND(".",A153))-1),WorkList!A:C,3,FALSE)</f>
        <v>Matrix Pricing Application</v>
      </c>
      <c r="G153" s="14" t="str">
        <f ca="1">VLOOKUP(CONCATENATE(A153),WorkList!A:C,3,FALSE)</f>
        <v xml:space="preserve">Various modifications before prototype given to Research </v>
      </c>
      <c r="H153" s="13" t="str">
        <f ca="1">VLOOKUP(CONCATENATE(A153),WorkList!A:D,4,FALSE)</f>
        <v>Neil</v>
      </c>
      <c r="I153" s="15">
        <f ca="1">VLOOKUP(CONCATENATE(A153),WorkList!A:E,5,FALSE)</f>
        <v>39911</v>
      </c>
      <c r="J153" s="49">
        <f ca="1">VLOOKUP(CONCATENATE(A153),WorkList!A:F,6,FALSE)</f>
        <v>0</v>
      </c>
      <c r="K153" s="49">
        <f ca="1">VLOOKUP(CONCATENATE(A153),WorkList!A:G,7,FALSE)</f>
        <v>0</v>
      </c>
      <c r="L153" s="7" t="s">
        <v>13</v>
      </c>
      <c r="M153" s="16">
        <v>40532</v>
      </c>
      <c r="N153" s="60">
        <f ca="1">VALUE(LEFT(C153))</f>
        <v>0</v>
      </c>
      <c r="O153" s="61">
        <f ca="1">INT(IF(N153&gt;0,1+MAX(N153*N153-(IF(D153="",TODAY()+(5-N153)*15,D153)-TODAY())/4,N153),IF(TODAY()-M153&gt;10,0,1)))</f>
        <v>0</v>
      </c>
      <c r="P153" s="1" t="str">
        <f ca="1">IF(ISNA(VLOOKUP(A153,Projects!B:B,1,FALSE)),"","Yes")</f>
        <v/>
      </c>
    </row>
    <row r="154" spans="1:16">
      <c r="A154" s="4" t="s">
        <v>1214</v>
      </c>
      <c r="B154" s="5" t="s">
        <v>29</v>
      </c>
      <c r="C154" s="7" t="s">
        <v>48</v>
      </c>
      <c r="D154" s="11">
        <v>40354</v>
      </c>
      <c r="F154" s="13" t="str">
        <f ca="1">VLOOKUP(LEFT(A154,IF(ISERROR(FIND(".",A154)),LEN(A154)+1,FIND(".",A154))-1),WorkList!A:C,3,FALSE)</f>
        <v>Matrix Pricing Application</v>
      </c>
      <c r="G154" s="14" t="str">
        <f ca="1">VLOOKUP(CONCATENATE(A154),WorkList!A:C,3,FALSE)</f>
        <v>Key Matrix Results on bondID rather than ISIN</v>
      </c>
      <c r="H154" s="13" t="str">
        <f ca="1">VLOOKUP(CONCATENATE(A154),WorkList!A:D,4,FALSE)</f>
        <v>Neil</v>
      </c>
      <c r="I154" s="15">
        <f ca="1">VLOOKUP(CONCATENATE(A154),WorkList!A:E,5,FALSE)</f>
        <v>40119</v>
      </c>
      <c r="J154" s="49">
        <f ca="1">VLOOKUP(CONCATENATE(A154),WorkList!A:F,6,FALSE)</f>
        <v>2</v>
      </c>
      <c r="K154" s="49" t="str">
        <f ca="1">VLOOKUP(CONCATENATE(A154),WorkList!A:G,7,FALSE)</f>
        <v>Maintenance</v>
      </c>
      <c r="L154" s="7" t="s">
        <v>13</v>
      </c>
      <c r="M154" s="16">
        <v>40367</v>
      </c>
      <c r="N154" s="60">
        <f ca="1">VALUE(LEFT(C154))</f>
        <v>0</v>
      </c>
      <c r="O154" s="61">
        <f ca="1">INT(IF(N154&gt;0,1+MAX(N154*N154-(IF(D154="",TODAY()+(5-N154)*15,D154)-TODAY())/4,N154),IF(TODAY()-M154&gt;10,0,1)))</f>
        <v>0</v>
      </c>
      <c r="P154" s="1" t="str">
        <f ca="1">IF(ISNA(VLOOKUP(A154,Projects!B:B,1,FALSE)),"","Yes")</f>
        <v>Yes</v>
      </c>
    </row>
    <row r="155" spans="1:16" ht="25.5">
      <c r="A155" s="4" t="s">
        <v>1215</v>
      </c>
      <c r="B155" s="5" t="s">
        <v>29</v>
      </c>
      <c r="C155" s="7" t="s">
        <v>48</v>
      </c>
      <c r="D155" s="11">
        <v>40354</v>
      </c>
      <c r="F155" s="13" t="str">
        <f ca="1">VLOOKUP(LEFT(A155,IF(ISERROR(FIND(".",A155)),LEN(A155)+1,FIND(".",A155))-1),WorkList!A:C,3,FALSE)</f>
        <v>Matrix Pricing Application</v>
      </c>
      <c r="G155" s="14" t="str">
        <f ca="1">VLOOKUP(CONCATENATE(A155),WorkList!A:C,3,FALSE)</f>
        <v>Add Spread+Price on Viewer and Editor + add all fields to View Search</v>
      </c>
      <c r="H155" s="13" t="str">
        <f ca="1">VLOOKUP(CONCATENATE(A155),WorkList!A:D,4,FALSE)</f>
        <v>Neil</v>
      </c>
      <c r="I155" s="15">
        <f ca="1">VLOOKUP(CONCATENATE(A155),WorkList!A:E,5,FALSE)</f>
        <v>40126</v>
      </c>
      <c r="J155" s="49">
        <f ca="1">VLOOKUP(CONCATENATE(A155),WorkList!A:F,6,FALSE)</f>
        <v>3</v>
      </c>
      <c r="K155" s="49" t="str">
        <f ca="1">VLOOKUP(CONCATENATE(A155),WorkList!A:G,7,FALSE)</f>
        <v>Enhancement</v>
      </c>
      <c r="L155" s="7" t="s">
        <v>13</v>
      </c>
      <c r="M155" s="16">
        <v>40367</v>
      </c>
      <c r="N155" s="60">
        <f ca="1">VALUE(LEFT(C155))</f>
        <v>0</v>
      </c>
      <c r="O155" s="61">
        <f ca="1">INT(IF(N155&gt;0,1+MAX(N155*N155-(IF(D155="",TODAY()+(5-N155)*15,D155)-TODAY())/4,N155),IF(TODAY()-M155&gt;10,0,1)))</f>
        <v>0</v>
      </c>
      <c r="P155" s="1" t="str">
        <f ca="1">IF(ISNA(VLOOKUP(A155,Projects!B:B,1,FALSE)),"","Yes")</f>
        <v>Yes</v>
      </c>
    </row>
    <row r="156" spans="1:16">
      <c r="A156" s="4" t="s">
        <v>1216</v>
      </c>
      <c r="B156" s="5" t="s">
        <v>29</v>
      </c>
      <c r="C156" s="6" t="s">
        <v>48</v>
      </c>
      <c r="D156" s="11">
        <v>40354</v>
      </c>
      <c r="F156" s="13" t="str">
        <f ca="1">VLOOKUP(LEFT(A156,IF(ISERROR(FIND(".",A156)),LEN(A156)+1,FIND(".",A156))-1),WorkList!A:C,3,FALSE)</f>
        <v>Matrix Pricing Application</v>
      </c>
      <c r="G156" s="14" t="str">
        <f ca="1">VLOOKUP(CONCATENATE(A156),WorkList!A:C,3,FALSE)</f>
        <v>Remove 'ISIN' field from pricing results.</v>
      </c>
      <c r="H156" s="13" t="str">
        <f ca="1">VLOOKUP(CONCATENATE(A156),WorkList!A:D,4,FALSE)</f>
        <v>Neil</v>
      </c>
      <c r="I156" s="15">
        <f ca="1">VLOOKUP(CONCATENATE(A156),WorkList!A:E,5,FALSE)</f>
        <v>40157</v>
      </c>
      <c r="J156" s="49">
        <f ca="1">VLOOKUP(CONCATENATE(A156),WorkList!A:F,6,FALSE)</f>
        <v>2</v>
      </c>
      <c r="K156" s="49" t="str">
        <f ca="1">VLOOKUP(CONCATENATE(A156),WorkList!A:G,7,FALSE)</f>
        <v>Maintenance</v>
      </c>
      <c r="L156" s="7" t="s">
        <v>13</v>
      </c>
      <c r="M156" s="16">
        <v>40373</v>
      </c>
      <c r="N156" s="60">
        <f ca="1">VALUE(LEFT(C156))</f>
        <v>0</v>
      </c>
      <c r="O156" s="61">
        <f ca="1">INT(IF(N156&gt;0,1+MAX(N156*N156-(IF(D156="",TODAY()+(5-N156)*15,D156)-TODAY())/4,N156),IF(TODAY()-M156&gt;10,0,1)))</f>
        <v>0</v>
      </c>
      <c r="P156" s="1" t="str">
        <f ca="1">IF(ISNA(VLOOKUP(A156,Projects!B:B,1,FALSE)),"","Yes")</f>
        <v>Yes</v>
      </c>
    </row>
    <row r="157" spans="1:16">
      <c r="A157" s="4" t="s">
        <v>1217</v>
      </c>
      <c r="B157" s="5" t="s">
        <v>29</v>
      </c>
      <c r="C157" s="6" t="s">
        <v>48</v>
      </c>
      <c r="D157" s="11">
        <v>40354</v>
      </c>
      <c r="F157" s="13" t="str">
        <f ca="1">VLOOKUP(LEFT(A157,IF(ISERROR(FIND(".",A157)),LEN(A157)+1,FIND(".",A157))-1),WorkList!A:C,3,FALSE)</f>
        <v>Matrix Pricing Application</v>
      </c>
      <c r="G157" s="14" t="str">
        <f ca="1">VLOOKUP(CONCATENATE(A157),WorkList!A:C,3,FALSE)</f>
        <v>Various fixes for Zhuu</v>
      </c>
      <c r="H157" s="13" t="str">
        <f ca="1">VLOOKUP(CONCATENATE(A157),WorkList!A:D,4,FALSE)</f>
        <v>Zhuu</v>
      </c>
      <c r="I157" s="15">
        <f ca="1">VLOOKUP(CONCATENATE(A157),WorkList!A:E,5,FALSE)</f>
        <v>40242</v>
      </c>
      <c r="J157" s="49">
        <f ca="1">VLOOKUP(CONCATENATE(A157),WorkList!A:F,6,FALSE)</f>
        <v>2</v>
      </c>
      <c r="K157" s="49" t="str">
        <f ca="1">VLOOKUP(CONCATENATE(A157),WorkList!A:G,7,FALSE)</f>
        <v>NewDevelopment</v>
      </c>
      <c r="L157" s="7" t="s">
        <v>13</v>
      </c>
      <c r="M157" s="16">
        <v>40373</v>
      </c>
      <c r="N157" s="60">
        <f ca="1">VALUE(LEFT(C157))</f>
        <v>0</v>
      </c>
      <c r="O157" s="61">
        <f ca="1">INT(IF(N157&gt;0,1+MAX(N157*N157-(IF(D157="",TODAY()+(5-N157)*15,D157)-TODAY())/4,N157),IF(TODAY()-M157&gt;10,0,1)))</f>
        <v>0</v>
      </c>
      <c r="P157" s="1" t="str">
        <f ca="1">IF(ISNA(VLOOKUP(A157,Projects!B:B,1,FALSE)),"","Yes")</f>
        <v>Yes</v>
      </c>
    </row>
    <row r="158" spans="1:16">
      <c r="A158" s="4" t="s">
        <v>1218</v>
      </c>
      <c r="B158" s="5" t="s">
        <v>29</v>
      </c>
      <c r="C158" s="7" t="s">
        <v>48</v>
      </c>
      <c r="D158" s="11">
        <v>40452</v>
      </c>
      <c r="F158" s="13" t="str">
        <f ca="1">VLOOKUP(LEFT(A158,IF(ISERROR(FIND(".",A158)),LEN(A158)+1,FIND(".",A158))-1),WorkList!A:C,3,FALSE)</f>
        <v>Matrix Pricing Application</v>
      </c>
      <c r="G158" s="14" t="str">
        <f ca="1">VLOOKUP(CONCATENATE(A158),WorkList!A:C,3,FALSE)</f>
        <v>Mark some prices as bad</v>
      </c>
      <c r="H158" s="13" t="str">
        <f ca="1">VLOOKUP(CONCATENATE(A158),WorkList!A:D,4,FALSE)</f>
        <v>Zhuu</v>
      </c>
      <c r="I158" s="15">
        <f ca="1">VLOOKUP(CONCATENATE(A158),WorkList!A:E,5,FALSE)</f>
        <v>40287</v>
      </c>
      <c r="J158" s="49">
        <f ca="1">VLOOKUP(CONCATENATE(A158),WorkList!A:F,6,FALSE)</f>
        <v>3</v>
      </c>
      <c r="K158" s="49" t="str">
        <f ca="1">VLOOKUP(CONCATENATE(A158),WorkList!A:G,7,FALSE)</f>
        <v>NewDevelopment</v>
      </c>
      <c r="L158" s="7" t="s">
        <v>13</v>
      </c>
      <c r="M158" s="16">
        <v>40490</v>
      </c>
      <c r="N158" s="60">
        <f ca="1">VALUE(LEFT(C158))</f>
        <v>0</v>
      </c>
      <c r="O158" s="61">
        <f ca="1">INT(IF(N158&gt;0,1+MAX(N158*N158-(IF(D158="",TODAY()+(5-N158)*15,D158)-TODAY())/4,N158),IF(TODAY()-M158&gt;10,0,1)))</f>
        <v>0</v>
      </c>
      <c r="P158" s="1" t="str">
        <f ca="1">IF(ISNA(VLOOKUP(A158,Projects!B:B,1,FALSE)),"","Yes")</f>
        <v>Yes</v>
      </c>
    </row>
    <row r="159" spans="1:16">
      <c r="A159" s="4" t="s">
        <v>1085</v>
      </c>
      <c r="B159" s="5" t="s">
        <v>29</v>
      </c>
      <c r="C159" s="6" t="s">
        <v>48</v>
      </c>
      <c r="D159" s="11">
        <v>40344</v>
      </c>
      <c r="F159" s="13" t="str">
        <f ca="1">VLOOKUP(LEFT(A159,IF(ISERROR(FIND(".",A159)),LEN(A159)+1,FIND(".",A159))-1),WorkList!A:C,3,FALSE)</f>
        <v>Matrix Pricing Application</v>
      </c>
      <c r="G159" s="14" t="str">
        <f ca="1">VLOOKUP(CONCATENATE(A159),WorkList!A:C,3,FALSE)</f>
        <v>Tier by Original rating</v>
      </c>
      <c r="H159" s="13" t="str">
        <f ca="1">VLOOKUP(CONCATENATE(A159),WorkList!A:D,4,FALSE)</f>
        <v>Zhuu</v>
      </c>
      <c r="I159" s="15">
        <f ca="1">VLOOKUP(CONCATENATE(A159),WorkList!A:E,5,FALSE)</f>
        <v>40287</v>
      </c>
      <c r="J159" s="49">
        <f ca="1">VLOOKUP(CONCATENATE(A159),WorkList!A:F,6,FALSE)</f>
        <v>2</v>
      </c>
      <c r="K159" s="49" t="str">
        <f ca="1">VLOOKUP(CONCATENATE(A159),WorkList!A:G,7,FALSE)</f>
        <v>NewDevelopment</v>
      </c>
      <c r="L159" s="7" t="s">
        <v>13</v>
      </c>
      <c r="M159" s="16">
        <v>40353</v>
      </c>
      <c r="N159" s="60">
        <f ca="1">VALUE(LEFT(C159))</f>
        <v>0</v>
      </c>
      <c r="O159" s="61">
        <f ca="1">INT(IF(N159&gt;0,1+MAX(N159*N159-(IF(D159="",TODAY()+(5-N159)*15,D159)-TODAY())/4,N159),IF(TODAY()-M159&gt;10,0,1)))</f>
        <v>0</v>
      </c>
      <c r="P159" s="1" t="str">
        <f ca="1">IF(ISNA(VLOOKUP(A159,Projects!B:B,1,FALSE)),"","Yes")</f>
        <v/>
      </c>
    </row>
    <row r="160" spans="1:16">
      <c r="A160" s="4" t="s">
        <v>1125</v>
      </c>
      <c r="B160" s="5" t="s">
        <v>29</v>
      </c>
      <c r="C160" s="6" t="s">
        <v>48</v>
      </c>
      <c r="D160" s="11">
        <v>40354</v>
      </c>
      <c r="F160" s="13" t="str">
        <f ca="1">VLOOKUP(LEFT(A160,IF(ISERROR(FIND(".",A160)),LEN(A160)+1,FIND(".",A160))-1),WorkList!A:C,3,FALSE)</f>
        <v>Matrix Pricing Application</v>
      </c>
      <c r="G160" s="14" t="str">
        <f ca="1">VLOOKUP(CONCATENATE(A160),WorkList!A:C,3,FALSE)</f>
        <v>Tier by Front Pay / Back Pay</v>
      </c>
      <c r="H160" s="13" t="str">
        <f ca="1">VLOOKUP(CONCATENATE(A160),WorkList!A:D,4,FALSE)</f>
        <v>Zhuu</v>
      </c>
      <c r="I160" s="15">
        <f ca="1">VLOOKUP(CONCATENATE(A160),WorkList!A:E,5,FALSE)</f>
        <v>40304</v>
      </c>
      <c r="J160" s="49">
        <f ca="1">VLOOKUP(CONCATENATE(A160),WorkList!A:F,6,FALSE)</f>
        <v>2</v>
      </c>
      <c r="K160" s="49" t="str">
        <f ca="1">VLOOKUP(CONCATENATE(A160),WorkList!A:G,7,FALSE)</f>
        <v>NewDevelopment</v>
      </c>
      <c r="L160" s="7" t="s">
        <v>13</v>
      </c>
      <c r="M160" s="16">
        <v>40388</v>
      </c>
      <c r="N160" s="60">
        <f ca="1">VALUE(LEFT(C160))</f>
        <v>0</v>
      </c>
      <c r="O160" s="61">
        <f ca="1">INT(IF(N160&gt;0,1+MAX(N160*N160-(IF(D160="",TODAY()+(5-N160)*15,D160)-TODAY())/4,N160),IF(TODAY()-M160&gt;10,0,1)))</f>
        <v>0</v>
      </c>
      <c r="P160" s="1" t="str">
        <f ca="1">IF(ISNA(VLOOKUP(A160,Projects!B:B,1,FALSE)),"","Yes")</f>
        <v>Yes</v>
      </c>
    </row>
    <row r="161" spans="1:16">
      <c r="A161" s="4" t="s">
        <v>1127</v>
      </c>
      <c r="B161" s="5" t="s">
        <v>29</v>
      </c>
      <c r="C161" s="6" t="s">
        <v>48</v>
      </c>
      <c r="D161" s="11">
        <v>40354</v>
      </c>
      <c r="F161" s="13" t="str">
        <f ca="1">VLOOKUP(LEFT(A161,IF(ISERROR(FIND(".",A161)),LEN(A161)+1,FIND(".",A161))-1),WorkList!A:C,3,FALSE)</f>
        <v>Matrix Pricing Application</v>
      </c>
      <c r="G161" s="14" t="str">
        <f ca="1">VLOOKUP(CONCATENATE(A161),WorkList!A:C,3,FALSE)</f>
        <v>Tier by Credit Enhancement</v>
      </c>
      <c r="H161" s="13" t="str">
        <f ca="1">VLOOKUP(CONCATENATE(A161),WorkList!A:D,4,FALSE)</f>
        <v>Zhuu</v>
      </c>
      <c r="I161" s="15">
        <f ca="1">VLOOKUP(CONCATENATE(A161),WorkList!A:E,5,FALSE)</f>
        <v>40304</v>
      </c>
      <c r="J161" s="49">
        <f ca="1">VLOOKUP(CONCATENATE(A161),WorkList!A:F,6,FALSE)</f>
        <v>2</v>
      </c>
      <c r="K161" s="49" t="str">
        <f ca="1">VLOOKUP(CONCATENATE(A161),WorkList!A:G,7,FALSE)</f>
        <v>NewDevelopment</v>
      </c>
      <c r="L161" s="7" t="s">
        <v>13</v>
      </c>
      <c r="M161" s="16">
        <v>40373</v>
      </c>
      <c r="N161" s="60">
        <f ca="1">VALUE(LEFT(C161))</f>
        <v>0</v>
      </c>
      <c r="O161" s="61">
        <f ca="1">INT(IF(N161&gt;0,1+MAX(N161*N161-(IF(D161="",TODAY()+(5-N161)*15,D161)-TODAY())/4,N161),IF(TODAY()-M161&gt;10,0,1)))</f>
        <v>0</v>
      </c>
      <c r="P161" s="1" t="str">
        <f ca="1">IF(ISNA(VLOOKUP(A161,Projects!B:B,1,FALSE)),"","Yes")</f>
        <v>Yes</v>
      </c>
    </row>
    <row r="162" spans="1:16">
      <c r="A162" s="4" t="s">
        <v>1129</v>
      </c>
      <c r="B162" s="5" t="s">
        <v>29</v>
      </c>
      <c r="C162" s="6" t="s">
        <v>48</v>
      </c>
      <c r="D162" s="11">
        <v>40354</v>
      </c>
      <c r="F162" s="13" t="str">
        <f ca="1">VLOOKUP(LEFT(A162,IF(ISERROR(FIND(".",A162)),LEN(A162)+1,FIND(".",A162))-1),WorkList!A:C,3,FALSE)</f>
        <v>Matrix Pricing Application</v>
      </c>
      <c r="G162" s="14" t="str">
        <f ca="1">VLOOKUP(CONCATENATE(A162),WorkList!A:C,3,FALSE)</f>
        <v>Show additional fields on Level 3 to allow filtering/sorting</v>
      </c>
      <c r="H162" s="13" t="str">
        <f ca="1">VLOOKUP(CONCATENATE(A162),WorkList!A:D,4,FALSE)</f>
        <v>Zhuu</v>
      </c>
      <c r="I162" s="15">
        <f ca="1">VLOOKUP(CONCATENATE(A162),WorkList!A:E,5,FALSE)</f>
        <v>40304</v>
      </c>
      <c r="J162" s="49">
        <f ca="1">VLOOKUP(CONCATENATE(A162),WorkList!A:F,6,FALSE)</f>
        <v>2</v>
      </c>
      <c r="K162" s="49" t="str">
        <f ca="1">VLOOKUP(CONCATENATE(A162),WorkList!A:G,7,FALSE)</f>
        <v>NewDevelopment</v>
      </c>
      <c r="L162" s="7" t="s">
        <v>13</v>
      </c>
      <c r="M162" s="16">
        <v>40373</v>
      </c>
      <c r="N162" s="60">
        <f ca="1">VALUE(LEFT(C162))</f>
        <v>0</v>
      </c>
      <c r="O162" s="61">
        <f ca="1">INT(IF(N162&gt;0,1+MAX(N162*N162-(IF(D162="",TODAY()+(5-N162)*15,D162)-TODAY())/4,N162),IF(TODAY()-M162&gt;10,0,1)))</f>
        <v>0</v>
      </c>
      <c r="P162" s="1" t="str">
        <f ca="1">IF(ISNA(VLOOKUP(A162,Projects!B:B,1,FALSE)),"","Yes")</f>
        <v>Yes</v>
      </c>
    </row>
    <row r="163" spans="1:16">
      <c r="A163" s="4" t="s">
        <v>1131</v>
      </c>
      <c r="B163" s="5" t="s">
        <v>29</v>
      </c>
      <c r="C163" s="6" t="s">
        <v>48</v>
      </c>
      <c r="D163" s="11">
        <v>40354</v>
      </c>
      <c r="F163" s="13" t="str">
        <f ca="1">VLOOKUP(LEFT(A163,IF(ISERROR(FIND(".",A163)),LEN(A163)+1,FIND(".",A163))-1),WorkList!A:C,3,FALSE)</f>
        <v>Matrix Pricing Application</v>
      </c>
      <c r="G163" s="14" t="str">
        <f ca="1">VLOOKUP(CONCATENATE(A163),WorkList!A:C,3,FALSE)</f>
        <v>Add a new comment field for level 2 + 3 rules</v>
      </c>
      <c r="H163" s="13" t="str">
        <f ca="1">VLOOKUP(CONCATENATE(A163),WorkList!A:D,4,FALSE)</f>
        <v>Zhuu</v>
      </c>
      <c r="I163" s="15">
        <f ca="1">VLOOKUP(CONCATENATE(A163),WorkList!A:E,5,FALSE)</f>
        <v>40304</v>
      </c>
      <c r="J163" s="49">
        <f ca="1">VLOOKUP(CONCATENATE(A163),WorkList!A:F,6,FALSE)</f>
        <v>3</v>
      </c>
      <c r="K163" s="49" t="str">
        <f ca="1">VLOOKUP(CONCATENATE(A163),WorkList!A:G,7,FALSE)</f>
        <v>NewDevelopment</v>
      </c>
      <c r="L163" s="7" t="s">
        <v>13</v>
      </c>
      <c r="M163" s="16">
        <v>40373</v>
      </c>
      <c r="N163" s="60">
        <f ca="1">VALUE(LEFT(C163))</f>
        <v>0</v>
      </c>
      <c r="O163" s="61">
        <f ca="1">INT(IF(N163&gt;0,1+MAX(N163*N163-(IF(D163="",TODAY()+(5-N163)*15,D163)-TODAY())/4,N163),IF(TODAY()-M163&gt;10,0,1)))</f>
        <v>0</v>
      </c>
      <c r="P163" s="1" t="str">
        <f ca="1">IF(ISNA(VLOOKUP(A163,Projects!B:B,1,FALSE)),"","Yes")</f>
        <v>Yes</v>
      </c>
    </row>
    <row r="164" spans="1:16">
      <c r="A164" s="4" t="s">
        <v>1133</v>
      </c>
      <c r="B164" s="5" t="s">
        <v>29</v>
      </c>
      <c r="C164" s="7" t="s">
        <v>48</v>
      </c>
      <c r="D164" s="11">
        <v>40354</v>
      </c>
      <c r="F164" s="13" t="str">
        <f ca="1">VLOOKUP(LEFT(A164,IF(ISERROR(FIND(".",A164)),LEN(A164)+1,FIND(".",A164))-1),WorkList!A:C,3,FALSE)</f>
        <v>Matrix Pricing Application</v>
      </c>
      <c r="G164" s="14" t="str">
        <f ca="1">VLOOKUP(CONCATENATE(A164),WorkList!A:C,3,FALSE)</f>
        <v>Add ability to specify a 1 year WAL bucket</v>
      </c>
      <c r="H164" s="13" t="str">
        <f ca="1">VLOOKUP(CONCATENATE(A164),WorkList!A:D,4,FALSE)</f>
        <v>Zhuu</v>
      </c>
      <c r="I164" s="15">
        <f ca="1">VLOOKUP(CONCATENATE(A164),WorkList!A:E,5,FALSE)</f>
        <v>40304</v>
      </c>
      <c r="J164" s="49">
        <f ca="1">VLOOKUP(CONCATENATE(A164),WorkList!A:F,6,FALSE)</f>
        <v>3</v>
      </c>
      <c r="K164" s="49" t="str">
        <f ca="1">VLOOKUP(CONCATENATE(A164),WorkList!A:G,7,FALSE)</f>
        <v>NewDevelopment</v>
      </c>
      <c r="L164" s="7" t="s">
        <v>13</v>
      </c>
      <c r="M164" s="16">
        <v>40368</v>
      </c>
      <c r="N164" s="60">
        <f ca="1">VALUE(LEFT(C164))</f>
        <v>0</v>
      </c>
      <c r="O164" s="61">
        <f ca="1">INT(IF(N164&gt;0,1+MAX(N164*N164-(IF(D164="",TODAY()+(5-N164)*15,D164)-TODAY())/4,N164),IF(TODAY()-M164&gt;10,0,1)))</f>
        <v>0</v>
      </c>
      <c r="P164" s="1" t="str">
        <f ca="1">IF(ISNA(VLOOKUP(A164,Projects!B:B,1,FALSE)),"","Yes")</f>
        <v>Yes</v>
      </c>
    </row>
    <row r="165" spans="1:16">
      <c r="A165" s="4" t="s">
        <v>1243</v>
      </c>
      <c r="B165" s="5" t="s">
        <v>29</v>
      </c>
      <c r="C165" s="6" t="s">
        <v>48</v>
      </c>
      <c r="D165" s="7">
        <v>40379</v>
      </c>
      <c r="F165" s="13" t="str">
        <f ca="1">VLOOKUP(LEFT(A165,IF(ISERROR(FIND(".",A165)),LEN(A165)+1,FIND(".",A165))-1),WorkList!A:C,3,FALSE)</f>
        <v>Matrix Pricing Application</v>
      </c>
      <c r="G165" s="14" t="str">
        <f ca="1">VLOOKUP(CONCATENATE(A165),WorkList!A:C,3,FALSE)</f>
        <v>Test and UAT all changes</v>
      </c>
      <c r="H165" s="13" t="str">
        <f ca="1">VLOOKUP(CONCATENATE(A165),WorkList!A:D,4,FALSE)</f>
        <v>Neil</v>
      </c>
      <c r="I165" s="15">
        <f ca="1">VLOOKUP(CONCATENATE(A165),WorkList!A:E,5,FALSE)</f>
        <v>40353</v>
      </c>
      <c r="J165" s="49">
        <f ca="1">VLOOKUP(CONCATENATE(A165),WorkList!A:F,6,FALSE)</f>
        <v>2</v>
      </c>
      <c r="K165" s="49" t="str">
        <f ca="1">VLOOKUP(CONCATENATE(A165),WorkList!A:G,7,FALSE)</f>
        <v>NewDevelopment</v>
      </c>
      <c r="L165" s="7" t="s">
        <v>13</v>
      </c>
      <c r="M165" s="16">
        <v>40388</v>
      </c>
      <c r="N165" s="60">
        <f ca="1">VALUE(LEFT(C165))</f>
        <v>0</v>
      </c>
      <c r="O165" s="61">
        <f ca="1">INT(IF(N165&gt;0,1+MAX(N165*N165-(IF(D165="",TODAY()+(5-N165)*15,D165)-TODAY())/4,N165),IF(TODAY()-M165&gt;10,0,1)))</f>
        <v>0</v>
      </c>
      <c r="P165" s="1" t="str">
        <f ca="1">IF(ISNA(VLOOKUP(A165,Projects!B:B,1,FALSE)),"","Yes")</f>
        <v>Yes</v>
      </c>
    </row>
    <row r="166" spans="1:16">
      <c r="A166" s="4" t="s">
        <v>1245</v>
      </c>
      <c r="B166" s="5" t="s">
        <v>32</v>
      </c>
      <c r="C166" s="7" t="s">
        <v>48</v>
      </c>
      <c r="D166" s="7">
        <v>40380</v>
      </c>
      <c r="F166" s="13" t="str">
        <f ca="1">VLOOKUP(LEFT(A166,IF(ISERROR(FIND(".",A166)),LEN(A166)+1,FIND(".",A166))-1),WorkList!A:C,3,FALSE)</f>
        <v>Matrix Pricing Application</v>
      </c>
      <c r="G166" s="14" t="str">
        <f ca="1">VLOOKUP(CONCATENATE(A166),WorkList!A:C,3,FALSE)</f>
        <v>Review Matrix Pricing changes</v>
      </c>
      <c r="H166" s="13" t="str">
        <f ca="1">VLOOKUP(CONCATENATE(A166),WorkList!A:D,4,FALSE)</f>
        <v>Neil</v>
      </c>
      <c r="I166" s="15">
        <f ca="1">VLOOKUP(CONCATENATE(A166),WorkList!A:E,5,FALSE)</f>
        <v>40353</v>
      </c>
      <c r="J166" s="49">
        <f ca="1">VLOOKUP(CONCATENATE(A166),WorkList!A:F,6,FALSE)</f>
        <v>1</v>
      </c>
      <c r="K166" s="49" t="str">
        <f ca="1">VLOOKUP(CONCATENATE(A166),WorkList!A:G,7,FALSE)</f>
        <v>NewDevelopment</v>
      </c>
      <c r="L166" s="7" t="s">
        <v>13</v>
      </c>
      <c r="M166" s="16">
        <v>40387</v>
      </c>
      <c r="N166" s="60">
        <f ca="1">VALUE(LEFT(C166))</f>
        <v>0</v>
      </c>
      <c r="O166" s="61">
        <f ca="1">INT(IF(N166&gt;0,1+MAX(N166*N166-(IF(D166="",TODAY()+(5-N166)*15,D166)-TODAY())/4,N166),IF(TODAY()-M166&gt;10,0,1)))</f>
        <v>0</v>
      </c>
      <c r="P166" s="1" t="str">
        <f ca="1">IF(ISNA(VLOOKUP(A166,Projects!B:B,1,FALSE)),"","Yes")</f>
        <v>Yes</v>
      </c>
    </row>
    <row r="167" spans="1:16">
      <c r="A167" s="4" t="s">
        <v>1247</v>
      </c>
      <c r="B167" s="5" t="s">
        <v>29</v>
      </c>
      <c r="C167" s="6" t="s">
        <v>48</v>
      </c>
      <c r="D167" s="7">
        <v>40382</v>
      </c>
      <c r="F167" s="13" t="str">
        <f ca="1">VLOOKUP(LEFT(A167,IF(ISERROR(FIND(".",A167)),LEN(A167)+1,FIND(".",A167))-1),WorkList!A:C,3,FALSE)</f>
        <v>Matrix Pricing Application</v>
      </c>
      <c r="G167" s="14" t="str">
        <f ca="1">VLOOKUP(CONCATENATE(A167),WorkList!A:C,3,FALSE)</f>
        <v>Release Matrix Pricing changes</v>
      </c>
      <c r="H167" s="13" t="str">
        <f ca="1">VLOOKUP(CONCATENATE(A167),WorkList!A:D,4,FALSE)</f>
        <v>Neil</v>
      </c>
      <c r="I167" s="15">
        <f ca="1">VLOOKUP(CONCATENATE(A167),WorkList!A:E,5,FALSE)</f>
        <v>40353</v>
      </c>
      <c r="J167" s="49">
        <f ca="1">VLOOKUP(CONCATENATE(A167),WorkList!A:F,6,FALSE)</f>
        <v>1</v>
      </c>
      <c r="K167" s="49" t="str">
        <f ca="1">VLOOKUP(CONCATENATE(A167),WorkList!A:G,7,FALSE)</f>
        <v>NewDevelopment</v>
      </c>
      <c r="L167" s="7" t="s">
        <v>13</v>
      </c>
      <c r="M167" s="16">
        <v>40388</v>
      </c>
      <c r="N167" s="60">
        <f ca="1">VALUE(LEFT(C167))</f>
        <v>0</v>
      </c>
      <c r="O167" s="61">
        <f ca="1">INT(IF(N167&gt;0,1+MAX(N167*N167-(IF(D167="",TODAY()+(5-N167)*15,D167)-TODAY())/4,N167),IF(TODAY()-M167&gt;10,0,1)))</f>
        <v>0</v>
      </c>
      <c r="P167" s="1" t="str">
        <f ca="1">IF(ISNA(VLOOKUP(A167,Projects!B:B,1,FALSE)),"","Yes")</f>
        <v>Yes</v>
      </c>
    </row>
    <row r="168" spans="1:16">
      <c r="A168" s="4" t="s">
        <v>1334</v>
      </c>
      <c r="B168" s="5" t="s">
        <v>29</v>
      </c>
      <c r="C168" s="7" t="s">
        <v>48</v>
      </c>
      <c r="D168" s="11">
        <v>40452</v>
      </c>
      <c r="F168" s="13" t="str">
        <f ca="1">VLOOKUP(LEFT(A168,IF(ISERROR(FIND(".",A168)),LEN(A168)+1,FIND(".",A168))-1),WorkList!A:C,3,FALSE)</f>
        <v>Matrix Pricing Application</v>
      </c>
      <c r="G168" s="14" t="str">
        <f ca="1">VLOOKUP(CONCATENATE(A168),WorkList!A:C,3,FALSE)</f>
        <v>Remove un-needed fields from MatrixPricing.Results</v>
      </c>
      <c r="H168" s="13" t="str">
        <f ca="1">VLOOKUP(CONCATENATE(A168),WorkList!A:D,4,FALSE)</f>
        <v>Neil</v>
      </c>
      <c r="I168" s="15">
        <f ca="1">VLOOKUP(CONCATENATE(A168),WorkList!A:E,5,FALSE)</f>
        <v>40364</v>
      </c>
      <c r="J168" s="49">
        <f ca="1">VLOOKUP(CONCATENATE(A168),WorkList!A:F,6,FALSE)</f>
        <v>1</v>
      </c>
      <c r="K168" s="49" t="str">
        <f ca="1">VLOOKUP(CONCATENATE(A168),WorkList!A:G,7,FALSE)</f>
        <v>NewDevelopment</v>
      </c>
      <c r="L168" s="7" t="s">
        <v>13</v>
      </c>
      <c r="M168" s="16">
        <v>40490</v>
      </c>
      <c r="N168" s="60">
        <f ca="1">VALUE(LEFT(C168))</f>
        <v>0</v>
      </c>
      <c r="O168" s="61">
        <f ca="1">INT(IF(N168&gt;0,1+MAX(N168*N168-(IF(D168="",TODAY()+(5-N168)*15,D168)-TODAY())/4,N168),IF(TODAY()-M168&gt;10,0,1)))</f>
        <v>0</v>
      </c>
      <c r="P168" s="1" t="str">
        <f ca="1">IF(ISNA(VLOOKUP(A168,Projects!B:B,1,FALSE)),"","Yes")</f>
        <v>Yes</v>
      </c>
    </row>
    <row r="169" spans="1:16">
      <c r="A169" s="4" t="s">
        <v>644</v>
      </c>
      <c r="B169" s="5" t="s">
        <v>32</v>
      </c>
      <c r="C169" s="6" t="s">
        <v>48</v>
      </c>
      <c r="D169" s="11"/>
      <c r="F169" s="13" t="str">
        <f ca="1">VLOOKUP(LEFT(A169,IF(ISERROR(FIND(".",A169)),LEN(A169)+1,FIND(".",A169))-1),WorkList!A:C,3,FALSE)</f>
        <v>Matrix Pricing Application</v>
      </c>
      <c r="G169" s="14" t="str">
        <f ca="1">VLOOKUP(CONCATENATE(A169),WorkList!A:C,3,FALSE)</f>
        <v>Modify L2 so that criteria can be edited</v>
      </c>
      <c r="H169" s="13" t="str">
        <f ca="1">VLOOKUP(CONCATENATE(A169),WorkList!A:D,4,FALSE)</f>
        <v>Shubh</v>
      </c>
      <c r="I169" s="15">
        <f ca="1">VLOOKUP(CONCATENATE(A169),WorkList!A:E,5,FALSE)</f>
        <v>40120</v>
      </c>
      <c r="J169" s="49">
        <f ca="1">VLOOKUP(CONCATENATE(A169),WorkList!A:F,6,FALSE)</f>
        <v>0.5</v>
      </c>
      <c r="K169" s="49">
        <f ca="1">VLOOKUP(CONCATENATE(A169),WorkList!A:G,7,FALSE)</f>
        <v>0</v>
      </c>
      <c r="L169" s="7" t="s">
        <v>13</v>
      </c>
      <c r="M169" s="16">
        <v>40126</v>
      </c>
      <c r="N169" s="60">
        <f ca="1">VALUE(LEFT(C169))</f>
        <v>0</v>
      </c>
      <c r="O169" s="61">
        <f ca="1">INT(IF(N169&gt;0,1+MAX(N169*N169-(IF(D169="",TODAY()+(5-N169)*15,D169)-TODAY())/4,N169),IF(TODAY()-M169&gt;10,0,1)))</f>
        <v>0</v>
      </c>
      <c r="P169" s="1" t="str">
        <f ca="1">IF(ISNA(VLOOKUP(A169,Projects!B:B,1,FALSE)),"","Yes")</f>
        <v/>
      </c>
    </row>
    <row r="170" spans="1:16">
      <c r="A170" s="4" t="s">
        <v>1357</v>
      </c>
      <c r="B170" s="5" t="s">
        <v>29</v>
      </c>
      <c r="C170" s="7" t="s">
        <v>48</v>
      </c>
      <c r="D170" s="11">
        <v>40452</v>
      </c>
      <c r="F170" s="13" t="str">
        <f ca="1">VLOOKUP(LEFT(A170,IF(ISERROR(FIND(".",A170)),LEN(A170)+1,FIND(".",A170))-1),WorkList!A:C,3,FALSE)</f>
        <v>Matrix Pricing Application</v>
      </c>
      <c r="G170" s="14" t="str">
        <f ca="1">VLOOKUP(CONCATENATE(A170),WorkList!A:C,3,FALSE)</f>
        <v>Three fixes proposed by Ruth.</v>
      </c>
      <c r="H170" s="13" t="str">
        <f ca="1">VLOOKUP(CONCATENATE(A170),WorkList!A:D,4,FALSE)</f>
        <v>Ruth</v>
      </c>
      <c r="I170" s="15">
        <f ca="1">VLOOKUP(CONCATENATE(A170),WorkList!A:E,5,FALSE)</f>
        <v>40387</v>
      </c>
      <c r="J170" s="49">
        <f ca="1">VLOOKUP(CONCATENATE(A170),WorkList!A:F,6,FALSE)</f>
        <v>3</v>
      </c>
      <c r="K170" s="49" t="str">
        <f ca="1">VLOOKUP(CONCATENATE(A170),WorkList!A:G,7,FALSE)</f>
        <v>Enhancement</v>
      </c>
      <c r="L170" s="7" t="s">
        <v>13</v>
      </c>
      <c r="M170" s="16">
        <v>40490</v>
      </c>
      <c r="N170" s="60">
        <f ca="1">VALUE(LEFT(C170))</f>
        <v>0</v>
      </c>
      <c r="O170" s="61">
        <f ca="1">INT(IF(N170&gt;0,1+MAX(N170*N170-(IF(D170="",TODAY()+(5-N170)*15,D170)-TODAY())/4,N170),IF(TODAY()-M170&gt;10,0,1)))</f>
        <v>0</v>
      </c>
      <c r="P170" s="1" t="str">
        <f ca="1">IF(ISNA(VLOOKUP(A170,Projects!B:B,1,FALSE)),"","Yes")</f>
        <v>Yes</v>
      </c>
    </row>
    <row r="171" spans="1:16">
      <c r="A171" s="4" t="s">
        <v>1373</v>
      </c>
      <c r="B171" s="5" t="s">
        <v>29</v>
      </c>
      <c r="C171" s="6" t="s">
        <v>48</v>
      </c>
      <c r="D171" s="11">
        <v>40435</v>
      </c>
      <c r="F171" s="13" t="str">
        <f ca="1">VLOOKUP(LEFT(A171,IF(ISERROR(FIND(".",A171)),LEN(A171)+1,FIND(".",A171))-1),WorkList!A:C,3,FALSE)</f>
        <v>Matrix Pricing Application</v>
      </c>
      <c r="G171" s="14" t="str">
        <f ca="1">VLOOKUP(CONCATENATE(A171),WorkList!A:C,3,FALSE)</f>
        <v>Invert concept of FrontPay + BackPay</v>
      </c>
      <c r="H171" s="13" t="str">
        <f ca="1">VLOOKUP(CONCATENATE(A171),WorkList!A:D,4,FALSE)</f>
        <v>Neil</v>
      </c>
      <c r="I171" s="15">
        <f ca="1">VLOOKUP(CONCATENATE(A171),WorkList!A:E,5,FALSE)</f>
        <v>40388</v>
      </c>
      <c r="J171" s="49">
        <f ca="1">VLOOKUP(CONCATENATE(A171),WorkList!A:F,6,FALSE)</f>
        <v>2</v>
      </c>
      <c r="K171" s="49" t="str">
        <f ca="1">VLOOKUP(CONCATENATE(A171),WorkList!A:G,7,FALSE)</f>
        <v>Maintenance</v>
      </c>
      <c r="L171" s="7" t="s">
        <v>13</v>
      </c>
      <c r="M171" s="16">
        <v>40436</v>
      </c>
      <c r="N171" s="60">
        <f ca="1">VALUE(LEFT(C171))</f>
        <v>0</v>
      </c>
      <c r="O171" s="61">
        <f ca="1">INT(IF(N171&gt;0,1+MAX(N171*N171-(IF(D171="",TODAY()+(5-N171)*15,D171)-TODAY())/4,N171),IF(TODAY()-M171&gt;10,0,1)))</f>
        <v>0</v>
      </c>
      <c r="P171" s="1" t="str">
        <f ca="1">IF(ISNA(VLOOKUP(A171,Projects!B:B,1,FALSE)),"","Yes")</f>
        <v>Yes</v>
      </c>
    </row>
    <row r="172" spans="1:16">
      <c r="A172" s="4" t="s">
        <v>1375</v>
      </c>
      <c r="B172" s="5" t="s">
        <v>29</v>
      </c>
      <c r="C172" s="6" t="s">
        <v>48</v>
      </c>
      <c r="D172" s="11">
        <v>40435</v>
      </c>
      <c r="F172" s="13" t="str">
        <f ca="1">VLOOKUP(LEFT(A172,IF(ISERROR(FIND(".",A172)),LEN(A172)+1,FIND(".",A172))-1),WorkList!A:C,3,FALSE)</f>
        <v>Matrix Pricing Application</v>
      </c>
      <c r="G172" s="14" t="str">
        <f ca="1">VLOOKUP(CONCATENATE(A172),WorkList!A:C,3,FALSE)</f>
        <v>Modify windows sizes so that all columns are displayed</v>
      </c>
      <c r="H172" s="13" t="str">
        <f ca="1">VLOOKUP(CONCATENATE(A172),WorkList!A:D,4,FALSE)</f>
        <v>Neil</v>
      </c>
      <c r="I172" s="15">
        <f ca="1">VLOOKUP(CONCATENATE(A172),WorkList!A:E,5,FALSE)</f>
        <v>40388</v>
      </c>
      <c r="J172" s="49">
        <f ca="1">VLOOKUP(CONCATENATE(A172),WorkList!A:F,6,FALSE)</f>
        <v>1</v>
      </c>
      <c r="K172" s="49" t="str">
        <f ca="1">VLOOKUP(CONCATENATE(A172),WorkList!A:G,7,FALSE)</f>
        <v>Enhancement</v>
      </c>
      <c r="L172" s="7" t="s">
        <v>13</v>
      </c>
      <c r="M172" s="16">
        <v>40436</v>
      </c>
      <c r="N172" s="60">
        <f ca="1">VALUE(LEFT(C172))</f>
        <v>0</v>
      </c>
      <c r="O172" s="61">
        <f ca="1">INT(IF(N172&gt;0,1+MAX(N172*N172-(IF(D172="",TODAY()+(5-N172)*15,D172)-TODAY())/4,N172),IF(TODAY()-M172&gt;10,0,1)))</f>
        <v>0</v>
      </c>
      <c r="P172" s="1" t="str">
        <f ca="1">IF(ISNA(VLOOKUP(A172,Projects!B:B,1,FALSE)),"","Yes")</f>
        <v>Yes</v>
      </c>
    </row>
    <row r="173" spans="1:16" ht="25.5">
      <c r="A173" s="4" t="s">
        <v>1377</v>
      </c>
      <c r="B173" s="5" t="s">
        <v>29</v>
      </c>
      <c r="C173" s="6" t="s">
        <v>48</v>
      </c>
      <c r="D173" s="11">
        <v>40435</v>
      </c>
      <c r="F173" s="13" t="str">
        <f ca="1">VLOOKUP(LEFT(A173,IF(ISERROR(FIND(".",A173)),LEN(A173)+1,FIND(".",A173))-1),WorkList!A:C,3,FALSE)</f>
        <v>Matrix Pricing Application</v>
      </c>
      <c r="G173" s="14" t="str">
        <f ca="1">VLOOKUP(CONCATENATE(A173),WorkList!A:C,3,FALSE)</f>
        <v>Make sure the same columns appear for Levels 1, 2 &amp; 3 between Matrix Editor and Viewer.</v>
      </c>
      <c r="H173" s="13" t="str">
        <f ca="1">VLOOKUP(CONCATENATE(A173),WorkList!A:D,4,FALSE)</f>
        <v>Neil</v>
      </c>
      <c r="I173" s="15">
        <f ca="1">VLOOKUP(CONCATENATE(A173),WorkList!A:E,5,FALSE)</f>
        <v>40388</v>
      </c>
      <c r="J173" s="49">
        <f ca="1">VLOOKUP(CONCATENATE(A173),WorkList!A:F,6,FALSE)</f>
        <v>1</v>
      </c>
      <c r="K173" s="49" t="str">
        <f ca="1">VLOOKUP(CONCATENATE(A173),WorkList!A:G,7,FALSE)</f>
        <v>Enhancement</v>
      </c>
      <c r="L173" s="7" t="s">
        <v>13</v>
      </c>
      <c r="M173" s="16">
        <v>40436</v>
      </c>
      <c r="N173" s="60">
        <f ca="1">VALUE(LEFT(C173))</f>
        <v>0</v>
      </c>
      <c r="O173" s="61">
        <f ca="1">INT(IF(N173&gt;0,1+MAX(N173*N173-(IF(D173="",TODAY()+(5-N173)*15,D173)-TODAY())/4,N173),IF(TODAY()-M173&gt;10,0,1)))</f>
        <v>0</v>
      </c>
      <c r="P173" s="1" t="str">
        <f ca="1">IF(ISNA(VLOOKUP(A173,Projects!B:B,1,FALSE)),"","Yes")</f>
        <v>Yes</v>
      </c>
    </row>
    <row r="174" spans="1:16">
      <c r="A174" s="4" t="s">
        <v>1380</v>
      </c>
      <c r="B174" s="5" t="s">
        <v>29</v>
      </c>
      <c r="C174" s="7" t="s">
        <v>48</v>
      </c>
      <c r="D174" s="11">
        <v>40452</v>
      </c>
      <c r="F174" s="13" t="str">
        <f ca="1">VLOOKUP(LEFT(A174,IF(ISERROR(FIND(".",A174)),LEN(A174)+1,FIND(".",A174))-1),WorkList!A:C,3,FALSE)</f>
        <v>Matrix Pricing Application</v>
      </c>
      <c r="G174" s="14" t="str">
        <f ca="1">VLOOKUP(CONCATENATE(A174),WorkList!A:C,3,FALSE)</f>
        <v>Test and UAT all changes</v>
      </c>
      <c r="H174" s="13" t="str">
        <f ca="1">VLOOKUP(CONCATENATE(A174),WorkList!A:D,4,FALSE)</f>
        <v>Neil</v>
      </c>
      <c r="I174" s="15">
        <f ca="1">VLOOKUP(CONCATENATE(A174),WorkList!A:E,5,FALSE)</f>
        <v>40388</v>
      </c>
      <c r="J174" s="49">
        <f ca="1">VLOOKUP(CONCATENATE(A174),WorkList!A:F,6,FALSE)</f>
        <v>1</v>
      </c>
      <c r="K174" s="49" t="str">
        <f ca="1">VLOOKUP(CONCATENATE(A174),WorkList!A:G,7,FALSE)</f>
        <v>Enhancement</v>
      </c>
      <c r="L174" s="7" t="s">
        <v>13</v>
      </c>
      <c r="M174" s="16">
        <v>40490</v>
      </c>
      <c r="N174" s="60">
        <f ca="1">VALUE(LEFT(C174))</f>
        <v>0</v>
      </c>
      <c r="O174" s="61">
        <f ca="1">INT(IF(N174&gt;0,1+MAX(N174*N174-(IF(D174="",TODAY()+(5-N174)*15,D174)-TODAY())/4,N174),IF(TODAY()-M174&gt;10,0,1)))</f>
        <v>0</v>
      </c>
      <c r="P174" s="1" t="str">
        <f ca="1">IF(ISNA(VLOOKUP(A174,Projects!B:B,1,FALSE)),"","Yes")</f>
        <v>Yes</v>
      </c>
    </row>
    <row r="175" spans="1:16">
      <c r="A175" s="4" t="s">
        <v>1381</v>
      </c>
      <c r="B175" s="5" t="s">
        <v>32</v>
      </c>
      <c r="C175" s="7" t="s">
        <v>48</v>
      </c>
      <c r="D175" s="11">
        <v>40459</v>
      </c>
      <c r="F175" s="13" t="str">
        <f ca="1">VLOOKUP(LEFT(A175,IF(ISERROR(FIND(".",A175)),LEN(A175)+1,FIND(".",A175))-1),WorkList!A:C,3,FALSE)</f>
        <v>Matrix Pricing Application</v>
      </c>
      <c r="G175" s="14" t="str">
        <f ca="1">VLOOKUP(CONCATENATE(A175),WorkList!A:C,3,FALSE)</f>
        <v>Review Matrix Pricing changes</v>
      </c>
      <c r="H175" s="13" t="str">
        <f ca="1">VLOOKUP(CONCATENATE(A175),WorkList!A:D,4,FALSE)</f>
        <v>Neil</v>
      </c>
      <c r="I175" s="15">
        <f ca="1">VLOOKUP(CONCATENATE(A175),WorkList!A:E,5,FALSE)</f>
        <v>40388</v>
      </c>
      <c r="J175" s="49">
        <f ca="1">VLOOKUP(CONCATENATE(A175),WorkList!A:F,6,FALSE)</f>
        <v>1</v>
      </c>
      <c r="K175" s="49" t="str">
        <f ca="1">VLOOKUP(CONCATENATE(A175),WorkList!A:G,7,FALSE)</f>
        <v>Enhancement</v>
      </c>
      <c r="L175" s="7" t="s">
        <v>13</v>
      </c>
      <c r="M175" s="16">
        <v>40490</v>
      </c>
      <c r="N175" s="60">
        <f ca="1">VALUE(LEFT(C175))</f>
        <v>0</v>
      </c>
      <c r="O175" s="61">
        <f ca="1">INT(IF(N175&gt;0,1+MAX(N175*N175-(IF(D175="",TODAY()+(5-N175)*15,D175)-TODAY())/4,N175),IF(TODAY()-M175&gt;10,0,1)))</f>
        <v>0</v>
      </c>
      <c r="P175" s="1" t="str">
        <f ca="1">IF(ISNA(VLOOKUP(A175,Projects!B:B,1,FALSE)),"","Yes")</f>
        <v>Yes</v>
      </c>
    </row>
    <row r="176" spans="1:16">
      <c r="A176" s="4" t="s">
        <v>1382</v>
      </c>
      <c r="B176" s="5" t="s">
        <v>29</v>
      </c>
      <c r="C176" s="7" t="s">
        <v>48</v>
      </c>
      <c r="D176" s="11">
        <v>40459</v>
      </c>
      <c r="F176" s="13" t="str">
        <f ca="1">VLOOKUP(LEFT(A176,IF(ISERROR(FIND(".",A176)),LEN(A176)+1,FIND(".",A176))-1),WorkList!A:C,3,FALSE)</f>
        <v>Matrix Pricing Application</v>
      </c>
      <c r="G176" s="14" t="str">
        <f ca="1">VLOOKUP(CONCATENATE(A176),WorkList!A:C,3,FALSE)</f>
        <v>Release Matrix Pricing changes</v>
      </c>
      <c r="H176" s="13" t="str">
        <f ca="1">VLOOKUP(CONCATENATE(A176),WorkList!A:D,4,FALSE)</f>
        <v>Neil</v>
      </c>
      <c r="I176" s="15">
        <f ca="1">VLOOKUP(CONCATENATE(A176),WorkList!A:E,5,FALSE)</f>
        <v>40388</v>
      </c>
      <c r="J176" s="49">
        <f ca="1">VLOOKUP(CONCATENATE(A176),WorkList!A:F,6,FALSE)</f>
        <v>1</v>
      </c>
      <c r="K176" s="49" t="str">
        <f ca="1">VLOOKUP(CONCATENATE(A176),WorkList!A:G,7,FALSE)</f>
        <v>Enhancement</v>
      </c>
      <c r="L176" s="7" t="s">
        <v>13</v>
      </c>
      <c r="M176" s="16">
        <v>40490</v>
      </c>
      <c r="N176" s="60">
        <f ca="1">VALUE(LEFT(C176))</f>
        <v>0</v>
      </c>
      <c r="O176" s="61">
        <f ca="1">INT(IF(N176&gt;0,1+MAX(N176*N176-(IF(D176="",TODAY()+(5-N176)*15,D176)-TODAY())/4,N176),IF(TODAY()-M176&gt;10,0,1)))</f>
        <v>0</v>
      </c>
      <c r="P176" s="1" t="str">
        <f ca="1">IF(ISNA(VLOOKUP(A176,Projects!B:B,1,FALSE)),"","Yes")</f>
        <v>Yes</v>
      </c>
    </row>
    <row r="177" spans="1:16">
      <c r="A177" s="4" t="s">
        <v>1412</v>
      </c>
      <c r="B177" s="5" t="s">
        <v>29</v>
      </c>
      <c r="C177" s="7" t="s">
        <v>48</v>
      </c>
      <c r="D177" s="11">
        <v>40452</v>
      </c>
      <c r="F177" s="13" t="str">
        <f ca="1">VLOOKUP(LEFT(A177,IF(ISERROR(FIND(".",A177)),LEN(A177)+1,FIND(".",A177))-1),WorkList!A:C,3,FALSE)</f>
        <v>Matrix Pricing Application</v>
      </c>
      <c r="G177" s="14" t="str">
        <f ca="1">VLOOKUP(CONCATENATE(A177),WorkList!A:C,3,FALSE)</f>
        <v>Add ability to specify yields</v>
      </c>
      <c r="H177" s="13" t="str">
        <f ca="1">VLOOKUP(CONCATENATE(A177),WorkList!A:D,4,FALSE)</f>
        <v>Zhuu</v>
      </c>
      <c r="I177" s="15">
        <f ca="1">VLOOKUP(CONCATENATE(A177),WorkList!A:E,5,FALSE)</f>
        <v>40403</v>
      </c>
      <c r="J177" s="49">
        <f ca="1">VLOOKUP(CONCATENATE(A177),WorkList!A:F,6,FALSE)</f>
        <v>4</v>
      </c>
      <c r="K177" s="49" t="str">
        <f ca="1">VLOOKUP(CONCATENATE(A177),WorkList!A:G,7,FALSE)</f>
        <v>Enhancement</v>
      </c>
      <c r="L177" s="7" t="s">
        <v>13</v>
      </c>
      <c r="M177" s="16">
        <v>40490</v>
      </c>
      <c r="N177" s="60">
        <f ca="1">VALUE(LEFT(C177))</f>
        <v>0</v>
      </c>
      <c r="O177" s="61">
        <f ca="1">INT(IF(N177&gt;0,1+MAX(N177*N177-(IF(D177="",TODAY()+(5-N177)*15,D177)-TODAY())/4,N177),IF(TODAY()-M177&gt;10,0,1)))</f>
        <v>0</v>
      </c>
      <c r="P177" s="1" t="str">
        <f ca="1">IF(ISNA(VLOOKUP(A177,Projects!B:B,1,FALSE)),"","Yes")</f>
        <v>Yes</v>
      </c>
    </row>
    <row r="178" spans="1:16">
      <c r="A178" s="4" t="s">
        <v>1466</v>
      </c>
      <c r="B178" s="5" t="s">
        <v>29</v>
      </c>
      <c r="C178" s="6" t="s">
        <v>48</v>
      </c>
      <c r="D178" s="11">
        <v>40435</v>
      </c>
      <c r="F178" s="13" t="str">
        <f ca="1">VLOOKUP(LEFT(A178,IF(ISERROR(FIND(".",A178)),LEN(A178)+1,FIND(".",A178))-1),WorkList!A:C,3,FALSE)</f>
        <v>Matrix Pricing Application</v>
      </c>
      <c r="G178" s="14" t="str">
        <f ca="1">VLOOKUP(CONCATENATE(A178),WorkList!A:C,3,FALSE)</f>
        <v>Correct WAL calculation</v>
      </c>
      <c r="H178" s="13" t="str">
        <f ca="1">VLOOKUP(CONCATENATE(A178),WorkList!A:D,4,FALSE)</f>
        <v>Zhuu</v>
      </c>
      <c r="I178" s="15">
        <f ca="1">VLOOKUP(CONCATENATE(A178),WorkList!A:E,5,FALSE)</f>
        <v>40423</v>
      </c>
      <c r="J178" s="49">
        <f ca="1">VLOOKUP(CONCATENATE(A178),WorkList!A:F,6,FALSE)</f>
        <v>1</v>
      </c>
      <c r="K178" s="49" t="str">
        <f ca="1">VLOOKUP(CONCATENATE(A178),WorkList!A:G,7,FALSE)</f>
        <v>Enhancement</v>
      </c>
      <c r="L178" s="7" t="s">
        <v>13</v>
      </c>
      <c r="M178" s="16">
        <v>40436</v>
      </c>
      <c r="N178" s="60">
        <f ca="1">VALUE(LEFT(C178))</f>
        <v>0</v>
      </c>
      <c r="O178" s="61">
        <f ca="1">INT(IF(N178&gt;0,1+MAX(N178*N178-(IF(D178="",TODAY()+(5-N178)*15,D178)-TODAY())/4,N178),IF(TODAY()-M178&gt;10,0,1)))</f>
        <v>0</v>
      </c>
      <c r="P178" s="1" t="str">
        <f ca="1">IF(ISNA(VLOOKUP(A178,Projects!B:B,1,FALSE)),"","Yes")</f>
        <v>Yes</v>
      </c>
    </row>
    <row r="179" spans="1:16">
      <c r="A179" s="4" t="s">
        <v>1481</v>
      </c>
      <c r="B179" s="5" t="s">
        <v>29</v>
      </c>
      <c r="C179" s="6" t="s">
        <v>48</v>
      </c>
      <c r="D179" s="11">
        <v>40438</v>
      </c>
      <c r="F179" s="13" t="str">
        <f ca="1">VLOOKUP(LEFT(A179,IF(ISERROR(FIND(".",A179)),LEN(A179)+1,FIND(".",A179))-1),WorkList!A:C,3,FALSE)</f>
        <v>Matrix Pricing Application</v>
      </c>
      <c r="G179" s="14" t="str">
        <f ca="1">VLOOKUP(CONCATENATE(A179),WorkList!A:C,3,FALSE)</f>
        <v>Partial Release</v>
      </c>
      <c r="H179" s="13" t="str">
        <f ca="1">VLOOKUP(CONCATENATE(A179),WorkList!A:D,4,FALSE)</f>
        <v>Neil</v>
      </c>
      <c r="I179" s="15">
        <f ca="1">VLOOKUP(CONCATENATE(A179),WorkList!A:E,5,FALSE)</f>
        <v>40429</v>
      </c>
      <c r="J179" s="49">
        <f ca="1">VLOOKUP(CONCATENATE(A179),WorkList!A:F,6,FALSE)</f>
        <v>1</v>
      </c>
      <c r="K179" s="49" t="str">
        <f ca="1">VLOOKUP(CONCATENATE(A179),WorkList!A:G,7,FALSE)</f>
        <v>Enhancement</v>
      </c>
      <c r="L179" s="7" t="s">
        <v>13</v>
      </c>
      <c r="M179" s="16">
        <v>40436</v>
      </c>
      <c r="N179" s="60">
        <f ca="1">VALUE(LEFT(C179))</f>
        <v>0</v>
      </c>
      <c r="O179" s="61">
        <f ca="1">INT(IF(N179&gt;0,1+MAX(N179*N179-(IF(D179="",TODAY()+(5-N179)*15,D179)-TODAY())/4,N179),IF(TODAY()-M179&gt;10,0,1)))</f>
        <v>0</v>
      </c>
      <c r="P179" s="1" t="str">
        <f ca="1">IF(ISNA(VLOOKUP(A179,Projects!B:B,1,FALSE)),"","Yes")</f>
        <v>Yes</v>
      </c>
    </row>
    <row r="180" spans="1:16">
      <c r="A180" s="4" t="s">
        <v>1532</v>
      </c>
      <c r="B180" s="5" t="s">
        <v>29</v>
      </c>
      <c r="C180" s="7" t="s">
        <v>48</v>
      </c>
      <c r="F180" s="13" t="str">
        <f ca="1">VLOOKUP(LEFT(A180,IF(ISERROR(FIND(".",A180)),LEN(A180)+1,FIND(".",A180))-1),WorkList!A:C,3,FALSE)</f>
        <v>Matrix Pricing Application</v>
      </c>
      <c r="G180" s="14" t="str">
        <f ca="1">VLOOKUP(CONCATENATE(A180),WorkList!A:C,3,FALSE)</f>
        <v>Refactor DoTierMapLookup()</v>
      </c>
      <c r="H180" s="13" t="str">
        <f ca="1">VLOOKUP(CONCATENATE(A180),WorkList!A:D,4,FALSE)</f>
        <v>Pramendra</v>
      </c>
      <c r="I180" s="15">
        <f ca="1">VLOOKUP(CONCATENATE(A180),WorkList!A:E,5,FALSE)</f>
        <v>40438</v>
      </c>
      <c r="J180" s="49">
        <f ca="1">VLOOKUP(CONCATENATE(A180),WorkList!A:F,6,FALSE)</f>
        <v>2</v>
      </c>
      <c r="K180" s="49" t="str">
        <f ca="1">VLOOKUP(CONCATENATE(A180),WorkList!A:G,7,FALSE)</f>
        <v>Enhancement</v>
      </c>
      <c r="L180" s="7" t="s">
        <v>13</v>
      </c>
      <c r="M180" s="16">
        <v>40490</v>
      </c>
      <c r="N180" s="60">
        <f ca="1">VALUE(LEFT(C180))</f>
        <v>0</v>
      </c>
      <c r="O180" s="61">
        <f ca="1">INT(IF(N180&gt;0,1+MAX(N180*N180-(IF(D180="",TODAY()+(5-N180)*15,D180)-TODAY())/4,N180),IF(TODAY()-M180&gt;10,0,1)))</f>
        <v>0</v>
      </c>
      <c r="P180" s="1" t="str">
        <f ca="1">IF(ISNA(VLOOKUP(A180,Projects!B:B,1,FALSE)),"","Yes")</f>
        <v/>
      </c>
    </row>
    <row r="181" spans="1:16">
      <c r="A181" s="4" t="s">
        <v>1682</v>
      </c>
      <c r="B181" s="5" t="s">
        <v>21</v>
      </c>
      <c r="C181" s="7" t="s">
        <v>10</v>
      </c>
      <c r="F181" s="13" t="str">
        <f ca="1">VLOOKUP(LEFT(A181,IF(ISERROR(FIND(".",A181)),LEN(A181)+1,FIND(".",A181))-1),WorkList!A:C,3,FALSE)</f>
        <v>Matrix Pricing Application</v>
      </c>
      <c r="G181" s="14" t="str">
        <f ca="1">VLOOKUP(CONCATENATE(A181),WorkList!A:C,3,FALSE)</f>
        <v>Add 'OriginalPaymentPriority’ functionality</v>
      </c>
      <c r="H181" s="13" t="str">
        <f ca="1">VLOOKUP(CONCATENATE(A181),WorkList!A:D,4,FALSE)</f>
        <v>Zhuu</v>
      </c>
      <c r="I181" s="15">
        <f ca="1">VLOOKUP(CONCATENATE(A181),WorkList!A:E,5,FALSE)</f>
        <v>40521</v>
      </c>
      <c r="J181" s="49">
        <f ca="1">VLOOKUP(CONCATENATE(A181),WorkList!A:F,6,FALSE)</f>
        <v>3</v>
      </c>
      <c r="K181" s="49" t="str">
        <f ca="1">VLOOKUP(CONCATENATE(A181),WorkList!A:G,7,FALSE)</f>
        <v>Enhancement</v>
      </c>
      <c r="L181" s="7" t="s">
        <v>7</v>
      </c>
      <c r="M181" s="16">
        <v>40486</v>
      </c>
      <c r="N181" s="60">
        <f ca="1">VALUE(LEFT(C181))</f>
        <v>3</v>
      </c>
      <c r="O181" s="61">
        <f ca="1">INT(IF(N181&gt;0,1+MAX(N181*N181-(IF(D181="",TODAY()+(5-N181)*15,D181)-TODAY())/4,N181),IF(TODAY()-M181&gt;10,0,1)))</f>
        <v>4</v>
      </c>
      <c r="P181" s="1" t="str">
        <f ca="1">IF(ISNA(VLOOKUP(A181,Projects!B:B,1,FALSE)),"","Yes")</f>
        <v>Yes</v>
      </c>
    </row>
    <row r="182" spans="1:16" ht="25.5">
      <c r="A182" s="4" t="s">
        <v>1683</v>
      </c>
      <c r="B182" s="5" t="s">
        <v>21</v>
      </c>
      <c r="C182" s="7" t="s">
        <v>10</v>
      </c>
      <c r="F182" s="13" t="str">
        <f ca="1">VLOOKUP(LEFT(A182,IF(ISERROR(FIND(".",A182)),LEN(A182)+1,FIND(".",A182))-1),WorkList!A:C,3,FALSE)</f>
        <v>Matrix Pricing Application</v>
      </c>
      <c r="G182" s="14" t="str">
        <f ca="1">VLOOKUP(CONCATENATE(A182),WorkList!A:C,3,FALSE)</f>
        <v>Add 'Bulk upload' functionality to L3 on Matrix GUI, to allow many isins to be set easily by users.</v>
      </c>
      <c r="H182" s="13" t="str">
        <f ca="1">VLOOKUP(CONCATENATE(A182),WorkList!A:D,4,FALSE)</f>
        <v>Zhuu</v>
      </c>
      <c r="I182" s="15">
        <f ca="1">VLOOKUP(CONCATENATE(A182),WorkList!A:E,5,FALSE)</f>
        <v>40487</v>
      </c>
      <c r="J182" s="49">
        <f ca="1">VLOOKUP(CONCATENATE(A182),WorkList!A:F,6,FALSE)</f>
        <v>2</v>
      </c>
      <c r="K182" s="49" t="str">
        <f ca="1">VLOOKUP(CONCATENATE(A182),WorkList!A:G,7,FALSE)</f>
        <v>Enhancement</v>
      </c>
      <c r="L182" s="7" t="s">
        <v>7</v>
      </c>
      <c r="M182" s="16">
        <v>40487</v>
      </c>
      <c r="N182" s="60">
        <f ca="1">VALUE(LEFT(C182))</f>
        <v>3</v>
      </c>
      <c r="O182" s="61">
        <f ca="1">INT(IF(N182&gt;0,1+MAX(N182*N182-(IF(D182="",TODAY()+(5-N182)*15,D182)-TODAY())/4,N182),IF(TODAY()-M182&gt;10,0,1)))</f>
        <v>4</v>
      </c>
      <c r="P182" s="1" t="str">
        <f ca="1">IF(ISNA(VLOOKUP(A182,Projects!B:B,1,FALSE)),"","Yes")</f>
        <v/>
      </c>
    </row>
    <row r="183" spans="1:16">
      <c r="A183" s="4" t="s">
        <v>1692</v>
      </c>
      <c r="B183" s="5" t="s">
        <v>29</v>
      </c>
      <c r="C183" s="7" t="s">
        <v>10</v>
      </c>
      <c r="F183" s="13" t="str">
        <f ca="1">VLOOKUP(LEFT(A183,IF(ISERROR(FIND(".",A183)),LEN(A183)+1,FIND(".",A183))-1),WorkList!A:C,3,FALSE)</f>
        <v>Matrix Pricing Application</v>
      </c>
      <c r="G183" s="14" t="str">
        <f ca="1">VLOOKUP(CONCATENATE(A183),WorkList!A:C,3,FALSE)</f>
        <v>Implement a regression test mechanism</v>
      </c>
      <c r="H183" s="13" t="str">
        <f ca="1">VLOOKUP(CONCATENATE(A183),WorkList!A:D,4,FALSE)</f>
        <v>Neil</v>
      </c>
      <c r="I183" s="15">
        <f ca="1">VLOOKUP(CONCATENATE(A183),WorkList!A:E,5,FALSE)</f>
        <v>40490</v>
      </c>
      <c r="J183" s="49">
        <f ca="1">VLOOKUP(CONCATENATE(A183),WorkList!A:F,6,FALSE)</f>
        <v>3</v>
      </c>
      <c r="K183" s="49" t="str">
        <f ca="1">VLOOKUP(CONCATENATE(A183),WorkList!A:G,7,FALSE)</f>
        <v>Enhancement</v>
      </c>
      <c r="L183" s="7" t="s">
        <v>7</v>
      </c>
      <c r="M183" s="16">
        <v>40490</v>
      </c>
      <c r="N183" s="60">
        <f ca="1">VALUE(LEFT(C183))</f>
        <v>3</v>
      </c>
      <c r="O183" s="61">
        <f ca="1">INT(IF(N183&gt;0,1+MAX(N183*N183-(IF(D183="",TODAY()+(5-N183)*15,D183)-TODAY())/4,N183),IF(TODAY()-M183&gt;10,0,1)))</f>
        <v>4</v>
      </c>
      <c r="P183" s="1" t="str">
        <f ca="1">IF(ISNA(VLOOKUP(A183,Projects!B:B,1,FALSE)),"","Yes")</f>
        <v/>
      </c>
    </row>
    <row r="184" spans="1:16">
      <c r="A184" s="4" t="s">
        <v>1700</v>
      </c>
      <c r="B184" s="5" t="s">
        <v>29</v>
      </c>
      <c r="C184" s="7" t="s">
        <v>12</v>
      </c>
      <c r="F184" s="13" t="str">
        <f ca="1">VLOOKUP(LEFT(A184,IF(ISERROR(FIND(".",A184)),LEN(A184)+1,FIND(".",A184))-1),WorkList!A:C,3,FALSE)</f>
        <v>Matrix Pricing Application</v>
      </c>
      <c r="G184" s="14" t="str">
        <f ca="1">VLOOKUP(CONCATENATE(A184),WorkList!A:C,3,FALSE)</f>
        <v>Add unit tests to UnitTest project for CodeBaseChecker</v>
      </c>
      <c r="H184" s="13" t="str">
        <f ca="1">VLOOKUP(CONCATENATE(A184),WorkList!A:D,4,FALSE)</f>
        <v>Neil</v>
      </c>
      <c r="I184" s="15">
        <f ca="1">VLOOKUP(CONCATENATE(A184),WorkList!A:E,5,FALSE)</f>
        <v>40499</v>
      </c>
      <c r="J184" s="49">
        <f ca="1">VLOOKUP(CONCATENATE(A184),WorkList!A:F,6,FALSE)</f>
        <v>0.5</v>
      </c>
      <c r="K184" s="49" t="str">
        <f ca="1">VLOOKUP(CONCATENATE(A184),WorkList!A:G,7,FALSE)</f>
        <v>Enhancement</v>
      </c>
      <c r="L184" s="7" t="s">
        <v>7</v>
      </c>
      <c r="M184" s="16">
        <v>40499</v>
      </c>
      <c r="N184" s="60">
        <f ca="1">VALUE(LEFT(C184))</f>
        <v>4</v>
      </c>
      <c r="O184" s="61">
        <f ca="1">INT(IF(N184&gt;0,1+MAX(N184*N184-(IF(D184="",TODAY()+(5-N184)*15,D184)-TODAY())/4,N184),IF(TODAY()-M184&gt;10,0,1)))</f>
        <v>13</v>
      </c>
      <c r="P184" s="1" t="str">
        <f ca="1">IF(ISNA(VLOOKUP(A184,Projects!B:B,1,FALSE)),"","Yes")</f>
        <v/>
      </c>
    </row>
    <row r="185" spans="1:16" ht="25.5">
      <c r="A185" s="4" t="s">
        <v>1762</v>
      </c>
      <c r="B185" s="5" t="s">
        <v>29</v>
      </c>
      <c r="C185" s="6" t="s">
        <v>48</v>
      </c>
      <c r="E185" s="12">
        <v>1</v>
      </c>
      <c r="F185" s="13" t="str">
        <f ca="1">VLOOKUP(LEFT(A185,IF(ISERROR(FIND(".",A185)),LEN(A185)+1,FIND(".",A185))-1),WorkList!A:C,3,FALSE)</f>
        <v>Matrix Pricing Application</v>
      </c>
      <c r="G185" s="14" t="str">
        <f ca="1">VLOOKUP(CONCATENATE(A185),WorkList!A:C,3,FALSE)</f>
        <v>Make 'businessDate' the actual COB date, not the run date</v>
      </c>
      <c r="H185" s="13" t="str">
        <f ca="1">VLOOKUP(CONCATENATE(A185),WorkList!A:D,4,FALSE)</f>
        <v>Neil</v>
      </c>
      <c r="I185" s="15">
        <f ca="1">VLOOKUP(CONCATENATE(A185),WorkList!A:E,5,FALSE)</f>
        <v>40521</v>
      </c>
      <c r="J185" s="49">
        <f ca="1">VLOOKUP(CONCATENATE(A185),WorkList!A:F,6,FALSE)</f>
        <v>3</v>
      </c>
      <c r="K185" s="49" t="str">
        <f ca="1">VLOOKUP(CONCATENATE(A185),WorkList!A:G,7,FALSE)</f>
        <v>Enhancement</v>
      </c>
      <c r="L185" s="7" t="s">
        <v>13</v>
      </c>
      <c r="M185" s="16">
        <v>40589</v>
      </c>
      <c r="N185" s="60">
        <f ca="1">VALUE(LEFT(C185))</f>
        <v>0</v>
      </c>
      <c r="O185" s="61">
        <f ca="1">INT(IF(N185&gt;0,1+MAX(N185*N185-(IF(D185="",TODAY()+(5-N185)*15,D185)-TODAY())/4,N185),IF(TODAY()-M185&gt;10,0,1)))</f>
        <v>1</v>
      </c>
      <c r="P185" s="1" t="str">
        <f ca="1">IF(ISNA(VLOOKUP(A185,Projects!B:B,1,FALSE)),"","Yes")</f>
        <v/>
      </c>
    </row>
    <row r="186" spans="1:16">
      <c r="A186" s="4" t="s">
        <v>1835</v>
      </c>
      <c r="B186" s="5" t="s">
        <v>21</v>
      </c>
      <c r="C186" s="7" t="s">
        <v>38</v>
      </c>
      <c r="F186" s="13" t="str">
        <f ca="1">VLOOKUP(LEFT(A186,IF(ISERROR(FIND(".",A186)),LEN(A186)+1,FIND(".",A186))-1),WorkList!A:C,3,FALSE)</f>
        <v>Matrix Pricing Application</v>
      </c>
      <c r="G186" s="14" t="str">
        <f ca="1">VLOOKUP(CONCATENATE(A186),WorkList!A:C,3,FALSE)</f>
        <v>Matrix Pricer to handle Margin Step ups</v>
      </c>
      <c r="H186" s="13" t="str">
        <f ca="1">VLOOKUP(CONCATENATE(A186),WorkList!A:D,4,FALSE)</f>
        <v>Zhuu</v>
      </c>
      <c r="I186" s="15">
        <f ca="1">VLOOKUP(CONCATENATE(A186),WorkList!A:E,5,FALSE)</f>
        <v>40568</v>
      </c>
      <c r="J186" s="49">
        <f ca="1">VLOOKUP(CONCATENATE(A186),WorkList!A:F,6,FALSE)</f>
        <v>5</v>
      </c>
      <c r="K186" s="49" t="str">
        <f ca="1">VLOOKUP(CONCATENATE(A186),WorkList!A:G,7,FALSE)</f>
        <v>NewDevelopment</v>
      </c>
      <c r="L186" s="7" t="s">
        <v>7</v>
      </c>
      <c r="M186" s="16">
        <v>40555</v>
      </c>
      <c r="N186" s="60">
        <f ca="1">VALUE(LEFT(C186))</f>
        <v>2</v>
      </c>
      <c r="O186" s="61">
        <f ca="1">INT(IF(N186&gt;0,1+MAX(N186*N186-(IF(D186="",TODAY()+(5-N186)*15,D186)-TODAY())/4,N186),IF(TODAY()-M186&gt;10,0,1)))</f>
        <v>3</v>
      </c>
      <c r="P186" s="1" t="str">
        <f ca="1">IF(ISNA(VLOOKUP(A186,Projects!B:B,1,FALSE)),"","Yes")</f>
        <v>Yes</v>
      </c>
    </row>
    <row r="187" spans="1:16">
      <c r="A187" s="4" t="s">
        <v>1884</v>
      </c>
      <c r="B187" s="5" t="s">
        <v>32</v>
      </c>
      <c r="C187" s="7" t="s">
        <v>684</v>
      </c>
      <c r="E187" s="12">
        <v>1</v>
      </c>
      <c r="F187" s="13" t="str">
        <f ca="1">VLOOKUP(LEFT(A187,IF(ISERROR(FIND(".",A187)),LEN(A187)+1,FIND(".",A187))-1),WorkList!A:C,3,FALSE)</f>
        <v>Matrix Pricing Application</v>
      </c>
      <c r="G187" s="14" t="str">
        <f ca="1">VLOOKUP(CONCATENATE(A187),WorkList!A:C,3,FALSE)</f>
        <v>Fix WAL calculation problem</v>
      </c>
      <c r="H187" s="13" t="str">
        <f ca="1">VLOOKUP(CONCATENATE(A187),WorkList!A:D,4,FALSE)</f>
        <v>Zhuu</v>
      </c>
      <c r="I187" s="15">
        <f ca="1">VLOOKUP(CONCATENATE(A187),WorkList!A:E,5,FALSE)</f>
        <v>40563</v>
      </c>
      <c r="J187" s="49">
        <f ca="1">VLOOKUP(CONCATENATE(A187),WorkList!A:F,6,FALSE)</f>
        <v>2</v>
      </c>
      <c r="K187" s="49" t="str">
        <f ca="1">VLOOKUP(CONCATENATE(A187),WorkList!A:G,7,FALSE)</f>
        <v>Support</v>
      </c>
      <c r="L187" s="7" t="s">
        <v>5</v>
      </c>
      <c r="M187" s="16">
        <v>40563</v>
      </c>
      <c r="N187" s="60">
        <f ca="1">VALUE(LEFT(C187))</f>
        <v>5</v>
      </c>
      <c r="O187" s="61">
        <f ca="1">INT(IF(N187&gt;0,1+MAX(N187*N187-(IF(D187="",TODAY()+(5-N187)*15,D187)-TODAY())/4,N187),IF(TODAY()-M187&gt;10,0,1)))</f>
        <v>26</v>
      </c>
      <c r="P187" s="1" t="str">
        <f ca="1">IF(ISNA(VLOOKUP(A187,Projects!B:B,1,FALSE)),"","Yes")</f>
        <v/>
      </c>
    </row>
    <row r="188" spans="1:16">
      <c r="A188" s="4" t="s">
        <v>1892</v>
      </c>
      <c r="B188" s="5" t="s">
        <v>32</v>
      </c>
      <c r="C188" s="7" t="s">
        <v>10</v>
      </c>
      <c r="F188" s="13" t="str">
        <f ca="1">VLOOKUP(LEFT(A188,IF(ISERROR(FIND(".",A188)),LEN(A188)+1,FIND(".",A188))-1),WorkList!A:C,3,FALSE)</f>
        <v>Matrix Pricing Application</v>
      </c>
      <c r="G188" s="14" t="str">
        <f ca="1">VLOOKUP(CONCATENATE(A188),WorkList!A:C,3,FALSE)</f>
        <v>Allow bulk upload for L3 Matrix data on GUI</v>
      </c>
      <c r="H188" s="13" t="str">
        <f ca="1">VLOOKUP(CONCATENATE(A188),WorkList!A:D,4,FALSE)</f>
        <v>Zhuu</v>
      </c>
      <c r="I188" s="15">
        <f ca="1">VLOOKUP(CONCATENATE(A188),WorkList!A:E,5,FALSE)</f>
        <v>40568</v>
      </c>
      <c r="J188" s="49">
        <f ca="1">VLOOKUP(CONCATENATE(A188),WorkList!A:F,6,FALSE)</f>
        <v>2</v>
      </c>
      <c r="K188" s="49" t="str">
        <f ca="1">VLOOKUP(CONCATENATE(A188),WorkList!A:G,7,FALSE)</f>
        <v>NewDevelopment</v>
      </c>
      <c r="L188" s="7" t="s">
        <v>7</v>
      </c>
      <c r="M188" s="16">
        <v>40568</v>
      </c>
      <c r="N188" s="60">
        <f ca="1">VALUE(LEFT(C188))</f>
        <v>3</v>
      </c>
      <c r="O188" s="61">
        <f ca="1">INT(IF(N188&gt;0,1+MAX(N188*N188-(IF(D188="",TODAY()+(5-N188)*15,D188)-TODAY())/4,N188),IF(TODAY()-M188&gt;10,0,1)))</f>
        <v>4</v>
      </c>
      <c r="P188" s="1" t="str">
        <f ca="1">IF(ISNA(VLOOKUP(A188,Projects!B:B,1,FALSE)),"","Yes")</f>
        <v/>
      </c>
    </row>
    <row r="189" spans="1:16">
      <c r="A189" s="4" t="s">
        <v>1929</v>
      </c>
      <c r="B189" s="5" t="s">
        <v>32</v>
      </c>
      <c r="C189" s="7" t="s">
        <v>10</v>
      </c>
      <c r="F189" s="13" t="str">
        <f ca="1">VLOOKUP(LEFT(A189,IF(ISERROR(FIND(".",A189)),LEN(A189)+1,FIND(".",A189))-1),WorkList!A:C,3,FALSE)</f>
        <v>Matrix Pricing Application</v>
      </c>
      <c r="G189" s="14" t="str">
        <f ca="1">VLOOKUP(CONCATENATE(A189),WorkList!A:C,3,FALSE)</f>
        <v>Normalise Matrix Pricing Results data</v>
      </c>
      <c r="H189" s="13" t="str">
        <f ca="1">VLOOKUP(CONCATENATE(A189),WorkList!A:D,4,FALSE)</f>
        <v>Neil</v>
      </c>
      <c r="I189" s="15">
        <f ca="1">VLOOKUP(CONCATENATE(A189),WorkList!A:E,5,FALSE)</f>
        <v>40590</v>
      </c>
      <c r="J189" s="49">
        <f ca="1">VLOOKUP(CONCATENATE(A189),WorkList!A:F,6,FALSE)</f>
        <v>3</v>
      </c>
      <c r="K189" s="49" t="str">
        <f ca="1">VLOOKUP(CONCATENATE(A189),WorkList!A:G,7,FALSE)</f>
        <v>Enhancement</v>
      </c>
      <c r="L189" s="7" t="s">
        <v>7</v>
      </c>
      <c r="M189" s="16">
        <v>40590</v>
      </c>
      <c r="N189" s="60">
        <f ca="1">VALUE(LEFT(C189))</f>
        <v>3</v>
      </c>
      <c r="O189" s="61">
        <f ca="1">INT(IF(N189&gt;0,1+MAX(N189*N189-(IF(D189="",TODAY()+(5-N189)*15,D189)-TODAY())/4,N189),IF(TODAY()-M189&gt;10,0,1)))</f>
        <v>4</v>
      </c>
    </row>
    <row r="190" spans="1:16">
      <c r="A190" s="4" t="s">
        <v>757</v>
      </c>
      <c r="B190" s="5" t="s">
        <v>29</v>
      </c>
      <c r="C190" s="6" t="s">
        <v>48</v>
      </c>
      <c r="D190" s="11"/>
      <c r="F190" s="13" t="str">
        <f ca="1">VLOOKUP(LEFT(A190,IF(ISERROR(FIND(".",A190)),LEN(A190)+1,FIND(".",A190))-1),WorkList!A:C,3,FALSE)</f>
        <v>Matrix Pricing Application</v>
      </c>
      <c r="G190" s="14" t="str">
        <f ca="1">VLOOKUP(CONCATENATE(A190),WorkList!A:C,3,FALSE)</f>
        <v>Add 'Legal Maturity' and 'Shelf containts' as L2 criteria</v>
      </c>
      <c r="H190" s="13" t="str">
        <f ca="1">VLOOKUP(CONCATENATE(A190),WorkList!A:D,4,FALSE)</f>
        <v>Zhuu</v>
      </c>
      <c r="I190" s="15">
        <f ca="1">VLOOKUP(CONCATENATE(A190),WorkList!A:E,5,FALSE)</f>
        <v>40149</v>
      </c>
      <c r="J190" s="49">
        <v>4</v>
      </c>
      <c r="K190" s="49">
        <f ca="1">VLOOKUP(CONCATENATE(A190),WorkList!A:G,7,FALSE)</f>
        <v>0</v>
      </c>
      <c r="L190" s="7" t="s">
        <v>13</v>
      </c>
      <c r="M190" s="16">
        <v>40157</v>
      </c>
      <c r="N190" s="60">
        <f ca="1">VALUE(LEFT(C190))</f>
        <v>0</v>
      </c>
      <c r="O190" s="61">
        <f ca="1">INT(IF(N190&gt;0,1+MAX(N190*N190-(IF(D190="",TODAY()+(5-N190)*15,D190)-TODAY())/4,N190),IF(TODAY()-M190&gt;10,0,1)))</f>
        <v>0</v>
      </c>
      <c r="P190" s="1" t="str">
        <f ca="1">IF(ISNA(VLOOKUP(A190,Projects!B:B,1,FALSE)),"","Yes")</f>
        <v/>
      </c>
    </row>
    <row r="191" spans="1:16">
      <c r="A191" s="4" t="s">
        <v>797</v>
      </c>
      <c r="B191" s="5" t="s">
        <v>32</v>
      </c>
      <c r="C191" s="6" t="s">
        <v>48</v>
      </c>
      <c r="D191" s="11"/>
      <c r="F191" s="13" t="str">
        <f ca="1">VLOOKUP(LEFT(A191,IF(ISERROR(FIND(".",A191)),LEN(A191)+1,FIND(".",A191))-1),WorkList!A:C,3,FALSE)</f>
        <v>Matrix Pricing Application</v>
      </c>
      <c r="G191" s="14" t="str">
        <f ca="1">VLOOKUP(CONCATENATE(A191),WorkList!A:C,3,FALSE)</f>
        <v>Add Custom attributes for L2 criteria</v>
      </c>
      <c r="H191" s="13" t="str">
        <f ca="1">VLOOKUP(CONCATENATE(A191),WorkList!A:D,4,FALSE)</f>
        <v>Neil</v>
      </c>
      <c r="I191" s="15">
        <f ca="1">VLOOKUP(CONCATENATE(A191),WorkList!A:E,5,FALSE)</f>
        <v>40163</v>
      </c>
      <c r="J191" s="49">
        <f ca="1">VLOOKUP(CONCATENATE(A191),WorkList!A:F,6,FALSE)</f>
        <v>4</v>
      </c>
      <c r="K191" s="49">
        <f ca="1">VLOOKUP(CONCATENATE(A191),WorkList!A:G,7,FALSE)</f>
        <v>0</v>
      </c>
      <c r="L191" s="7" t="s">
        <v>13</v>
      </c>
      <c r="M191" s="16">
        <v>40200</v>
      </c>
      <c r="N191" s="60">
        <f ca="1">VALUE(LEFT(C191))</f>
        <v>0</v>
      </c>
      <c r="O191" s="61">
        <f ca="1">INT(IF(N191&gt;0,1+MAX(N191*N191-(IF(D191="",TODAY()+(5-N191)*15,D191)-TODAY())/4,N191),IF(TODAY()-M191&gt;10,0,1)))</f>
        <v>0</v>
      </c>
      <c r="P191" s="1" t="str">
        <f ca="1">IF(ISNA(VLOOKUP(A191,Projects!B:B,1,FALSE)),"","Yes")</f>
        <v/>
      </c>
    </row>
    <row r="192" spans="1:16">
      <c r="A192" s="4" t="s">
        <v>801</v>
      </c>
      <c r="B192" s="5" t="s">
        <v>29</v>
      </c>
      <c r="C192" s="6" t="s">
        <v>48</v>
      </c>
      <c r="D192" s="11"/>
      <c r="F192" s="13" t="str">
        <f ca="1">VLOOKUP(LEFT(A192,IF(ISERROR(FIND(".",A192)),LEN(A192)+1,FIND(".",A192))-1),WorkList!A:C,3,FALSE)</f>
        <v>Matrix Pricing Application</v>
      </c>
      <c r="G192" s="14" t="str">
        <f ca="1">VLOOKUP(CONCATENATE(A192),WorkList!A:C,3,FALSE)</f>
        <v>Make setting Priority in L2 easier</v>
      </c>
      <c r="H192" s="13" t="str">
        <f ca="1">VLOOKUP(CONCATENATE(A192),WorkList!A:D,4,FALSE)</f>
        <v>Zhuu</v>
      </c>
      <c r="I192" s="15">
        <f ca="1">VLOOKUP(CONCATENATE(A192),WorkList!A:E,5,FALSE)</f>
        <v>40168</v>
      </c>
      <c r="J192" s="49">
        <v>10</v>
      </c>
      <c r="K192" s="49">
        <f ca="1">VLOOKUP(CONCATENATE(A192),WorkList!A:G,7,FALSE)</f>
        <v>0</v>
      </c>
      <c r="L192" s="7" t="s">
        <v>13</v>
      </c>
      <c r="M192" s="16">
        <v>40235</v>
      </c>
      <c r="N192" s="60">
        <f ca="1">VALUE(LEFT(C192))</f>
        <v>0</v>
      </c>
      <c r="O192" s="61">
        <f ca="1">INT(IF(N192&gt;0,1+MAX(N192*N192-(IF(D192="",TODAY()+(5-N192)*15,D192)-TODAY())/4,N192),IF(TODAY()-M192&gt;10,0,1)))</f>
        <v>0</v>
      </c>
      <c r="P192" s="1" t="str">
        <f ca="1">IF(ISNA(VLOOKUP(A192,Projects!B:B,1,FALSE)),"","Yes")</f>
        <v/>
      </c>
    </row>
    <row r="193" spans="1:16">
      <c r="A193" s="4" t="s">
        <v>107</v>
      </c>
      <c r="B193" s="5" t="s">
        <v>11</v>
      </c>
      <c r="C193" s="7" t="s">
        <v>48</v>
      </c>
      <c r="D193" s="11"/>
      <c r="F193" s="13" t="str">
        <f ca="1">VLOOKUP(LEFT(A193,IF(ISERROR(FIND(".",A193)),LEN(A193)+1,FIND(".",A193))-1),WorkList!A:C,3,FALSE)</f>
        <v>Matrix Pricing Application</v>
      </c>
      <c r="G193" s="14" t="str">
        <f ca="1">VLOOKUP(CONCATENATE(A193),WorkList!A:C,3,FALSE)</f>
        <v>Test and make release build</v>
      </c>
      <c r="H193" s="13" t="str">
        <f ca="1">VLOOKUP(CONCATENATE(A193),WorkList!A:D,4,FALSE)</f>
        <v>Neil</v>
      </c>
      <c r="I193" s="15">
        <f ca="1">VLOOKUP(CONCATENATE(A193),WorkList!A:E,5,FALSE)</f>
        <v>39911</v>
      </c>
      <c r="J193" s="49">
        <f ca="1">VLOOKUP(CONCATENATE(A193),WorkList!A:F,6,FALSE)</f>
        <v>0</v>
      </c>
      <c r="K193" s="49">
        <f ca="1">VLOOKUP(CONCATENATE(A193),WorkList!A:G,7,FALSE)</f>
        <v>0</v>
      </c>
      <c r="L193" s="7" t="s">
        <v>13</v>
      </c>
      <c r="M193" s="16">
        <v>39975</v>
      </c>
      <c r="N193" s="60">
        <f ca="1">VALUE(LEFT(C193))</f>
        <v>0</v>
      </c>
      <c r="O193" s="61">
        <f ca="1">INT(IF(N193&gt;0,1+MAX(N193*N193-(IF(D193="",TODAY()+(5-N193)*15,D193)-TODAY())/4,N193),IF(TODAY()-M193&gt;10,0,1)))</f>
        <v>0</v>
      </c>
      <c r="P193" s="1" t="str">
        <f ca="1">IF(ISNA(VLOOKUP(A193,Projects!B:B,1,FALSE)),"","Yes")</f>
        <v/>
      </c>
    </row>
    <row r="194" spans="1:16">
      <c r="A194" s="4" t="s">
        <v>108</v>
      </c>
      <c r="B194" s="5" t="s">
        <v>129</v>
      </c>
      <c r="C194" s="6" t="s">
        <v>48</v>
      </c>
      <c r="D194" s="11"/>
      <c r="F194" s="13" t="str">
        <f ca="1">VLOOKUP(LEFT(A194,IF(ISERROR(FIND(".",A194)),LEN(A194)+1,FIND(".",A194))-1),WorkList!A:C,3,FALSE)</f>
        <v>Matrix Pricing Application</v>
      </c>
      <c r="G194" s="14" t="str">
        <f ca="1">VLOOKUP(CONCATENATE(A194),WorkList!A:C,3,FALSE)</f>
        <v>Review application and feed back comments</v>
      </c>
      <c r="H194" s="13" t="str">
        <f ca="1">VLOOKUP(CONCATENATE(A194),WorkList!A:D,4,FALSE)</f>
        <v>Neil</v>
      </c>
      <c r="I194" s="15">
        <f ca="1">VLOOKUP(CONCATENATE(A194),WorkList!A:E,5,FALSE)</f>
        <v>39926</v>
      </c>
      <c r="J194" s="49">
        <f ca="1">VLOOKUP(CONCATENATE(A194),WorkList!A:F,6,FALSE)</f>
        <v>0</v>
      </c>
      <c r="K194" s="49">
        <f ca="1">VLOOKUP(CONCATENATE(A194),WorkList!A:G,7,FALSE)</f>
        <v>0</v>
      </c>
      <c r="L194" s="7" t="s">
        <v>13</v>
      </c>
      <c r="M194" s="16">
        <v>39959</v>
      </c>
      <c r="N194" s="60">
        <f ca="1">VALUE(LEFT(C194))</f>
        <v>0</v>
      </c>
      <c r="O194" s="61">
        <f ca="1">INT(IF(N194&gt;0,1+MAX(N194*N194-(IF(D194="",TODAY()+(5-N194)*15,D194)-TODAY())/4,N194),IF(TODAY()-M194&gt;10,0,1)))</f>
        <v>0</v>
      </c>
      <c r="P194" s="1" t="str">
        <f ca="1">IF(ISNA(VLOOKUP(A194,Projects!B:B,1,FALSE)),"","Yes")</f>
        <v/>
      </c>
    </row>
    <row r="195" spans="1:16">
      <c r="A195" s="4" t="s">
        <v>132</v>
      </c>
      <c r="B195" s="5" t="s">
        <v>32</v>
      </c>
      <c r="C195" s="6" t="s">
        <v>48</v>
      </c>
      <c r="D195" s="11"/>
      <c r="F195" s="13" t="str">
        <f ca="1">VLOOKUP(LEFT(A195,IF(ISERROR(FIND(".",A195)),LEN(A195)+1,FIND(".",A195))-1),WorkList!A:C,3,FALSE)</f>
        <v>Matrix Pricing Application</v>
      </c>
      <c r="G195" s="14" t="str">
        <f ca="1">VLOOKUP(CONCATENATE(A195),WorkList!A:C,3,FALSE)</f>
        <v>Add pricing functionality to Batch and Application</v>
      </c>
      <c r="H195" s="13" t="str">
        <f ca="1">VLOOKUP(CONCATENATE(A195),WorkList!A:D,4,FALSE)</f>
        <v>David Covey</v>
      </c>
      <c r="I195" s="15">
        <f ca="1">VLOOKUP(CONCATENATE(A195),WorkList!A:E,5,FALSE)</f>
        <v>39911</v>
      </c>
      <c r="J195" s="49">
        <f ca="1">VLOOKUP(CONCATENATE(A195),WorkList!A:F,6,FALSE)</f>
        <v>0</v>
      </c>
      <c r="K195" s="49">
        <f ca="1">VLOOKUP(CONCATENATE(A195),WorkList!A:G,7,FALSE)</f>
        <v>0</v>
      </c>
      <c r="L195" s="7" t="s">
        <v>13</v>
      </c>
      <c r="M195" s="16">
        <v>39972</v>
      </c>
      <c r="N195" s="60">
        <f ca="1">VALUE(LEFT(C195))</f>
        <v>0</v>
      </c>
      <c r="O195" s="61">
        <f ca="1">INT(IF(N195&gt;0,1+MAX(N195*N195-(IF(D195="",TODAY()+(5-N195)*15,D195)-TODAY())/4,N195),IF(TODAY()-M195&gt;10,0,1)))</f>
        <v>0</v>
      </c>
      <c r="P195" s="1" t="str">
        <f ca="1">IF(ISNA(VLOOKUP(A195,Projects!B:B,1,FALSE)),"","Yes")</f>
        <v/>
      </c>
    </row>
    <row r="196" spans="1:16">
      <c r="A196" s="4" t="s">
        <v>134</v>
      </c>
      <c r="B196" s="5" t="s">
        <v>45</v>
      </c>
      <c r="C196" s="6" t="s">
        <v>48</v>
      </c>
      <c r="D196" s="11"/>
      <c r="F196" s="13" t="str">
        <f ca="1">VLOOKUP(LEFT(A196,IF(ISERROR(FIND(".",A196)),LEN(A196)+1,FIND(".",A196))-1),WorkList!A:C,3,FALSE)</f>
        <v>Matrix Pricing Application</v>
      </c>
      <c r="G196" s="14" t="str">
        <f ca="1">VLOOKUP(CONCATENATE(A196),WorkList!A:C,3,FALSE)</f>
        <v>Develop test cases carry out testing</v>
      </c>
      <c r="H196" s="13" t="str">
        <f ca="1">VLOOKUP(CONCATENATE(A196),WorkList!A:D,4,FALSE)</f>
        <v>Neil</v>
      </c>
      <c r="I196" s="15">
        <f ca="1">VLOOKUP(CONCATENATE(A196),WorkList!A:E,5,FALSE)</f>
        <v>39927</v>
      </c>
      <c r="J196" s="49">
        <f ca="1">VLOOKUP(CONCATENATE(A196),WorkList!A:F,6,FALSE)</f>
        <v>0</v>
      </c>
      <c r="K196" s="49">
        <f ca="1">VLOOKUP(CONCATENATE(A196),WorkList!A:G,7,FALSE)</f>
        <v>0</v>
      </c>
      <c r="L196" s="7" t="s">
        <v>13</v>
      </c>
      <c r="M196" s="16">
        <v>39975</v>
      </c>
      <c r="N196" s="60">
        <f ca="1">VALUE(LEFT(C196))</f>
        <v>0</v>
      </c>
      <c r="O196" s="61">
        <f ca="1">INT(IF(N196&gt;0,1+MAX(N196*N196-(IF(D196="",TODAY()+(5-N196)*15,D196)-TODAY())/4,N196),IF(TODAY()-M196&gt;10,0,1)))</f>
        <v>0</v>
      </c>
      <c r="P196" s="1" t="str">
        <f ca="1">IF(ISNA(VLOOKUP(A196,Projects!B:B,1,FALSE)),"","Yes")</f>
        <v/>
      </c>
    </row>
    <row r="197" spans="1:16">
      <c r="A197" s="4" t="s">
        <v>136</v>
      </c>
      <c r="B197" s="5" t="s">
        <v>32</v>
      </c>
      <c r="C197" s="6" t="s">
        <v>48</v>
      </c>
      <c r="D197" s="11"/>
      <c r="F197" s="13" t="str">
        <f ca="1">VLOOKUP(LEFT(A197,IF(ISERROR(FIND(".",A197)),LEN(A197)+1,FIND(".",A197))-1),WorkList!A:C,3,FALSE)</f>
        <v>Matrix Pricing Application</v>
      </c>
      <c r="G197" s="14" t="str">
        <f ca="1">VLOOKUP(CONCATENATE(A197),WorkList!A:C,3,FALSE)</f>
        <v>Test Pricing and get business sign off</v>
      </c>
      <c r="H197" s="13" t="str">
        <f ca="1">VLOOKUP(CONCATENATE(A197),WorkList!A:D,4,FALSE)</f>
        <v>Neil</v>
      </c>
      <c r="I197" s="15">
        <f ca="1">VLOOKUP(CONCATENATE(A197),WorkList!A:E,5,FALSE)</f>
        <v>39927</v>
      </c>
      <c r="J197" s="49">
        <f ca="1">VLOOKUP(CONCATENATE(A197),WorkList!A:F,6,FALSE)</f>
        <v>0</v>
      </c>
      <c r="K197" s="49">
        <f ca="1">VLOOKUP(CONCATENATE(A197),WorkList!A:G,7,FALSE)</f>
        <v>0</v>
      </c>
      <c r="L197" s="7" t="s">
        <v>13</v>
      </c>
      <c r="M197" s="16">
        <v>39975</v>
      </c>
      <c r="N197" s="60">
        <f ca="1">VALUE(LEFT(C197))</f>
        <v>0</v>
      </c>
      <c r="O197" s="61">
        <f ca="1">INT(IF(N197&gt;0,1+MAX(N197*N197-(IF(D197="",TODAY()+(5-N197)*15,D197)-TODAY())/4,N197),IF(TODAY()-M197&gt;10,0,1)))</f>
        <v>0</v>
      </c>
      <c r="P197" s="1" t="str">
        <f ca="1">IF(ISNA(VLOOKUP(A197,Projects!B:B,1,FALSE)),"","Yes")</f>
        <v/>
      </c>
    </row>
    <row r="198" spans="1:16">
      <c r="A198" s="4" t="s">
        <v>220</v>
      </c>
      <c r="B198" s="5" t="s">
        <v>11</v>
      </c>
      <c r="C198" s="6" t="s">
        <v>48</v>
      </c>
      <c r="D198" s="11"/>
      <c r="F198" s="13" t="str">
        <f ca="1">VLOOKUP(LEFT(A198,IF(ISERROR(FIND(".",A198)),LEN(A198)+1,FIND(".",A198))-1),WorkList!A:C,3,FALSE)</f>
        <v>Matrix Pricing Application</v>
      </c>
      <c r="G198" s="14" t="str">
        <f ca="1">VLOOKUP(CONCATENATE(A198),WorkList!A:C,3,FALSE)</f>
        <v>Specify fields to use in Level 2 Matrix</v>
      </c>
      <c r="H198" s="13" t="str">
        <f ca="1">VLOOKUP(CONCATENATE(A198),WorkList!A:D,4,FALSE)</f>
        <v>Neil</v>
      </c>
      <c r="I198" s="15">
        <f ca="1">VLOOKUP(CONCATENATE(A198),WorkList!A:E,5,FALSE)</f>
        <v>39960</v>
      </c>
      <c r="J198" s="49">
        <f ca="1">VLOOKUP(CONCATENATE(A198),WorkList!A:F,6,FALSE)</f>
        <v>0</v>
      </c>
      <c r="K198" s="49">
        <f ca="1">VLOOKUP(CONCATENATE(A198),WorkList!A:G,7,FALSE)</f>
        <v>0</v>
      </c>
      <c r="L198" s="7" t="s">
        <v>13</v>
      </c>
      <c r="M198" s="16">
        <v>39960</v>
      </c>
      <c r="N198" s="60">
        <f ca="1">VALUE(LEFT(C198))</f>
        <v>0</v>
      </c>
      <c r="O198" s="61">
        <f ca="1">INT(IF(N198&gt;0,1+MAX(N198*N198-(IF(D198="",TODAY()+(5-N198)*15,D198)-TODAY())/4,N198),IF(TODAY()-M198&gt;10,0,1)))</f>
        <v>0</v>
      </c>
      <c r="P198" s="1" t="str">
        <f ca="1">IF(ISNA(VLOOKUP(A198,Projects!B:B,1,FALSE)),"","Yes")</f>
        <v/>
      </c>
    </row>
    <row r="199" spans="1:16">
      <c r="A199" s="4" t="s">
        <v>278</v>
      </c>
      <c r="B199" s="5" t="s">
        <v>32</v>
      </c>
      <c r="C199" s="6" t="s">
        <v>48</v>
      </c>
      <c r="D199" s="11"/>
      <c r="F199" s="13" t="str">
        <f ca="1">VLOOKUP(LEFT(A199,IF(ISERROR(FIND(".",A199)),LEN(A199)+1,FIND(".",A199))-1),WorkList!A:C,3,FALSE)</f>
        <v>Matrix Pricing Application</v>
      </c>
      <c r="G199" s="14" t="str">
        <f ca="1">VLOOKUP(CONCATENATE(A199),WorkList!A:C,3,FALSE)</f>
        <v>Implement not ('!') as well as 'and' for Level 2 Matrix</v>
      </c>
      <c r="H199" s="13" t="str">
        <f ca="1">VLOOKUP(CONCATENATE(A199),WorkList!A:D,4,FALSE)</f>
        <v>Neil</v>
      </c>
      <c r="I199" s="15">
        <f ca="1">VLOOKUP(CONCATENATE(A199),WorkList!A:E,5,FALSE)</f>
        <v>39960</v>
      </c>
      <c r="J199" s="49">
        <f ca="1">VLOOKUP(CONCATENATE(A199),WorkList!A:F,6,FALSE)</f>
        <v>0</v>
      </c>
      <c r="K199" s="49">
        <f ca="1">VLOOKUP(CONCATENATE(A199),WorkList!A:G,7,FALSE)</f>
        <v>0</v>
      </c>
      <c r="L199" s="7" t="s">
        <v>13</v>
      </c>
      <c r="M199" s="16">
        <v>39972</v>
      </c>
      <c r="N199" s="60">
        <f ca="1">VALUE(LEFT(C199))</f>
        <v>0</v>
      </c>
      <c r="O199" s="61">
        <f ca="1">INT(IF(N199&gt;0,1+MAX(N199*N199-(IF(D199="",TODAY()+(5-N199)*15,D199)-TODAY())/4,N199),IF(TODAY()-M199&gt;10,0,1)))</f>
        <v>0</v>
      </c>
      <c r="P199" s="1" t="str">
        <f ca="1">IF(ISNA(VLOOKUP(A199,Projects!B:B,1,FALSE)),"","Yes")</f>
        <v/>
      </c>
    </row>
    <row r="200" spans="1:16">
      <c r="A200" s="4" t="s">
        <v>279</v>
      </c>
      <c r="B200" s="5" t="s">
        <v>32</v>
      </c>
      <c r="C200" s="6" t="s">
        <v>48</v>
      </c>
      <c r="D200" s="11"/>
      <c r="F200" s="13" t="str">
        <f ca="1">VLOOKUP(LEFT(A200,IF(ISERROR(FIND(".",A200)),LEN(A200)+1,FIND(".",A200))-1),WorkList!A:C,3,FALSE)</f>
        <v>Matrix Pricing Application</v>
      </c>
      <c r="G200" s="14" t="str">
        <f ca="1">VLOOKUP(CONCATENATE(A200),WorkList!A:C,3,FALSE)</f>
        <v>Store 'All' intermediate calcs and useful outputs in DB</v>
      </c>
      <c r="H200" s="13" t="str">
        <f ca="1">VLOOKUP(CONCATENATE(A200),WorkList!A:D,4,FALSE)</f>
        <v>Neil</v>
      </c>
      <c r="I200" s="15">
        <f ca="1">VLOOKUP(CONCATENATE(A200),WorkList!A:E,5,FALSE)</f>
        <v>39975</v>
      </c>
      <c r="J200" s="49">
        <f ca="1">VLOOKUP(CONCATENATE(A200),WorkList!A:F,6,FALSE)</f>
        <v>0</v>
      </c>
      <c r="K200" s="49">
        <f ca="1">VLOOKUP(CONCATENATE(A200),WorkList!A:G,7,FALSE)</f>
        <v>0</v>
      </c>
      <c r="L200" s="7" t="s">
        <v>13</v>
      </c>
      <c r="M200" s="16">
        <v>40008</v>
      </c>
      <c r="N200" s="60">
        <f ca="1">VALUE(LEFT(C200))</f>
        <v>0</v>
      </c>
      <c r="O200" s="61">
        <f ca="1">INT(IF(N200&gt;0,1+MAX(N200*N200-(IF(D200="",TODAY()+(5-N200)*15,D200)-TODAY())/4,N200),IF(TODAY()-M200&gt;10,0,1)))</f>
        <v>0</v>
      </c>
      <c r="P200" s="1" t="str">
        <f ca="1">IF(ISNA(VLOOKUP(A200,Projects!B:B,1,FALSE)),"","Yes")</f>
        <v/>
      </c>
    </row>
    <row r="201" spans="1:16">
      <c r="A201" s="4" t="s">
        <v>280</v>
      </c>
      <c r="B201" s="5" t="s">
        <v>32</v>
      </c>
      <c r="C201" s="6" t="s">
        <v>48</v>
      </c>
      <c r="D201" s="11"/>
      <c r="F201" s="13" t="str">
        <f ca="1">VLOOKUP(LEFT(A201,IF(ISERROR(FIND(".",A201)),LEN(A201)+1,FIND(".",A201))-1),WorkList!A:C,3,FALSE)</f>
        <v>Matrix Pricing Application</v>
      </c>
      <c r="G201" s="14" t="str">
        <f ca="1">VLOOKUP(CONCATENATE(A201),WorkList!A:C,3,FALSE)</f>
        <v>Get sign off for batch pricing</v>
      </c>
      <c r="H201" s="13" t="str">
        <f ca="1">VLOOKUP(CONCATENATE(A201),WorkList!A:D,4,FALSE)</f>
        <v>Neil</v>
      </c>
      <c r="I201" s="15">
        <f ca="1">VLOOKUP(CONCATENATE(A201),WorkList!A:E,5,FALSE)</f>
        <v>39975</v>
      </c>
      <c r="J201" s="49">
        <f ca="1">VLOOKUP(CONCATENATE(A201),WorkList!A:F,6,FALSE)</f>
        <v>0</v>
      </c>
      <c r="K201" s="49">
        <f ca="1">VLOOKUP(CONCATENATE(A201),WorkList!A:G,7,FALSE)</f>
        <v>0</v>
      </c>
      <c r="L201" s="7" t="s">
        <v>13</v>
      </c>
      <c r="M201" s="16">
        <v>40008</v>
      </c>
      <c r="N201" s="60">
        <f ca="1">VALUE(LEFT(C201))</f>
        <v>0</v>
      </c>
      <c r="O201" s="61">
        <f ca="1">INT(IF(N201&gt;0,1+MAX(N201*N201-(IF(D201="",TODAY()+(5-N201)*15,D201)-TODAY())/4,N201),IF(TODAY()-M201&gt;10,0,1)))</f>
        <v>0</v>
      </c>
      <c r="P201" s="1" t="str">
        <f ca="1">IF(ISNA(VLOOKUP(A201,Projects!B:B,1,FALSE)),"","Yes")</f>
        <v/>
      </c>
    </row>
    <row r="202" spans="1:16">
      <c r="A202" s="4" t="s">
        <v>317</v>
      </c>
      <c r="B202" s="5" t="s">
        <v>32</v>
      </c>
      <c r="C202" s="6" t="s">
        <v>48</v>
      </c>
      <c r="D202" s="11"/>
      <c r="F202" s="13" t="str">
        <f ca="1">VLOOKUP(LEFT(A202,IF(ISERROR(FIND(".",A202)),LEN(A202)+1,FIND(".",A202))-1),WorkList!A:C,3,FALSE)</f>
        <v>Matrix Pricing Application</v>
      </c>
      <c r="G202" s="14" t="str">
        <f ca="1">VLOOKUP(CONCATENATE(A202),WorkList!A:C,3,FALSE)</f>
        <v>Productionise Matrix Pricer Batch</v>
      </c>
      <c r="H202" s="13" t="str">
        <f ca="1">VLOOKUP(CONCATENATE(A202),WorkList!A:D,4,FALSE)</f>
        <v>Neil</v>
      </c>
      <c r="I202" s="15">
        <f ca="1">VLOOKUP(CONCATENATE(A202),WorkList!A:E,5,FALSE)</f>
        <v>40008</v>
      </c>
      <c r="J202" s="49">
        <f ca="1">VLOOKUP(CONCATENATE(A202),WorkList!A:F,6,FALSE)</f>
        <v>0</v>
      </c>
      <c r="K202" s="49">
        <f ca="1">VLOOKUP(CONCATENATE(A202),WorkList!A:G,7,FALSE)</f>
        <v>0</v>
      </c>
      <c r="L202" s="7" t="s">
        <v>13</v>
      </c>
      <c r="M202" s="16">
        <v>40025</v>
      </c>
      <c r="N202" s="60">
        <f ca="1">VALUE(LEFT(C202))</f>
        <v>0</v>
      </c>
      <c r="O202" s="61">
        <f ca="1">INT(IF(N202&gt;0,1+MAX(N202*N202-(IF(D202="",TODAY()+(5-N202)*15,D202)-TODAY())/4,N202),IF(TODAY()-M202&gt;10,0,1)))</f>
        <v>0</v>
      </c>
      <c r="P202" s="1" t="str">
        <f ca="1">IF(ISNA(VLOOKUP(A202,Projects!B:B,1,FALSE)),"","Yes")</f>
        <v/>
      </c>
    </row>
    <row r="203" spans="1:16">
      <c r="A203" s="4" t="s">
        <v>320</v>
      </c>
      <c r="B203" s="5" t="s">
        <v>32</v>
      </c>
      <c r="C203" s="6" t="s">
        <v>48</v>
      </c>
      <c r="D203" s="11"/>
      <c r="F203" s="13" t="str">
        <f ca="1">VLOOKUP(LEFT(A203,IF(ISERROR(FIND(".",A203)),LEN(A203)+1,FIND(".",A203))-1),WorkList!A:C,3,FALSE)</f>
        <v>Matrix Pricing Application</v>
      </c>
      <c r="G203" s="14" t="str">
        <f ca="1">VLOOKUP(CONCATENATE(A203),WorkList!A:C,3,FALSE)</f>
        <v>Run Matrix Pricer Batch in QA and get sign off</v>
      </c>
      <c r="H203" s="13" t="str">
        <f ca="1">VLOOKUP(CONCATENATE(A203),WorkList!A:D,4,FALSE)</f>
        <v>Neil</v>
      </c>
      <c r="I203" s="15">
        <f ca="1">VLOOKUP(CONCATENATE(A203),WorkList!A:E,5,FALSE)</f>
        <v>40008</v>
      </c>
      <c r="J203" s="49">
        <f ca="1">VLOOKUP(CONCATENATE(A203),WorkList!A:F,6,FALSE)</f>
        <v>0</v>
      </c>
      <c r="K203" s="49">
        <f ca="1">VLOOKUP(CONCATENATE(A203),WorkList!A:G,7,FALSE)</f>
        <v>0</v>
      </c>
      <c r="L203" s="7" t="s">
        <v>13</v>
      </c>
      <c r="M203" s="16">
        <v>40025</v>
      </c>
      <c r="N203" s="60">
        <f ca="1">VALUE(LEFT(C203))</f>
        <v>0</v>
      </c>
      <c r="O203" s="61">
        <f ca="1">INT(IF(N203&gt;0,1+MAX(N203*N203-(IF(D203="",TODAY()+(5-N203)*15,D203)-TODAY())/4,N203),IF(TODAY()-M203&gt;10,0,1)))</f>
        <v>0</v>
      </c>
      <c r="P203" s="1" t="str">
        <f ca="1">IF(ISNA(VLOOKUP(A203,Projects!B:B,1,FALSE)),"","Yes")</f>
        <v/>
      </c>
    </row>
    <row r="204" spans="1:16">
      <c r="A204" s="4" t="s">
        <v>109</v>
      </c>
      <c r="B204" s="5" t="s">
        <v>29</v>
      </c>
      <c r="C204" s="6" t="s">
        <v>48</v>
      </c>
      <c r="D204" s="11"/>
      <c r="F204" s="13" t="str">
        <f ca="1">VLOOKUP(LEFT(A204,IF(ISERROR(FIND(".",A204)),LEN(A204)+1,FIND(".",A204))-1),WorkList!A:C,3,FALSE)</f>
        <v>Matrix Pricing Application</v>
      </c>
      <c r="G204" s="14" t="str">
        <f ca="1">VLOOKUP(CONCATENATE(A204),WorkList!A:C,3,FALSE)</f>
        <v>Port Application matrix functionality to 'Trunk'</v>
      </c>
      <c r="H204" s="13" t="str">
        <f ca="1">VLOOKUP(CONCATENATE(A204),WorkList!A:D,4,FALSE)</f>
        <v>Neil</v>
      </c>
      <c r="I204" s="15">
        <f ca="1">VLOOKUP(CONCATENATE(A204),WorkList!A:E,5,FALSE)</f>
        <v>39924</v>
      </c>
      <c r="J204" s="49">
        <f ca="1">VLOOKUP(CONCATENATE(A204),WorkList!A:F,6,FALSE)</f>
        <v>0</v>
      </c>
      <c r="K204" s="49">
        <f ca="1">VLOOKUP(CONCATENATE(A204),WorkList!A:G,7,FALSE)</f>
        <v>0</v>
      </c>
      <c r="L204" s="7" t="s">
        <v>13</v>
      </c>
      <c r="M204" s="16">
        <v>40532</v>
      </c>
      <c r="N204" s="60">
        <f ca="1">VALUE(LEFT(C204))</f>
        <v>0</v>
      </c>
      <c r="O204" s="61">
        <f ca="1">INT(IF(N204&gt;0,1+MAX(N204*N204-(IF(D204="",TODAY()+(5-N204)*15,D204)-TODAY())/4,N204),IF(TODAY()-M204&gt;10,0,1)))</f>
        <v>0</v>
      </c>
      <c r="P204" s="1" t="str">
        <f ca="1">IF(ISNA(VLOOKUP(A204,Projects!B:B,1,FALSE)),"","Yes")</f>
        <v/>
      </c>
    </row>
    <row r="205" spans="1:16">
      <c r="A205" s="4" t="s">
        <v>110</v>
      </c>
      <c r="B205" s="5" t="s">
        <v>29</v>
      </c>
      <c r="C205" s="6" t="s">
        <v>48</v>
      </c>
      <c r="D205" s="11"/>
      <c r="F205" s="13" t="str">
        <f ca="1">VLOOKUP(LEFT(A205,IF(ISERROR(FIND(".",A205)),LEN(A205)+1,FIND(".",A205))-1),WorkList!A:C,3,FALSE)</f>
        <v>Matrix Pricing Application</v>
      </c>
      <c r="G205" s="14" t="str">
        <f ca="1">VLOOKUP(CONCATENATE(A205),WorkList!A:C,3,FALSE)</f>
        <v>Port Application GUI to 'Trunk'</v>
      </c>
      <c r="H205" s="13" t="str">
        <f ca="1">VLOOKUP(CONCATENATE(A205),WorkList!A:D,4,FALSE)</f>
        <v>Neil</v>
      </c>
      <c r="I205" s="15">
        <f ca="1">VLOOKUP(CONCATENATE(A205),WorkList!A:E,5,FALSE)</f>
        <v>39924</v>
      </c>
      <c r="J205" s="49">
        <f ca="1">VLOOKUP(CONCATENATE(A205),WorkList!A:F,6,FALSE)</f>
        <v>0</v>
      </c>
      <c r="K205" s="49">
        <f ca="1">VLOOKUP(CONCATENATE(A205),WorkList!A:G,7,FALSE)</f>
        <v>0</v>
      </c>
      <c r="L205" s="7" t="s">
        <v>13</v>
      </c>
      <c r="M205" s="16">
        <v>40532</v>
      </c>
      <c r="N205" s="60">
        <f ca="1">VALUE(LEFT(C205))</f>
        <v>0</v>
      </c>
      <c r="O205" s="61">
        <f ca="1">INT(IF(N205&gt;0,1+MAX(N205*N205-(IF(D205="",TODAY()+(5-N205)*15,D205)-TODAY())/4,N205),IF(TODAY()-M205&gt;10,0,1)))</f>
        <v>0</v>
      </c>
      <c r="P205" s="1" t="str">
        <f ca="1">IF(ISNA(VLOOKUP(A205,Projects!B:B,1,FALSE)),"","Yes")</f>
        <v/>
      </c>
    </row>
    <row r="206" spans="1:16">
      <c r="A206" s="4" t="s">
        <v>226</v>
      </c>
      <c r="B206" s="5" t="s">
        <v>29</v>
      </c>
      <c r="C206" s="6" t="s">
        <v>48</v>
      </c>
      <c r="D206" s="11"/>
      <c r="F206" s="13" t="str">
        <f ca="1">VLOOKUP(LEFT(A206,IF(ISERROR(FIND(".",A206)),LEN(A206)+1,FIND(".",A206))-1),WorkList!A:C,3,FALSE)</f>
        <v>Matrix Pricing Application</v>
      </c>
      <c r="G206" s="14" t="str">
        <f ca="1">VLOOKUP(CONCATENATE(A206),WorkList!A:C,3,FALSE)</f>
        <v>Price Viewer - Separate out application</v>
      </c>
      <c r="H206" s="13" t="str">
        <f ca="1">VLOOKUP(CONCATENATE(A206),WorkList!A:D,4,FALSE)</f>
        <v>Neil</v>
      </c>
      <c r="I206" s="15">
        <f ca="1">VLOOKUP(CONCATENATE(A206),WorkList!A:E,5,FALSE)</f>
        <v>39960</v>
      </c>
      <c r="J206" s="49">
        <f ca="1">VLOOKUP(CONCATENATE(A206),WorkList!A:F,6,FALSE)</f>
        <v>0</v>
      </c>
      <c r="K206" s="49">
        <f ca="1">VLOOKUP(CONCATENATE(A206),WorkList!A:G,7,FALSE)</f>
        <v>0</v>
      </c>
      <c r="L206" s="7" t="s">
        <v>13</v>
      </c>
      <c r="M206" s="16">
        <v>39972</v>
      </c>
      <c r="N206" s="60">
        <f ca="1">VALUE(LEFT(C206))</f>
        <v>0</v>
      </c>
      <c r="O206" s="61">
        <f ca="1">INT(IF(N206&gt;0,1+MAX(N206*N206-(IF(D206="",TODAY()+(5-N206)*15,D206)-TODAY())/4,N206),IF(TODAY()-M206&gt;10,0,1)))</f>
        <v>0</v>
      </c>
      <c r="P206" s="1" t="str">
        <f ca="1">IF(ISNA(VLOOKUP(A206,Projects!B:B,1,FALSE)),"","Yes")</f>
        <v/>
      </c>
    </row>
    <row r="207" spans="1:16" ht="25.5">
      <c r="A207" s="4" t="s">
        <v>228</v>
      </c>
      <c r="B207" s="5" t="s">
        <v>29</v>
      </c>
      <c r="C207" s="6" t="s">
        <v>48</v>
      </c>
      <c r="D207" s="11"/>
      <c r="F207" s="13" t="str">
        <f ca="1">VLOOKUP(LEFT(A207,IF(ISERROR(FIND(".",A207)),LEN(A207)+1,FIND(".",A207))-1),WorkList!A:C,3,FALSE)</f>
        <v>Matrix Pricing Application</v>
      </c>
      <c r="G207" s="14" t="str">
        <f ca="1">VLOOKUP(CONCATENATE(A207),WorkList!A:C,3,FALSE)</f>
        <v>Price Viewer - Make first release with limited filter functionality</v>
      </c>
      <c r="H207" s="13" t="str">
        <f ca="1">VLOOKUP(CONCATENATE(A207),WorkList!A:D,4,FALSE)</f>
        <v>Neil</v>
      </c>
      <c r="I207" s="15">
        <f ca="1">VLOOKUP(CONCATENATE(A207),WorkList!A:E,5,FALSE)</f>
        <v>39960</v>
      </c>
      <c r="J207" s="49">
        <f ca="1">VLOOKUP(CONCATENATE(A207),WorkList!A:F,6,FALSE)</f>
        <v>0</v>
      </c>
      <c r="K207" s="49">
        <f ca="1">VLOOKUP(CONCATENATE(A207),WorkList!A:G,7,FALSE)</f>
        <v>0</v>
      </c>
      <c r="L207" s="7" t="s">
        <v>13</v>
      </c>
      <c r="M207" s="16">
        <v>39972</v>
      </c>
      <c r="N207" s="60">
        <f ca="1">VALUE(LEFT(C207))</f>
        <v>0</v>
      </c>
      <c r="O207" s="61">
        <f ca="1">INT(IF(N207&gt;0,1+MAX(N207*N207-(IF(D207="",TODAY()+(5-N207)*15,D207)-TODAY())/4,N207),IF(TODAY()-M207&gt;10,0,1)))</f>
        <v>0</v>
      </c>
      <c r="P207" s="1" t="str">
        <f ca="1">IF(ISNA(VLOOKUP(A207,Projects!B:B,1,FALSE)),"","Yes")</f>
        <v/>
      </c>
    </row>
    <row r="208" spans="1:16">
      <c r="A208" s="4" t="s">
        <v>250</v>
      </c>
      <c r="B208" s="5" t="s">
        <v>37</v>
      </c>
      <c r="C208" s="6" t="s">
        <v>1087</v>
      </c>
      <c r="D208" s="11"/>
      <c r="F208" s="13" t="str">
        <f ca="1">VLOOKUP(LEFT(A208,IF(ISERROR(FIND(".",A208)),LEN(A208)+1,FIND(".",A208))-1),WorkList!A:C,3,FALSE)</f>
        <v>Matrix Pricing Application</v>
      </c>
      <c r="G208" s="14" t="str">
        <f ca="1">VLOOKUP(CONCATENATE(A208),WorkList!A:C,3,FALSE)</f>
        <v>Add comments functionality</v>
      </c>
      <c r="H208" s="13" t="str">
        <f ca="1">VLOOKUP(CONCATENATE(A208),WorkList!A:D,4,FALSE)</f>
        <v>David Covey</v>
      </c>
      <c r="I208" s="15">
        <f ca="1">VLOOKUP(CONCATENATE(A208),WorkList!A:E,5,FALSE)</f>
        <v>40283</v>
      </c>
      <c r="J208" s="49">
        <f ca="1">VLOOKUP(CONCATENATE(A208),WorkList!A:F,6,FALSE)</f>
        <v>5</v>
      </c>
      <c r="K208" s="49" t="str">
        <f ca="1">VLOOKUP(CONCATENATE(A208),WorkList!A:G,7,FALSE)</f>
        <v>NewDevelopment</v>
      </c>
      <c r="L208" s="7" t="s">
        <v>1096</v>
      </c>
      <c r="M208" s="16">
        <v>40394</v>
      </c>
      <c r="N208" s="60">
        <f ca="1">VALUE(LEFT(C208))</f>
        <v>0</v>
      </c>
      <c r="O208" s="61">
        <f ca="1">INT(IF(N208&gt;0,1+MAX(N208*N208-(IF(D208="",TODAY()+(5-N208)*15,D208)-TODAY())/4,N208),IF(TODAY()-M208&gt;10,0,1)))</f>
        <v>0</v>
      </c>
      <c r="P208" s="1" t="str">
        <f ca="1">IF(ISNA(VLOOKUP(A208,Projects!B:B,1,FALSE)),"","Yes")</f>
        <v/>
      </c>
    </row>
    <row r="209" spans="1:16">
      <c r="A209" s="4" t="s">
        <v>261</v>
      </c>
      <c r="B209" s="5" t="s">
        <v>29</v>
      </c>
      <c r="C209" s="6" t="s">
        <v>48</v>
      </c>
      <c r="D209" s="11"/>
      <c r="F209" s="13" t="str">
        <f ca="1">VLOOKUP(LEFT(A209,IF(ISERROR(FIND(".",A209)),LEN(A209)+1,FIND(".",A209))-1),WorkList!A:C,3,FALSE)</f>
        <v>Matrix Pricing Application</v>
      </c>
      <c r="G209" s="14" t="str">
        <f ca="1">VLOOKUP(CONCATENATE(A209),WorkList!A:C,3,FALSE)</f>
        <v>Collect comments and implement fixes</v>
      </c>
      <c r="H209" s="13" t="str">
        <f ca="1">VLOOKUP(CONCATENATE(A209),WorkList!A:D,4,FALSE)</f>
        <v>Neil</v>
      </c>
      <c r="I209" s="15">
        <f ca="1">VLOOKUP(CONCATENATE(A209),WorkList!A:E,5,FALSE)</f>
        <v>39975</v>
      </c>
      <c r="J209" s="49">
        <f ca="1">VLOOKUP(CONCATENATE(A209),WorkList!A:F,6,FALSE)</f>
        <v>0</v>
      </c>
      <c r="K209" s="49">
        <f ca="1">VLOOKUP(CONCATENATE(A209),WorkList!A:G,7,FALSE)</f>
        <v>0</v>
      </c>
      <c r="L209" s="7" t="s">
        <v>13</v>
      </c>
      <c r="M209" s="16">
        <v>40008</v>
      </c>
      <c r="N209" s="60">
        <f ca="1">VALUE(LEFT(C209))</f>
        <v>0</v>
      </c>
      <c r="O209" s="61">
        <f ca="1">INT(IF(N209&gt;0,1+MAX(N209*N209-(IF(D209="",TODAY()+(5-N209)*15,D209)-TODAY())/4,N209),IF(TODAY()-M209&gt;10,0,1)))</f>
        <v>0</v>
      </c>
      <c r="P209" s="1" t="str">
        <f ca="1">IF(ISNA(VLOOKUP(A209,Projects!B:B,1,FALSE)),"","Yes")</f>
        <v/>
      </c>
    </row>
    <row r="210" spans="1:16">
      <c r="A210" s="4" t="s">
        <v>323</v>
      </c>
      <c r="B210" s="5" t="s">
        <v>32</v>
      </c>
      <c r="C210" s="6" t="s">
        <v>48</v>
      </c>
      <c r="D210" s="11"/>
      <c r="F210" s="13" t="str">
        <f ca="1">VLOOKUP(LEFT(A210,IF(ISERROR(FIND(".",A210)),LEN(A210)+1,FIND(".",A210))-1),WorkList!A:C,3,FALSE)</f>
        <v>Matrix Pricing Application</v>
      </c>
      <c r="G210" s="14" t="str">
        <f ca="1">VLOOKUP(CONCATENATE(A210),WorkList!A:C,3,FALSE)</f>
        <v>Use Price viewer in QA and get sign off</v>
      </c>
      <c r="H210" s="13" t="str">
        <f ca="1">VLOOKUP(CONCATENATE(A210),WorkList!A:D,4,FALSE)</f>
        <v>Neil</v>
      </c>
      <c r="I210" s="15">
        <f ca="1">VLOOKUP(CONCATENATE(A210),WorkList!A:E,5,FALSE)</f>
        <v>40008</v>
      </c>
      <c r="J210" s="49">
        <f ca="1">VLOOKUP(CONCATENATE(A210),WorkList!A:F,6,FALSE)</f>
        <v>0</v>
      </c>
      <c r="K210" s="49">
        <f ca="1">VLOOKUP(CONCATENATE(A210),WorkList!A:G,7,FALSE)</f>
        <v>0</v>
      </c>
      <c r="L210" s="7" t="s">
        <v>13</v>
      </c>
      <c r="M210" s="16">
        <v>40025</v>
      </c>
      <c r="N210" s="60">
        <f ca="1">VALUE(LEFT(C210))</f>
        <v>0</v>
      </c>
      <c r="O210" s="61">
        <f ca="1">INT(IF(N210&gt;0,1+MAX(N210*N210-(IF(D210="",TODAY()+(5-N210)*15,D210)-TODAY())/4,N210),IF(TODAY()-M210&gt;10,0,1)))</f>
        <v>0</v>
      </c>
      <c r="P210" s="1" t="str">
        <f ca="1">IF(ISNA(VLOOKUP(A210,Projects!B:B,1,FALSE)),"","Yes")</f>
        <v/>
      </c>
    </row>
    <row r="211" spans="1:16">
      <c r="A211" s="4" t="s">
        <v>371</v>
      </c>
      <c r="B211" s="5" t="s">
        <v>32</v>
      </c>
      <c r="C211" s="4" t="s">
        <v>48</v>
      </c>
      <c r="D211" s="11"/>
      <c r="F211" s="13" t="str">
        <f ca="1">VLOOKUP(LEFT(A211,IF(ISERROR(FIND(".",A211)),LEN(A211)+1,FIND(".",A211))-1),WorkList!A:C,3,FALSE)</f>
        <v>Matrix Pricing Application</v>
      </c>
      <c r="G211" s="14" t="str">
        <f ca="1">VLOOKUP(CONCATENATE(A211),WorkList!A:C,3,FALSE)</f>
        <v>Enhance matrix viewer</v>
      </c>
      <c r="H211" s="13" t="str">
        <f ca="1">VLOOKUP(CONCATENATE(A211),WorkList!A:D,4,FALSE)</f>
        <v>Neil</v>
      </c>
      <c r="I211" s="15">
        <f ca="1">VLOOKUP(CONCATENATE(A211),WorkList!A:E,5,FALSE)</f>
        <v>40028</v>
      </c>
      <c r="J211" s="49">
        <f ca="1">VLOOKUP(CONCATENATE(A211),WorkList!A:F,6,FALSE)</f>
        <v>0</v>
      </c>
      <c r="K211" s="49">
        <f ca="1">VLOOKUP(CONCATENATE(A211),WorkList!A:G,7,FALSE)</f>
        <v>0</v>
      </c>
      <c r="L211" s="7" t="s">
        <v>13</v>
      </c>
      <c r="M211" s="16">
        <v>40086</v>
      </c>
      <c r="N211" s="60">
        <f ca="1">VALUE(LEFT(C211))</f>
        <v>0</v>
      </c>
      <c r="O211" s="61">
        <f ca="1">INT(IF(N211&gt;0,1+MAX(N211*N211-(IF(D211="",TODAY()+(5-N211)*15,D211)-TODAY())/4,N211),IF(TODAY()-M211&gt;10,0,1)))</f>
        <v>0</v>
      </c>
      <c r="P211" s="1" t="str">
        <f ca="1">IF(ISNA(VLOOKUP(A211,Projects!B:B,1,FALSE)),"","Yes")</f>
        <v/>
      </c>
    </row>
    <row r="212" spans="1:16">
      <c r="A212" s="4" t="s">
        <v>629</v>
      </c>
      <c r="B212" s="5" t="s">
        <v>21</v>
      </c>
      <c r="C212" s="7" t="s">
        <v>197</v>
      </c>
      <c r="D212" s="11"/>
      <c r="F212" s="13" t="str">
        <f ca="1">VLOOKUP(LEFT(A212,IF(ISERROR(FIND(".",A212)),LEN(A212)+1,FIND(".",A212))-1),WorkList!A:C,3,FALSE)</f>
        <v>Matrix Pricing Application</v>
      </c>
      <c r="G212" s="14" t="str">
        <f ca="1">VLOOKUP(CONCATENATE(A212),WorkList!A:C,3,FALSE)</f>
        <v>Add error summary report</v>
      </c>
      <c r="H212" s="13" t="str">
        <f ca="1">VLOOKUP(CONCATENATE(A212),WorkList!A:D,4,FALSE)</f>
        <v>Neil</v>
      </c>
      <c r="I212" s="15">
        <f ca="1">VLOOKUP(CONCATENATE(A212),WorkList!A:E,5,FALSE)</f>
        <v>40114</v>
      </c>
      <c r="J212" s="49">
        <f ca="1">VLOOKUP(CONCATENATE(A212),WorkList!A:F,6,FALSE)</f>
        <v>2</v>
      </c>
      <c r="K212" s="49" t="str">
        <f ca="1">VLOOKUP(CONCATENATE(A212),WorkList!A:G,7,FALSE)</f>
        <v>NewDevelopment</v>
      </c>
      <c r="L212" s="7" t="s">
        <v>7</v>
      </c>
      <c r="M212" s="16">
        <v>40283</v>
      </c>
      <c r="N212" s="60">
        <f ca="1">VALUE(LEFT(C212))</f>
        <v>1</v>
      </c>
      <c r="O212" s="61">
        <f ca="1">INT(IF(N212&gt;0,1+MAX(N212*N212-(IF(D212="",TODAY()+(5-N212)*15,D212)-TODAY())/4,N212),IF(TODAY()-M212&gt;10,0,1)))</f>
        <v>2</v>
      </c>
      <c r="P212" s="1" t="str">
        <f ca="1">IF(ISNA(VLOOKUP(A212,Projects!B:B,1,FALSE)),"","Yes")</f>
        <v/>
      </c>
    </row>
    <row r="213" spans="1:16">
      <c r="A213" s="4" t="s">
        <v>160</v>
      </c>
      <c r="B213" s="5" t="s">
        <v>32</v>
      </c>
      <c r="C213" s="6" t="s">
        <v>48</v>
      </c>
      <c r="D213" s="11"/>
      <c r="F213" s="13" t="str">
        <f ca="1">VLOOKUP(LEFT(A213,IF(ISERROR(FIND(".",A213)),LEN(A213)+1,FIND(".",A213))-1),WorkList!A:C,3,FALSE)</f>
        <v>Matrix Pricing Application</v>
      </c>
      <c r="G213" s="14" t="str">
        <f ca="1">VLOOKUP(CONCATENATE(A213),WorkList!A:C,3,FALSE)</f>
        <v>Editor - Agree requirements</v>
      </c>
      <c r="H213" s="13" t="str">
        <f ca="1">VLOOKUP(CONCATENATE(A213),WorkList!A:D,4,FALSE)</f>
        <v>Neil</v>
      </c>
      <c r="I213" s="15">
        <f ca="1">VLOOKUP(CONCATENATE(A213),WorkList!A:E,5,FALSE)</f>
        <v>39945</v>
      </c>
      <c r="J213" s="49">
        <f ca="1">VLOOKUP(CONCATENATE(A213),WorkList!A:F,6,FALSE)</f>
        <v>0</v>
      </c>
      <c r="K213" s="49">
        <f ca="1">VLOOKUP(CONCATENATE(A213),WorkList!A:G,7,FALSE)</f>
        <v>0</v>
      </c>
      <c r="L213" s="7" t="s">
        <v>13</v>
      </c>
      <c r="M213" s="16">
        <v>39966</v>
      </c>
      <c r="N213" s="60">
        <f ca="1">VALUE(LEFT(C213))</f>
        <v>0</v>
      </c>
      <c r="O213" s="61">
        <f ca="1">INT(IF(N213&gt;0,1+MAX(N213*N213-(IF(D213="",TODAY()+(5-N213)*15,D213)-TODAY())/4,N213),IF(TODAY()-M213&gt;10,0,1)))</f>
        <v>0</v>
      </c>
      <c r="P213" s="1" t="str">
        <f ca="1">IF(ISNA(VLOOKUP(A213,Projects!B:B,1,FALSE)),"","Yes")</f>
        <v/>
      </c>
    </row>
    <row r="214" spans="1:16">
      <c r="A214" s="4" t="s">
        <v>380</v>
      </c>
      <c r="B214" s="5" t="s">
        <v>32</v>
      </c>
      <c r="C214" s="4" t="s">
        <v>48</v>
      </c>
      <c r="D214" s="11"/>
      <c r="F214" s="13" t="str">
        <f ca="1">VLOOKUP(LEFT(A214,IF(ISERROR(FIND(".",A214)),LEN(A214)+1,FIND(".",A214))-1),WorkList!A:C,3,FALSE)</f>
        <v>Matrix Pricing Application</v>
      </c>
      <c r="G214" s="14" t="str">
        <f ca="1">VLOOKUP(CONCATENATE(A214),WorkList!A:C,3,FALSE)</f>
        <v>Multiple L2 tier match</v>
      </c>
      <c r="H214" s="13" t="str">
        <f ca="1">VLOOKUP(CONCATENATE(A214),WorkList!A:D,4,FALSE)</f>
        <v>David Covey</v>
      </c>
      <c r="I214" s="15">
        <f ca="1">VLOOKUP(CONCATENATE(A214),WorkList!A:E,5,FALSE)</f>
        <v>40029</v>
      </c>
      <c r="J214" s="49">
        <f ca="1">VLOOKUP(CONCATENATE(A214),WorkList!A:F,6,FALSE)</f>
        <v>0</v>
      </c>
      <c r="K214" s="49">
        <f ca="1">VLOOKUP(CONCATENATE(A214),WorkList!A:G,7,FALSE)</f>
        <v>0</v>
      </c>
      <c r="L214" s="7" t="s">
        <v>13</v>
      </c>
      <c r="M214" s="16">
        <v>40086</v>
      </c>
      <c r="N214" s="60">
        <f ca="1">VALUE(LEFT(C214))</f>
        <v>0</v>
      </c>
      <c r="O214" s="61">
        <f ca="1">INT(IF(N214&gt;0,1+MAX(N214*N214-(IF(D214="",TODAY()+(5-N214)*15,D214)-TODAY())/4,N214),IF(TODAY()-M214&gt;10,0,1)))</f>
        <v>0</v>
      </c>
      <c r="P214" s="1" t="str">
        <f ca="1">IF(ISNA(VLOOKUP(A214,Projects!B:B,1,FALSE)),"","Yes")</f>
        <v/>
      </c>
    </row>
    <row r="215" spans="1:16">
      <c r="A215" s="4" t="s">
        <v>161</v>
      </c>
      <c r="B215" s="5" t="s">
        <v>29</v>
      </c>
      <c r="C215" s="6" t="s">
        <v>48</v>
      </c>
      <c r="D215" s="11"/>
      <c r="F215" s="13" t="str">
        <f ca="1">VLOOKUP(LEFT(A215,IF(ISERROR(FIND(".",A215)),LEN(A215)+1,FIND(".",A215))-1),WorkList!A:C,3,FALSE)</f>
        <v>Matrix Pricing Application</v>
      </c>
      <c r="G215" s="14" t="str">
        <f ca="1">VLOOKUP(CONCATENATE(A215),WorkList!A:C,3,FALSE)</f>
        <v>Editor - Make first implementation - L1 Matrix</v>
      </c>
      <c r="H215" s="13" t="str">
        <f ca="1">VLOOKUP(CONCATENATE(A215),WorkList!A:D,4,FALSE)</f>
        <v>Neil</v>
      </c>
      <c r="I215" s="15">
        <f ca="1">VLOOKUP(CONCATENATE(A215),WorkList!A:E,5,FALSE)</f>
        <v>39975</v>
      </c>
      <c r="J215" s="49">
        <f ca="1">VLOOKUP(CONCATENATE(A215),WorkList!A:F,6,FALSE)</f>
        <v>0</v>
      </c>
      <c r="K215" s="49">
        <f ca="1">VLOOKUP(CONCATENATE(A215),WorkList!A:G,7,FALSE)</f>
        <v>0</v>
      </c>
      <c r="L215" s="7" t="s">
        <v>13</v>
      </c>
      <c r="M215" s="16">
        <v>39983</v>
      </c>
      <c r="N215" s="60">
        <f ca="1">VALUE(LEFT(C215))</f>
        <v>0</v>
      </c>
      <c r="O215" s="61">
        <f ca="1">INT(IF(N215&gt;0,1+MAX(N215*N215-(IF(D215="",TODAY()+(5-N215)*15,D215)-TODAY())/4,N215),IF(TODAY()-M215&gt;10,0,1)))</f>
        <v>0</v>
      </c>
      <c r="P215" s="1" t="str">
        <f ca="1">IF(ISNA(VLOOKUP(A215,Projects!B:B,1,FALSE)),"","Yes")</f>
        <v/>
      </c>
    </row>
    <row r="216" spans="1:16">
      <c r="A216" s="4" t="s">
        <v>162</v>
      </c>
      <c r="B216" s="5" t="s">
        <v>32</v>
      </c>
      <c r="C216" s="6" t="s">
        <v>48</v>
      </c>
      <c r="D216" s="11"/>
      <c r="F216" s="13" t="str">
        <f ca="1">VLOOKUP(LEFT(A216,IF(ISERROR(FIND(".",A216)),LEN(A216)+1,FIND(".",A216))-1),WorkList!A:C,3,FALSE)</f>
        <v>Matrix Pricing Application</v>
      </c>
      <c r="G216" s="14" t="str">
        <f ca="1">VLOOKUP(CONCATENATE(A216),WorkList!A:C,3,FALSE)</f>
        <v>Editor - Make first implementation</v>
      </c>
      <c r="H216" s="13" t="str">
        <f ca="1">VLOOKUP(CONCATENATE(A216),WorkList!A:D,4,FALSE)</f>
        <v>Neil</v>
      </c>
      <c r="I216" s="15">
        <f ca="1">VLOOKUP(CONCATENATE(A216),WorkList!A:E,5,FALSE)</f>
        <v>39975</v>
      </c>
      <c r="J216" s="49">
        <f ca="1">VLOOKUP(CONCATENATE(A216),WorkList!A:F,6,FALSE)</f>
        <v>0</v>
      </c>
      <c r="K216" s="49">
        <f ca="1">VLOOKUP(CONCATENATE(A216),WorkList!A:G,7,FALSE)</f>
        <v>0</v>
      </c>
      <c r="L216" s="7" t="s">
        <v>13</v>
      </c>
      <c r="M216" s="16">
        <v>39983</v>
      </c>
      <c r="N216" s="60">
        <f ca="1">VALUE(LEFT(C216))</f>
        <v>0</v>
      </c>
      <c r="O216" s="61">
        <f ca="1">INT(IF(N216&gt;0,1+MAX(N216*N216-(IF(D216="",TODAY()+(5-N216)*15,D216)-TODAY())/4,N216),IF(TODAY()-M216&gt;10,0,1)))</f>
        <v>0</v>
      </c>
      <c r="P216" s="1" t="str">
        <f ca="1">IF(ISNA(VLOOKUP(A216,Projects!B:B,1,FALSE)),"","Yes")</f>
        <v/>
      </c>
    </row>
    <row r="217" spans="1:16">
      <c r="A217" s="4" t="s">
        <v>163</v>
      </c>
      <c r="B217" s="5" t="s">
        <v>29</v>
      </c>
      <c r="C217" s="6" t="s">
        <v>48</v>
      </c>
      <c r="D217" s="11"/>
      <c r="F217" s="13" t="str">
        <f ca="1">VLOOKUP(LEFT(A217,IF(ISERROR(FIND(".",A217)),LEN(A217)+1,FIND(".",A217))-1),WorkList!A:C,3,FALSE)</f>
        <v>Matrix Pricing Application</v>
      </c>
      <c r="G217" s="14" t="str">
        <f ca="1">VLOOKUP(CONCATENATE(A217),WorkList!A:C,3,FALSE)</f>
        <v>Editor - Research review 1st implementation</v>
      </c>
      <c r="H217" s="13" t="str">
        <f ca="1">VLOOKUP(CONCATENATE(A217),WorkList!A:D,4,FALSE)</f>
        <v>Neil</v>
      </c>
      <c r="I217" s="15">
        <f ca="1">VLOOKUP(CONCATENATE(A217),WorkList!A:E,5,FALSE)</f>
        <v>39945</v>
      </c>
      <c r="J217" s="49">
        <f ca="1">VLOOKUP(CONCATENATE(A217),WorkList!A:F,6,FALSE)</f>
        <v>0</v>
      </c>
      <c r="K217" s="49">
        <f ca="1">VLOOKUP(CONCATENATE(A217),WorkList!A:G,7,FALSE)</f>
        <v>0</v>
      </c>
      <c r="L217" s="7" t="s">
        <v>13</v>
      </c>
      <c r="M217" s="16">
        <v>39983</v>
      </c>
      <c r="N217" s="60">
        <f ca="1">VALUE(LEFT(C217))</f>
        <v>0</v>
      </c>
      <c r="O217" s="61">
        <f ca="1">INT(IF(N217&gt;0,1+MAX(N217*N217-(IF(D217="",TODAY()+(5-N217)*15,D217)-TODAY())/4,N217),IF(TODAY()-M217&gt;10,0,1)))</f>
        <v>0</v>
      </c>
      <c r="P217" s="1" t="str">
        <f ca="1">IF(ISNA(VLOOKUP(A217,Projects!B:B,1,FALSE)),"","Yes")</f>
        <v/>
      </c>
    </row>
    <row r="218" spans="1:16">
      <c r="A218" s="4" t="s">
        <v>259</v>
      </c>
      <c r="B218" s="5" t="s">
        <v>29</v>
      </c>
      <c r="C218" s="6" t="s">
        <v>48</v>
      </c>
      <c r="D218" s="11"/>
      <c r="F218" s="13" t="str">
        <f ca="1">VLOOKUP(LEFT(A218,IF(ISERROR(FIND(".",A218)),LEN(A218)+1,FIND(".",A218))-1),WorkList!A:C,3,FALSE)</f>
        <v>Matrix Pricing Application</v>
      </c>
      <c r="G218" s="14" t="str">
        <f ca="1">VLOOKUP(CONCATENATE(A218),WorkList!A:C,3,FALSE)</f>
        <v>Matrix Editor - Make modification as required and release</v>
      </c>
      <c r="H218" s="13" t="str">
        <f ca="1">VLOOKUP(CONCATENATE(A218),WorkList!A:D,4,FALSE)</f>
        <v>Neil</v>
      </c>
      <c r="I218" s="15">
        <f ca="1">VLOOKUP(CONCATENATE(A218),WorkList!A:E,5,FALSE)</f>
        <v>40008</v>
      </c>
      <c r="J218" s="49">
        <f ca="1">VLOOKUP(CONCATENATE(A218),WorkList!A:F,6,FALSE)</f>
        <v>0</v>
      </c>
      <c r="K218" s="49">
        <f ca="1">VLOOKUP(CONCATENATE(A218),WorkList!A:G,7,FALSE)</f>
        <v>0</v>
      </c>
      <c r="L218" s="7" t="s">
        <v>13</v>
      </c>
      <c r="M218" s="16">
        <v>40025</v>
      </c>
      <c r="N218" s="60">
        <f ca="1">VALUE(LEFT(C218))</f>
        <v>0</v>
      </c>
      <c r="O218" s="61">
        <f ca="1">INT(IF(N218&gt;0,1+MAX(N218*N218-(IF(D218="",TODAY()+(5-N218)*15,D218)-TODAY())/4,N218),IF(TODAY()-M218&gt;10,0,1)))</f>
        <v>0</v>
      </c>
      <c r="P218" s="1" t="str">
        <f ca="1">IF(ISNA(VLOOKUP(A218,Projects!B:B,1,FALSE)),"","Yes")</f>
        <v/>
      </c>
    </row>
    <row r="219" spans="1:16">
      <c r="A219" s="4" t="s">
        <v>325</v>
      </c>
      <c r="B219" s="5" t="s">
        <v>326</v>
      </c>
      <c r="C219" s="6" t="s">
        <v>48</v>
      </c>
      <c r="D219" s="11"/>
      <c r="F219" s="13" t="str">
        <f ca="1">VLOOKUP(LEFT(A219,IF(ISERROR(FIND(".",A219)),LEN(A219)+1,FIND(".",A219))-1),WorkList!A:C,3,FALSE)</f>
        <v>Matrix Pricing Application</v>
      </c>
      <c r="G219" s="14" t="str">
        <f ca="1">VLOOKUP(CONCATENATE(A219),WorkList!A:C,3,FALSE)</f>
        <v>Validate L2 matrix definitions</v>
      </c>
      <c r="H219" s="13" t="str">
        <f ca="1">VLOOKUP(CONCATENATE(A219),WorkList!A:D,4,FALSE)</f>
        <v>David Covey</v>
      </c>
      <c r="I219" s="15">
        <f ca="1">VLOOKUP(CONCATENATE(A219),WorkList!A:E,5,FALSE)</f>
        <v>40148</v>
      </c>
      <c r="J219" s="49">
        <f ca="1">VLOOKUP(CONCATENATE(A219),WorkList!A:F,6,FALSE)</f>
        <v>0</v>
      </c>
      <c r="K219" s="49">
        <f ca="1">VLOOKUP(CONCATENATE(A219),WorkList!A:G,7,FALSE)</f>
        <v>0</v>
      </c>
      <c r="L219" s="7" t="s">
        <v>13</v>
      </c>
      <c r="M219" s="16">
        <v>40025</v>
      </c>
      <c r="N219" s="60">
        <f ca="1">VALUE(LEFT(C219))</f>
        <v>0</v>
      </c>
      <c r="O219" s="61">
        <f ca="1">INT(IF(N219&gt;0,1+MAX(N219*N219-(IF(D219="",TODAY()+(5-N219)*15,D219)-TODAY())/4,N219),IF(TODAY()-M219&gt;10,0,1)))</f>
        <v>0</v>
      </c>
      <c r="P219" s="1" t="str">
        <f ca="1">IF(ISNA(VLOOKUP(A219,Projects!B:B,1,FALSE)),"","Yes")</f>
        <v/>
      </c>
    </row>
    <row r="220" spans="1:16">
      <c r="A220" s="4" t="s">
        <v>344</v>
      </c>
      <c r="B220" s="5" t="s">
        <v>32</v>
      </c>
      <c r="C220" s="4" t="s">
        <v>48</v>
      </c>
      <c r="D220" s="11"/>
      <c r="F220" s="13" t="str">
        <f ca="1">VLOOKUP(LEFT(A220,IF(ISERROR(FIND(".",A220)),LEN(A220)+1,FIND(".",A220))-1),WorkList!A:C,3,FALSE)</f>
        <v>Matrix Pricing Application</v>
      </c>
      <c r="G220" s="14" t="str">
        <f ca="1">VLOOKUP(CONCATENATE(A220),WorkList!A:C,3,FALSE)</f>
        <v>Redesign L2 matrix screen</v>
      </c>
      <c r="H220" s="13" t="str">
        <f ca="1">VLOOKUP(CONCATENATE(A220),WorkList!A:D,4,FALSE)</f>
        <v>Neil</v>
      </c>
      <c r="I220" s="15">
        <f ca="1">VLOOKUP(CONCATENATE(A220),WorkList!A:E,5,FALSE)</f>
        <v>40025</v>
      </c>
      <c r="J220" s="49">
        <f ca="1">VLOOKUP(CONCATENATE(A220),WorkList!A:F,6,FALSE)</f>
        <v>0</v>
      </c>
      <c r="K220" s="49">
        <f ca="1">VLOOKUP(CONCATENATE(A220),WorkList!A:G,7,FALSE)</f>
        <v>0</v>
      </c>
      <c r="L220" s="7" t="s">
        <v>13</v>
      </c>
      <c r="M220" s="16">
        <v>40086</v>
      </c>
      <c r="N220" s="60">
        <f ca="1">VALUE(LEFT(C220))</f>
        <v>0</v>
      </c>
      <c r="O220" s="61">
        <f ca="1">INT(IF(N220&gt;0,1+MAX(N220*N220-(IF(D220="",TODAY()+(5-N220)*15,D220)-TODAY())/4,N220),IF(TODAY()-M220&gt;10,0,1)))</f>
        <v>0</v>
      </c>
      <c r="P220" s="1" t="str">
        <f ca="1">IF(ISNA(VLOOKUP(A220,Projects!B:B,1,FALSE)),"","Yes")</f>
        <v/>
      </c>
    </row>
    <row r="221" spans="1:16">
      <c r="A221" s="4" t="s">
        <v>367</v>
      </c>
      <c r="B221" s="5" t="s">
        <v>32</v>
      </c>
      <c r="C221" s="4" t="s">
        <v>48</v>
      </c>
      <c r="D221" s="11"/>
      <c r="F221" s="13" t="str">
        <f ca="1">VLOOKUP(LEFT(A221,IF(ISERROR(FIND(".",A221)),LEN(A221)+1,FIND(".",A221))-1),WorkList!A:C,3,FALSE)</f>
        <v>Matrix Pricing Application</v>
      </c>
      <c r="G221" s="14" t="str">
        <f ca="1">VLOOKUP(CONCATENATE(A221),WorkList!A:C,3,FALSE)</f>
        <v>Price large universe of bonds for Aug month end.</v>
      </c>
      <c r="H221" s="13" t="str">
        <f ca="1">VLOOKUP(CONCATENATE(A221),WorkList!A:D,4,FALSE)</f>
        <v>David Covey</v>
      </c>
      <c r="I221" s="15">
        <f ca="1">VLOOKUP(CONCATENATE(A221),WorkList!A:E,5,FALSE)</f>
        <v>40028</v>
      </c>
      <c r="J221" s="49">
        <f ca="1">VLOOKUP(CONCATENATE(A221),WorkList!A:F,6,FALSE)</f>
        <v>0</v>
      </c>
      <c r="K221" s="49">
        <f ca="1">VLOOKUP(CONCATENATE(A221),WorkList!A:G,7,FALSE)</f>
        <v>0</v>
      </c>
      <c r="L221" s="7" t="s">
        <v>13</v>
      </c>
      <c r="M221" s="16">
        <v>40086</v>
      </c>
      <c r="N221" s="60">
        <f ca="1">VALUE(LEFT(C221))</f>
        <v>0</v>
      </c>
      <c r="O221" s="61">
        <f ca="1">INT(IF(N221&gt;0,1+MAX(N221*N221-(IF(D221="",TODAY()+(5-N221)*15,D221)-TODAY())/4,N221),IF(TODAY()-M221&gt;10,0,1)))</f>
        <v>0</v>
      </c>
      <c r="P221" s="1" t="str">
        <f ca="1">IF(ISNA(VLOOKUP(A221,Projects!B:B,1,FALSE)),"","Yes")</f>
        <v/>
      </c>
    </row>
    <row r="222" spans="1:16">
      <c r="A222" s="4" t="s">
        <v>627</v>
      </c>
      <c r="B222" s="5" t="s">
        <v>759</v>
      </c>
      <c r="C222" s="7" t="s">
        <v>48</v>
      </c>
      <c r="D222" s="11"/>
      <c r="F222" s="13" t="str">
        <f ca="1">VLOOKUP(LEFT(A222,IF(ISERROR(FIND(".",A222)),LEN(A222)+1,FIND(".",A222))-1),WorkList!A:C,3,FALSE)</f>
        <v>Matrix Pricing Application</v>
      </c>
      <c r="G222" s="14" t="str">
        <f ca="1">VLOOKUP(CONCATENATE(A222),WorkList!A:C,3,FALSE)</f>
        <v>Research to review Matrix and fully populate.</v>
      </c>
      <c r="H222" s="13" t="str">
        <f ca="1">VLOOKUP(CONCATENATE(A222),WorkList!A:D,4,FALSE)</f>
        <v>David Covey</v>
      </c>
      <c r="I222" s="15">
        <f ca="1">VLOOKUP(CONCATENATE(A222),WorkList!A:E,5,FALSE)</f>
        <v>40114</v>
      </c>
      <c r="J222" s="49">
        <f ca="1">VLOOKUP(CONCATENATE(A222),WorkList!A:F,6,FALSE)</f>
        <v>4</v>
      </c>
      <c r="K222" s="49" t="str">
        <f ca="1">VLOOKUP(CONCATENATE(A222),WorkList!A:G,7,FALSE)</f>
        <v>Other</v>
      </c>
      <c r="L222" s="7" t="s">
        <v>13</v>
      </c>
      <c r="M222" s="16">
        <v>40567</v>
      </c>
      <c r="N222" s="60">
        <f ca="1">VALUE(LEFT(C222))</f>
        <v>0</v>
      </c>
      <c r="O222" s="61">
        <f ca="1">INT(IF(N222&gt;0,1+MAX(N222*N222-(IF(D222="",TODAY()+(5-N222)*15,D222)-TODAY())/4,N222),IF(TODAY()-M222&gt;10,0,1)))</f>
        <v>0</v>
      </c>
      <c r="P222" s="1" t="str">
        <f ca="1">IF(ISNA(VLOOKUP(A222,Projects!B:B,1,FALSE)),"","Yes")</f>
        <v/>
      </c>
    </row>
    <row r="223" spans="1:16">
      <c r="A223" s="4" t="s">
        <v>566</v>
      </c>
      <c r="B223" s="5" t="s">
        <v>37</v>
      </c>
      <c r="C223" s="6" t="s">
        <v>48</v>
      </c>
      <c r="D223" s="11"/>
      <c r="F223" s="13" t="str">
        <f ca="1">VLOOKUP(LEFT(A223,IF(ISERROR(FIND(".",A223)),LEN(A223)+1,FIND(".",A223))-1),WorkList!A:C,3,FALSE)</f>
        <v>Loan level data</v>
      </c>
      <c r="G223" s="14" t="str">
        <f ca="1">VLOOKUP(CONCATENATE(A223),WorkList!A:C,3,FALSE)</f>
        <v>Add ALBA loans</v>
      </c>
      <c r="H223" s="13" t="str">
        <f ca="1">VLOOKUP(CONCATENATE(A223),WorkList!A:D,4,FALSE)</f>
        <v>David Covey</v>
      </c>
      <c r="I223" s="15">
        <f ca="1">VLOOKUP(CONCATENATE(A223),WorkList!A:E,5,FALSE)</f>
        <v>39911</v>
      </c>
      <c r="J223" s="49">
        <f ca="1">VLOOKUP(CONCATENATE(A223),WorkList!A:F,6,FALSE)</f>
        <v>0</v>
      </c>
      <c r="K223" s="49">
        <f ca="1">VLOOKUP(CONCATENATE(A223),WorkList!A:G,7,FALSE)</f>
        <v>0</v>
      </c>
      <c r="L223" s="7" t="s">
        <v>13</v>
      </c>
      <c r="M223" s="16">
        <v>40414</v>
      </c>
      <c r="N223" s="60">
        <f ca="1">VALUE(LEFT(C223))</f>
        <v>0</v>
      </c>
      <c r="O223" s="61">
        <f ca="1">INT(IF(N223&gt;0,1+MAX(N223*N223-(IF(D223="",TODAY()+(5-N223)*15,D223)-TODAY())/4,N223),IF(TODAY()-M223&gt;10,0,1)))</f>
        <v>0</v>
      </c>
      <c r="P223" s="1" t="str">
        <f ca="1">IF(ISNA(VLOOKUP(A223,Projects!B:B,1,FALSE)),"","Yes")</f>
        <v/>
      </c>
    </row>
    <row r="224" spans="1:16">
      <c r="A224" s="4" t="s">
        <v>567</v>
      </c>
      <c r="B224" s="5" t="s">
        <v>37</v>
      </c>
      <c r="C224" s="6" t="s">
        <v>48</v>
      </c>
      <c r="D224" s="11"/>
      <c r="F224" s="13" t="str">
        <f ca="1">VLOOKUP(LEFT(A224,IF(ISERROR(FIND(".",A224)),LEN(A224)+1,FIND(".",A224))-1),WorkList!A:C,3,FALSE)</f>
        <v>Loan level data</v>
      </c>
      <c r="G224" s="14" t="str">
        <f ca="1">VLOOKUP(CONCATENATE(A224),WorkList!A:C,3,FALSE)</f>
        <v>Add Merrill loans - raw data + document</v>
      </c>
      <c r="H224" s="13" t="str">
        <f ca="1">VLOOKUP(CONCATENATE(A224),WorkList!A:D,4,FALSE)</f>
        <v>David Covey</v>
      </c>
      <c r="I224" s="15">
        <f ca="1">VLOOKUP(CONCATENATE(A224),WorkList!A:E,5,FALSE)</f>
        <v>40214</v>
      </c>
      <c r="J224" s="49">
        <f ca="1">VLOOKUP(CONCATENATE(A224),WorkList!A:F,6,FALSE)</f>
        <v>0</v>
      </c>
      <c r="K224" s="49">
        <f ca="1">VLOOKUP(CONCATENATE(A224),WorkList!A:G,7,FALSE)</f>
        <v>0</v>
      </c>
      <c r="L224" s="7" t="s">
        <v>13</v>
      </c>
      <c r="M224" s="16">
        <v>40095</v>
      </c>
      <c r="N224" s="60">
        <f ca="1">VALUE(LEFT(C224))</f>
        <v>0</v>
      </c>
      <c r="O224" s="61">
        <f ca="1">INT(IF(N224&gt;0,1+MAX(N224*N224-(IF(D224="",TODAY()+(5-N224)*15,D224)-TODAY())/4,N224),IF(TODAY()-M224&gt;10,0,1)))</f>
        <v>0</v>
      </c>
      <c r="P224" s="1" t="str">
        <f ca="1">IF(ISNA(VLOOKUP(A224,Projects!B:B,1,FALSE)),"","Yes")</f>
        <v/>
      </c>
    </row>
    <row r="225" spans="1:16">
      <c r="A225" s="4" t="s">
        <v>568</v>
      </c>
      <c r="B225" s="5" t="s">
        <v>11</v>
      </c>
      <c r="C225" s="6" t="s">
        <v>48</v>
      </c>
      <c r="D225" s="11"/>
      <c r="F225" s="13" t="str">
        <f ca="1">VLOOKUP(LEFT(A225,IF(ISERROR(FIND(".",A225)),LEN(A225)+1,FIND(".",A225))-1),WorkList!A:C,3,FALSE)</f>
        <v>Loan level data</v>
      </c>
      <c r="G225" s="14" t="str">
        <f ca="1">VLOOKUP(CONCATENATE(A225),WorkList!A:C,3,FALSE)</f>
        <v>Update ESAIL data for March + Add Wiki Notes</v>
      </c>
      <c r="H225" s="13" t="str">
        <f ca="1">VLOOKUP(CONCATENATE(A225),WorkList!A:D,4,FALSE)</f>
        <v>David Covey</v>
      </c>
      <c r="I225" s="15">
        <f ca="1">VLOOKUP(CONCATENATE(A225),WorkList!A:E,5,FALSE)</f>
        <v>39938</v>
      </c>
      <c r="J225" s="49">
        <f ca="1">VLOOKUP(CONCATENATE(A225),WorkList!A:F,6,FALSE)</f>
        <v>0</v>
      </c>
      <c r="K225" s="49">
        <f ca="1">VLOOKUP(CONCATENATE(A225),WorkList!A:G,7,FALSE)</f>
        <v>0</v>
      </c>
      <c r="L225" s="7" t="s">
        <v>13</v>
      </c>
      <c r="M225" s="16">
        <v>39939</v>
      </c>
      <c r="N225" s="60">
        <f ca="1">VALUE(LEFT(C225))</f>
        <v>0</v>
      </c>
      <c r="O225" s="61">
        <f ca="1">INT(IF(N225&gt;0,1+MAX(N225*N225-(IF(D225="",TODAY()+(5-N225)*15,D225)-TODAY())/4,N225),IF(TODAY()-M225&gt;10,0,1)))</f>
        <v>0</v>
      </c>
      <c r="P225" s="1" t="str">
        <f ca="1">IF(ISNA(VLOOKUP(A225,Projects!B:B,1,FALSE)),"","Yes")</f>
        <v/>
      </c>
    </row>
    <row r="226" spans="1:16">
      <c r="A226" s="4" t="s">
        <v>569</v>
      </c>
      <c r="B226" s="5" t="s">
        <v>32</v>
      </c>
      <c r="C226" s="6" t="s">
        <v>48</v>
      </c>
      <c r="D226" s="11"/>
      <c r="F226" s="13" t="str">
        <f ca="1">VLOOKUP(LEFT(A226,IF(ISERROR(FIND(".",A226)),LEN(A226)+1,FIND(".",A226))-1),WorkList!A:C,3,FALSE)</f>
        <v>Loan level data</v>
      </c>
      <c r="G226" s="14" t="str">
        <f ca="1">VLOOKUP(CONCATENATE(A226),WorkList!A:C,3,FALSE)</f>
        <v>Add Halifax HPI data</v>
      </c>
      <c r="H226" s="13" t="str">
        <f ca="1">VLOOKUP(CONCATENATE(A226),WorkList!A:D,4,FALSE)</f>
        <v>David Covey</v>
      </c>
      <c r="I226" s="15">
        <f ca="1">VLOOKUP(CONCATENATE(A226),WorkList!A:E,5,FALSE)</f>
        <v>39917</v>
      </c>
      <c r="J226" s="49">
        <f ca="1">VLOOKUP(CONCATENATE(A226),WorkList!A:F,6,FALSE)</f>
        <v>0</v>
      </c>
      <c r="K226" s="49">
        <f ca="1">VLOOKUP(CONCATENATE(A226),WorkList!A:G,7,FALSE)</f>
        <v>0</v>
      </c>
      <c r="L226" s="7" t="s">
        <v>13</v>
      </c>
      <c r="M226" s="16">
        <v>40505</v>
      </c>
      <c r="N226" s="60">
        <f ca="1">VALUE(LEFT(C226))</f>
        <v>0</v>
      </c>
      <c r="O226" s="61">
        <f ca="1">INT(IF(N226&gt;0,1+MAX(N226*N226-(IF(D226="",TODAY()+(5-N226)*15,D226)-TODAY())/4,N226),IF(TODAY()-M226&gt;10,0,1)))</f>
        <v>0</v>
      </c>
      <c r="P226" s="1" t="str">
        <f ca="1">IF(ISNA(VLOOKUP(A226,Projects!B:B,1,FALSE)),"","Yes")</f>
        <v/>
      </c>
    </row>
    <row r="227" spans="1:16" ht="25.5">
      <c r="A227" s="4" t="s">
        <v>571</v>
      </c>
      <c r="B227" s="5" t="s">
        <v>129</v>
      </c>
      <c r="C227" s="7" t="s">
        <v>48</v>
      </c>
      <c r="D227" s="11"/>
      <c r="F227" s="13" t="str">
        <f ca="1">VLOOKUP(LEFT(A227,IF(ISERROR(FIND(".",A227)),LEN(A227)+1,FIND(".",A227))-1),WorkList!A:C,3,FALSE)</f>
        <v>Loan level data</v>
      </c>
      <c r="G227" s="14" t="str">
        <f ca="1">VLOOKUP(CONCATENATE(A227),WorkList!A:C,3,FALSE)</f>
        <v>Add 2 fields to Mapping sheets and data base - not needed</v>
      </c>
      <c r="H227" s="13" t="str">
        <f ca="1">VLOOKUP(CONCATENATE(A227),WorkList!A:D,4,FALSE)</f>
        <v>David Covey</v>
      </c>
      <c r="I227" s="15">
        <f ca="1">VLOOKUP(CONCATENATE(A227),WorkList!A:E,5,FALSE)</f>
        <v>39994</v>
      </c>
      <c r="J227" s="49">
        <f ca="1">VLOOKUP(CONCATENATE(A227),WorkList!A:F,6,FALSE)</f>
        <v>0</v>
      </c>
      <c r="K227" s="49">
        <f ca="1">VLOOKUP(CONCATENATE(A227),WorkList!A:G,7,FALSE)</f>
        <v>0</v>
      </c>
      <c r="L227" s="7" t="s">
        <v>13</v>
      </c>
      <c r="M227" s="16">
        <v>39994</v>
      </c>
      <c r="N227" s="60">
        <f ca="1">VALUE(LEFT(C227))</f>
        <v>0</v>
      </c>
      <c r="O227" s="61">
        <f ca="1">INT(IF(N227&gt;0,1+MAX(N227*N227-(IF(D227="",TODAY()+(5-N227)*15,D227)-TODAY())/4,N227),IF(TODAY()-M227&gt;10,0,1)))</f>
        <v>0</v>
      </c>
      <c r="P227" s="1" t="str">
        <f ca="1">IF(ISNA(VLOOKUP(A227,Projects!B:B,1,FALSE)),"","Yes")</f>
        <v/>
      </c>
    </row>
    <row r="228" spans="1:16" ht="25.5">
      <c r="A228" s="4" t="s">
        <v>572</v>
      </c>
      <c r="B228" s="5" t="s">
        <v>37</v>
      </c>
      <c r="C228" s="6" t="s">
        <v>48</v>
      </c>
      <c r="D228" s="11"/>
      <c r="F228" s="13" t="str">
        <f ca="1">VLOOKUP(LEFT(A228,IF(ISERROR(FIND(".",A228)),LEN(A228)+1,FIND(".",A228))-1),WorkList!A:C,3,FALSE)</f>
        <v>Loan level data</v>
      </c>
      <c r="G228" s="14" t="str">
        <f ca="1">VLOOKUP(CONCATENATE(A228),WorkList!A:C,3,FALSE)</f>
        <v>Add 8 'critical' fields to mapping sheet and database - See 5.5.1 - not needed</v>
      </c>
      <c r="H228" s="13" t="str">
        <f ca="1">VLOOKUP(CONCATENATE(A228),WorkList!A:D,4,FALSE)</f>
        <v>David Covey</v>
      </c>
      <c r="I228" s="15">
        <f ca="1">VLOOKUP(CONCATENATE(A228),WorkList!A:E,5,FALSE)</f>
        <v>39994</v>
      </c>
      <c r="J228" s="49">
        <f ca="1">VLOOKUP(CONCATENATE(A228),WorkList!A:F,6,FALSE)</f>
        <v>0</v>
      </c>
      <c r="K228" s="49">
        <f ca="1">VLOOKUP(CONCATENATE(A228),WorkList!A:G,7,FALSE)</f>
        <v>0</v>
      </c>
      <c r="L228" s="14" t="s">
        <v>13</v>
      </c>
      <c r="M228" s="13">
        <v>40567</v>
      </c>
      <c r="N228" s="15" t="e">
        <f ca="1">VLOOKUP(CONCATENATE(F228),WorkList!F:J,5,FALSE)</f>
        <v>#N/A</v>
      </c>
      <c r="O228" s="49" t="e">
        <f ca="1">VLOOKUP(CONCATENATE(F228),WorkList!F:K,6,FALSE)</f>
        <v>#N/A</v>
      </c>
      <c r="P228" s="49" t="e">
        <f ca="1">VLOOKUP(CONCATENATE(F228),WorkList!F:L,7,FALSE)</f>
        <v>#N/A</v>
      </c>
    </row>
    <row r="229" spans="1:16">
      <c r="A229" s="4" t="s">
        <v>573</v>
      </c>
      <c r="B229" s="5" t="s">
        <v>11</v>
      </c>
      <c r="C229" s="6" t="s">
        <v>48</v>
      </c>
      <c r="D229" s="11"/>
      <c r="F229" s="13" t="str">
        <f ca="1">VLOOKUP(LEFT(A229,IF(ISERROR(FIND(".",A229)),LEN(A229)+1,FIND(".",A229))-1),WorkList!A:C,3,FALSE)</f>
        <v>Loan level data</v>
      </c>
      <c r="G229" s="14" t="str">
        <f ca="1">VLOOKUP(CONCATENATE(A229),WorkList!A:C,3,FALSE)</f>
        <v>Add new fields to ESF tables 1st for ESAIL</v>
      </c>
      <c r="H229" s="13" t="str">
        <f ca="1">VLOOKUP(CONCATENATE(A229),WorkList!A:D,4,FALSE)</f>
        <v>Danny</v>
      </c>
      <c r="I229" s="15">
        <f ca="1">VLOOKUP(CONCATENATE(A229),WorkList!A:E,5,FALSE)</f>
        <v>40028</v>
      </c>
      <c r="J229" s="49">
        <f ca="1">VLOOKUP(CONCATENATE(A229),WorkList!A:F,6,FALSE)</f>
        <v>0</v>
      </c>
      <c r="K229" s="49">
        <f ca="1">VLOOKUP(CONCATENATE(A229),WorkList!A:G,7,FALSE)</f>
        <v>0</v>
      </c>
      <c r="L229" s="7" t="s">
        <v>13</v>
      </c>
      <c r="M229" s="16">
        <v>40032</v>
      </c>
      <c r="N229" s="60">
        <f ca="1">VALUE(LEFT(C229))</f>
        <v>0</v>
      </c>
      <c r="O229" s="61">
        <f ca="1">INT(IF(N229&gt;0,1+MAX(N229*N229-(IF(D229="",TODAY()+(5-N229)*15,D229)-TODAY())/4,N229),IF(TODAY()-M229&gt;10,0,1)))</f>
        <v>0</v>
      </c>
      <c r="P229" s="1" t="str">
        <f ca="1">IF(ISNA(VLOOKUP(A229,Projects!B:B,1,FALSE)),"","Yes")</f>
        <v/>
      </c>
    </row>
    <row r="230" spans="1:16">
      <c r="A230" s="4" t="s">
        <v>574</v>
      </c>
      <c r="B230" s="5" t="s">
        <v>37</v>
      </c>
      <c r="C230" s="4" t="s">
        <v>48</v>
      </c>
      <c r="D230" s="11"/>
      <c r="F230" s="13" t="str">
        <f ca="1">VLOOKUP(LEFT(A230,IF(ISERROR(FIND(".",A230)),LEN(A230)+1,FIND(".",A230))-1),WorkList!A:C,3,FALSE)</f>
        <v>Loan level data</v>
      </c>
      <c r="G230" s="14" t="str">
        <f ca="1">VLOOKUP(CONCATENATE(A230),WorkList!A:C,3,FALSE)</f>
        <v>Add more fields as defined by Danny</v>
      </c>
      <c r="H230" s="13" t="str">
        <f ca="1">VLOOKUP(CONCATENATE(A230),WorkList!A:D,4,FALSE)</f>
        <v>Danny</v>
      </c>
      <c r="I230" s="15">
        <f ca="1">VLOOKUP(CONCATENATE(A230),WorkList!A:E,5,FALSE)</f>
        <v>40049</v>
      </c>
      <c r="J230" s="49">
        <f ca="1">VLOOKUP(CONCATENATE(A230),WorkList!A:F,6,FALSE)</f>
        <v>0</v>
      </c>
      <c r="K230" s="49">
        <f ca="1">VLOOKUP(CONCATENATE(A230),WorkList!A:G,7,FALSE)</f>
        <v>0</v>
      </c>
      <c r="L230" s="7" t="s">
        <v>13</v>
      </c>
      <c r="M230" s="16">
        <v>40086</v>
      </c>
      <c r="N230" s="60">
        <f ca="1">VALUE(LEFT(C230))</f>
        <v>0</v>
      </c>
      <c r="O230" s="61">
        <f ca="1">INT(IF(N230&gt;0,1+MAX(N230*N230-(IF(D230="",TODAY()+(5-N230)*15,D230)-TODAY())/4,N230),IF(TODAY()-M230&gt;10,0,1)))</f>
        <v>0</v>
      </c>
      <c r="P230" s="1" t="str">
        <f ca="1">IF(ISNA(VLOOKUP(A230,Projects!B:B,1,FALSE)),"","Yes")</f>
        <v/>
      </c>
    </row>
    <row r="231" spans="1:16">
      <c r="A231" s="4" t="s">
        <v>1226</v>
      </c>
      <c r="B231" s="5" t="s">
        <v>11</v>
      </c>
      <c r="C231" s="6" t="s">
        <v>48</v>
      </c>
      <c r="D231" s="7">
        <v>40359</v>
      </c>
      <c r="F231" s="13" t="str">
        <f ca="1">VLOOKUP(LEFT(A231,IF(ISERROR(FIND(".",A231)),LEN(A231)+1,FIND(".",A231))-1),WorkList!A:C,3,FALSE)</f>
        <v>Loan level data</v>
      </c>
      <c r="G231" s="14" t="str">
        <f ca="1">VLOOKUP(CONCATENATE(A231),WorkList!A:C,3,FALSE)</f>
        <v>Add two more fields to ESF_Static</v>
      </c>
      <c r="H231" s="13" t="str">
        <f ca="1">VLOOKUP(CONCATENATE(A231),WorkList!A:D,4,FALSE)</f>
        <v>Neil</v>
      </c>
      <c r="I231" s="15">
        <f ca="1">VLOOKUP(CONCATENATE(A231),WorkList!A:E,5,FALSE)</f>
        <v>40352</v>
      </c>
      <c r="J231" s="49">
        <f ca="1">VLOOKUP(CONCATENATE(A231),WorkList!A:F,6,FALSE)</f>
        <v>0</v>
      </c>
      <c r="K231" s="49" t="str">
        <f ca="1">VLOOKUP(CONCATENATE(A231),WorkList!A:G,7,FALSE)</f>
        <v>NewDevelopment</v>
      </c>
      <c r="L231" s="7" t="s">
        <v>13</v>
      </c>
      <c r="M231" s="16">
        <v>40364</v>
      </c>
      <c r="N231" s="60">
        <f ca="1">VALUE(LEFT(C231))</f>
        <v>0</v>
      </c>
      <c r="O231" s="61">
        <f ca="1">INT(IF(N231&gt;0,1+MAX(N231*N231-(IF(D231="",TODAY()+(5-N231)*15,D231)-TODAY())/4,N231),IF(TODAY()-M231&gt;10,0,1)))</f>
        <v>0</v>
      </c>
      <c r="P231" s="1" t="str">
        <f ca="1">IF(ISNA(VLOOKUP(A231,Projects!B:B,1,FALSE)),"","Yes")</f>
        <v/>
      </c>
    </row>
    <row r="232" spans="1:16">
      <c r="A232" s="4" t="s">
        <v>1224</v>
      </c>
      <c r="B232" s="5" t="s">
        <v>21</v>
      </c>
      <c r="C232" s="7" t="s">
        <v>10</v>
      </c>
      <c r="F232" s="13" t="str">
        <f ca="1">VLOOKUP(LEFT(A232,IF(ISERROR(FIND(".",A232)),LEN(A232)+1,FIND(".",A232))-1),WorkList!A:C,3,FALSE)</f>
        <v>Loan level data</v>
      </c>
      <c r="G232" s="14" t="str">
        <f ca="1">VLOOKUP(CONCATENATE(A232),WorkList!A:C,3,FALSE)</f>
        <v>Modify schema names in 'Loan' database.</v>
      </c>
      <c r="H232" s="13" t="str">
        <f ca="1">VLOOKUP(CONCATENATE(A232),WorkList!A:D,4,FALSE)</f>
        <v>Neil</v>
      </c>
      <c r="I232" s="15">
        <f ca="1">VLOOKUP(CONCATENATE(A232),WorkList!A:E,5,FALSE)</f>
        <v>40352</v>
      </c>
      <c r="J232" s="49">
        <f ca="1">VLOOKUP(CONCATENATE(A232),WorkList!A:F,6,FALSE)</f>
        <v>0</v>
      </c>
      <c r="K232" s="49" t="str">
        <f ca="1">VLOOKUP(CONCATENATE(A232),WorkList!A:G,7,FALSE)</f>
        <v>Maintenance</v>
      </c>
      <c r="L232" s="7" t="s">
        <v>7</v>
      </c>
      <c r="M232" s="16">
        <v>40505</v>
      </c>
      <c r="N232" s="60">
        <f ca="1">VALUE(LEFT(C232))</f>
        <v>3</v>
      </c>
      <c r="O232" s="61">
        <f ca="1">INT(IF(N232&gt;0,1+MAX(N232*N232-(IF(D232="",TODAY()+(5-N232)*15,D232)-TODAY())/4,N232),IF(TODAY()-M232&gt;10,0,1)))</f>
        <v>4</v>
      </c>
      <c r="P232" s="1" t="str">
        <f ca="1">IF(ISNA(VLOOKUP(A232,Projects!B:B,1,FALSE)),"","Yes")</f>
        <v/>
      </c>
    </row>
    <row r="233" spans="1:16">
      <c r="A233" s="4" t="s">
        <v>576</v>
      </c>
      <c r="B233" s="5" t="s">
        <v>29</v>
      </c>
      <c r="C233" s="6" t="s">
        <v>48</v>
      </c>
      <c r="D233" s="11"/>
      <c r="F233" s="13" t="str">
        <f ca="1">VLOOKUP(LEFT(A233,IF(ISERROR(FIND(".",A233)),LEN(A233)+1,FIND(".",A233))-1),WorkList!A:C,3,FALSE)</f>
        <v>Loan level data</v>
      </c>
      <c r="G233" s="14" t="str">
        <f ca="1">VLOOKUP(CONCATENATE(A233),WorkList!A:C,3,FALSE)</f>
        <v>Add Kensington loans - raw data + document</v>
      </c>
      <c r="H233" s="13" t="str">
        <f ca="1">VLOOKUP(CONCATENATE(A233),WorkList!A:D,4,FALSE)</f>
        <v>David Covey</v>
      </c>
      <c r="I233" s="15">
        <f ca="1">VLOOKUP(CONCATENATE(A233),WorkList!A:E,5,FALSE)</f>
        <v>40025</v>
      </c>
      <c r="J233" s="49">
        <f ca="1">VLOOKUP(CONCATENATE(A233),WorkList!A:F,6,FALSE)</f>
        <v>0</v>
      </c>
      <c r="K233" s="49">
        <f ca="1">VLOOKUP(CONCATENATE(A233),WorkList!A:G,7,FALSE)</f>
        <v>0</v>
      </c>
      <c r="L233" s="7" t="s">
        <v>13</v>
      </c>
      <c r="M233" s="16">
        <v>40074</v>
      </c>
      <c r="N233" s="60">
        <f ca="1">VALUE(LEFT(C233))</f>
        <v>0</v>
      </c>
      <c r="O233" s="61">
        <f ca="1">INT(IF(N233&gt;0,1+MAX(N233*N233-(IF(D233="",TODAY()+(5-N233)*15,D233)-TODAY())/4,N233),IF(TODAY()-M233&gt;10,0,1)))</f>
        <v>0</v>
      </c>
      <c r="P233" s="1" t="str">
        <f ca="1">IF(ISNA(VLOOKUP(A233,Projects!B:B,1,FALSE)),"","Yes")</f>
        <v/>
      </c>
    </row>
    <row r="234" spans="1:16">
      <c r="A234" s="4" t="s">
        <v>577</v>
      </c>
      <c r="B234" s="5" t="s">
        <v>29</v>
      </c>
      <c r="C234" s="4" t="s">
        <v>48</v>
      </c>
      <c r="D234" s="11"/>
      <c r="F234" s="13" t="str">
        <f ca="1">VLOOKUP(LEFT(A234,IF(ISERROR(FIND(".",A234)),LEN(A234)+1,FIND(".",A234))-1),WorkList!A:C,3,FALSE)</f>
        <v>Loan level data</v>
      </c>
      <c r="G234" s="14" t="str">
        <f ca="1">VLOOKUP(CONCATENATE(A234),WorkList!A:C,3,FALSE)</f>
        <v>Implement mapping for Kensington</v>
      </c>
      <c r="H234" s="13" t="str">
        <f ca="1">VLOOKUP(CONCATENATE(A234),WorkList!A:D,4,FALSE)</f>
        <v>David Covey</v>
      </c>
      <c r="I234" s="15">
        <f ca="1">VLOOKUP(CONCATENATE(A234),WorkList!A:E,5,FALSE)</f>
        <v>40085</v>
      </c>
      <c r="J234" s="49">
        <f ca="1">VLOOKUP(CONCATENATE(A234),WorkList!A:F,6,FALSE)</f>
        <v>3</v>
      </c>
      <c r="K234" s="49">
        <f ca="1">VLOOKUP(CONCATENATE(A234),WorkList!A:G,7,FALSE)</f>
        <v>0</v>
      </c>
      <c r="L234" s="7" t="s">
        <v>13</v>
      </c>
      <c r="M234" s="16">
        <v>40283</v>
      </c>
      <c r="N234" s="60">
        <f ca="1">VALUE(LEFT(C234))</f>
        <v>0</v>
      </c>
      <c r="O234" s="61">
        <f ca="1">INT(IF(N234&gt;0,1+MAX(N234*N234-(IF(D234="",TODAY()+(5-N234)*15,D234)-TODAY())/4,N234),IF(TODAY()-M234&gt;10,0,1)))</f>
        <v>0</v>
      </c>
      <c r="P234" s="1" t="str">
        <f ca="1">IF(ISNA(VLOOKUP(A234,Projects!B:B,1,FALSE)),"","Yes")</f>
        <v/>
      </c>
    </row>
    <row r="235" spans="1:16">
      <c r="A235" s="4" t="s">
        <v>839</v>
      </c>
      <c r="B235" s="5" t="s">
        <v>29</v>
      </c>
      <c r="C235" s="6" t="s">
        <v>48</v>
      </c>
      <c r="D235" s="11"/>
      <c r="F235" s="13" t="str">
        <f ca="1">VLOOKUP(LEFT(A235,IF(ISERROR(FIND(".",A235)),LEN(A235)+1,FIND(".",A235))-1),WorkList!A:C,3,FALSE)</f>
        <v>Loan level data</v>
      </c>
      <c r="G235" s="14" t="str">
        <f ca="1">VLOOKUP(CONCATENATE(A235),WorkList!A:C,3,FALSE)</f>
        <v>Reload Kensington loan raw data</v>
      </c>
      <c r="H235" s="13" t="str">
        <f ca="1">VLOOKUP(CONCATENATE(A235),WorkList!A:D,4,FALSE)</f>
        <v>Danny</v>
      </c>
      <c r="I235" s="15">
        <f ca="1">VLOOKUP(CONCATENATE(A235),WorkList!A:E,5,FALSE)</f>
        <v>40196</v>
      </c>
      <c r="J235" s="49">
        <f ca="1">VLOOKUP(CONCATENATE(A235),WorkList!A:F,6,FALSE)</f>
        <v>1</v>
      </c>
      <c r="K235" s="49">
        <f ca="1">VLOOKUP(CONCATENATE(A235),WorkList!A:G,7,FALSE)</f>
        <v>0</v>
      </c>
      <c r="L235" s="7" t="s">
        <v>13</v>
      </c>
      <c r="M235" s="16">
        <v>40198</v>
      </c>
      <c r="N235" s="60">
        <f ca="1">VALUE(LEFT(C235))</f>
        <v>0</v>
      </c>
      <c r="O235" s="61">
        <f ca="1">INT(IF(N235&gt;0,1+MAX(N235*N235-(IF(D235="",TODAY()+(5-N235)*15,D235)-TODAY())/4,N235),IF(TODAY()-M235&gt;10,0,1)))</f>
        <v>0</v>
      </c>
      <c r="P235" s="1" t="str">
        <f ca="1">IF(ISNA(VLOOKUP(A235,Projects!B:B,1,FALSE)),"","Yes")</f>
        <v/>
      </c>
    </row>
    <row r="236" spans="1:16">
      <c r="A236" s="4" t="s">
        <v>1421</v>
      </c>
      <c r="B236" s="5" t="s">
        <v>29</v>
      </c>
      <c r="C236" s="6" t="s">
        <v>48</v>
      </c>
      <c r="D236" s="11">
        <v>40408</v>
      </c>
      <c r="F236" s="13" t="str">
        <f ca="1">VLOOKUP(LEFT(A236,IF(ISERROR(FIND(".",A236)),LEN(A236)+1,FIND(".",A236))-1),WorkList!A:C,3,FALSE)</f>
        <v>Loan level data</v>
      </c>
      <c r="G236" s="14" t="str">
        <f ca="1">VLOOKUP(CONCATENATE(A236),WorkList!A:C,3,FALSE)</f>
        <v>Modify Kensington load rules for Danny</v>
      </c>
      <c r="H236" s="13" t="str">
        <f ca="1">VLOOKUP(CONCATENATE(A236),WorkList!A:D,4,FALSE)</f>
        <v>Danny</v>
      </c>
      <c r="I236" s="15">
        <f ca="1">VLOOKUP(CONCATENATE(A236),WorkList!A:E,5,FALSE)</f>
        <v>40406</v>
      </c>
      <c r="J236" s="49">
        <f ca="1">VLOOKUP(CONCATENATE(A236),WorkList!A:F,6,FALSE)</f>
        <v>1</v>
      </c>
      <c r="K236" s="49" t="str">
        <f ca="1">VLOOKUP(CONCATENATE(A236),WorkList!A:G,7,FALSE)</f>
        <v>Maintenance</v>
      </c>
      <c r="L236" s="7" t="s">
        <v>13</v>
      </c>
      <c r="M236" s="16">
        <v>40410</v>
      </c>
      <c r="N236" s="60">
        <f ca="1">VALUE(LEFT(C236))</f>
        <v>0</v>
      </c>
      <c r="O236" s="61">
        <f ca="1">INT(IF(N236&gt;0,1+MAX(N236*N236-(IF(D236="",TODAY()+(5-N236)*15,D236)-TODAY())/4,N236),IF(TODAY()-M236&gt;10,0,1)))</f>
        <v>0</v>
      </c>
    </row>
    <row r="237" spans="1:16">
      <c r="A237" s="4" t="s">
        <v>579</v>
      </c>
      <c r="B237" s="5" t="s">
        <v>11</v>
      </c>
      <c r="C237" s="6" t="s">
        <v>48</v>
      </c>
      <c r="D237" s="11"/>
      <c r="F237" s="13" t="str">
        <f ca="1">VLOOKUP(LEFT(A237,IF(ISERROR(FIND(".",A237)),LEN(A237)+1,FIND(".",A237))-1),WorkList!A:C,3,FALSE)</f>
        <v>Loan level data</v>
      </c>
      <c r="G237" s="14" t="str">
        <f ca="1">VLOOKUP(CONCATENATE(A237),WorkList!A:C,3,FALSE)</f>
        <v>Add both views of a loan to detail drill in</v>
      </c>
      <c r="H237" s="13" t="str">
        <f ca="1">VLOOKUP(CONCATENATE(A237),WorkList!A:D,4,FALSE)</f>
        <v>David Covey</v>
      </c>
      <c r="I237" s="15">
        <f ca="1">VLOOKUP(CONCATENATE(A237),WorkList!A:E,5,FALSE)</f>
        <v>39944</v>
      </c>
      <c r="J237" s="49">
        <f ca="1">VLOOKUP(CONCATENATE(A237),WorkList!A:F,6,FALSE)</f>
        <v>0</v>
      </c>
      <c r="K237" s="49">
        <f ca="1">VLOOKUP(CONCATENATE(A237),WorkList!A:G,7,FALSE)</f>
        <v>0</v>
      </c>
      <c r="L237" s="7" t="s">
        <v>13</v>
      </c>
      <c r="M237" s="16">
        <v>39965</v>
      </c>
      <c r="N237" s="60">
        <f ca="1">VALUE(LEFT(C237))</f>
        <v>0</v>
      </c>
      <c r="O237" s="61">
        <f ca="1">INT(IF(N237&gt;0,1+MAX(N237*N237-(IF(D237="",TODAY()+(5-N237)*15,D237)-TODAY())/4,N237),IF(TODAY()-M237&gt;10,0,1)))</f>
        <v>0</v>
      </c>
      <c r="P237" s="1" t="str">
        <f ca="1">IF(ISNA(VLOOKUP(A237,Projects!B:B,1,FALSE)),"","Yes")</f>
        <v/>
      </c>
    </row>
    <row r="238" spans="1:16">
      <c r="A238" s="4" t="s">
        <v>580</v>
      </c>
      <c r="B238" s="5" t="s">
        <v>11</v>
      </c>
      <c r="C238" s="6" t="s">
        <v>48</v>
      </c>
      <c r="D238" s="11"/>
      <c r="F238" s="13" t="str">
        <f ca="1">VLOOKUP(LEFT(A238,IF(ISERROR(FIND(".",A238)),LEN(A238)+1,FIND(".",A238))-1),WorkList!A:C,3,FALSE)</f>
        <v>Loan level data</v>
      </c>
      <c r="G238" s="14" t="str">
        <f ca="1">VLOOKUP(CONCATENATE(A238),WorkList!A:C,3,FALSE)</f>
        <v>Release with new interpolation and graph functionality</v>
      </c>
      <c r="H238" s="13" t="str">
        <f ca="1">VLOOKUP(CONCATENATE(A238),WorkList!A:D,4,FALSE)</f>
        <v>David Covey</v>
      </c>
      <c r="I238" s="15">
        <f ca="1">VLOOKUP(CONCATENATE(A238),WorkList!A:E,5,FALSE)</f>
        <v>39997</v>
      </c>
      <c r="J238" s="49">
        <f ca="1">VLOOKUP(CONCATENATE(A238),WorkList!A:F,6,FALSE)</f>
        <v>0</v>
      </c>
      <c r="K238" s="49">
        <f ca="1">VLOOKUP(CONCATENATE(A238),WorkList!A:G,7,FALSE)</f>
        <v>0</v>
      </c>
      <c r="L238" s="7" t="s">
        <v>13</v>
      </c>
      <c r="M238" s="16">
        <v>40011</v>
      </c>
      <c r="N238" s="60">
        <f ca="1">VALUE(LEFT(C238))</f>
        <v>0</v>
      </c>
      <c r="O238" s="61">
        <f ca="1">INT(IF(N238&gt;0,1+MAX(N238*N238-(IF(D238="",TODAY()+(5-N238)*15,D238)-TODAY())/4,N238),IF(TODAY()-M238&gt;10,0,1)))</f>
        <v>0</v>
      </c>
      <c r="P238" s="1" t="str">
        <f ca="1">IF(ISNA(VLOOKUP(A238,Projects!B:B,1,FALSE)),"","Yes")</f>
        <v/>
      </c>
    </row>
    <row r="239" spans="1:16">
      <c r="A239" s="4" t="s">
        <v>581</v>
      </c>
      <c r="B239" s="5" t="s">
        <v>11</v>
      </c>
      <c r="C239" s="6" t="s">
        <v>48</v>
      </c>
      <c r="D239" s="11"/>
      <c r="F239" s="13" t="str">
        <f ca="1">VLOOKUP(LEFT(A239,IF(ISERROR(FIND(".",A239)),LEN(A239)+1,FIND(".",A239))-1),WorkList!A:C,3,FALSE)</f>
        <v>Loan level data</v>
      </c>
      <c r="G239" s="14" t="str">
        <f ca="1">VLOOKUP(CONCATENATE(A239),WorkList!A:C,3,FALSE)</f>
        <v>Modify LoadID and BorrowerID fields for ESAIL</v>
      </c>
      <c r="H239" s="13" t="str">
        <f ca="1">VLOOKUP(CONCATENATE(A239),WorkList!A:D,4,FALSE)</f>
        <v>Danny</v>
      </c>
      <c r="I239" s="15">
        <f ca="1">VLOOKUP(CONCATENATE(A239),WorkList!A:E,5,FALSE)</f>
        <v>40045</v>
      </c>
      <c r="J239" s="49">
        <f ca="1">VLOOKUP(CONCATENATE(A239),WorkList!A:F,6,FALSE)</f>
        <v>0</v>
      </c>
      <c r="K239" s="49">
        <f ca="1">VLOOKUP(CONCATENATE(A239),WorkList!A:G,7,FALSE)</f>
        <v>0</v>
      </c>
      <c r="L239" s="7" t="s">
        <v>13</v>
      </c>
      <c r="M239" s="16">
        <v>40057</v>
      </c>
      <c r="N239" s="60">
        <f ca="1">VALUE(LEFT(C239))</f>
        <v>0</v>
      </c>
      <c r="O239" s="61">
        <f ca="1">INT(IF(N239&gt;0,1+MAX(N239*N239-(IF(D239="",TODAY()+(5-N239)*15,D239)-TODAY())/4,N239),IF(TODAY()-M239&gt;10,0,1)))</f>
        <v>0</v>
      </c>
      <c r="P239" s="1" t="str">
        <f ca="1">IF(ISNA(VLOOKUP(A239,Projects!B:B,1,FALSE)),"","Yes")</f>
        <v/>
      </c>
    </row>
    <row r="240" spans="1:16">
      <c r="A240" s="4" t="s">
        <v>1143</v>
      </c>
      <c r="B240" s="5" t="s">
        <v>11</v>
      </c>
      <c r="C240" s="7" t="s">
        <v>48</v>
      </c>
      <c r="D240" s="11">
        <v>40305</v>
      </c>
      <c r="F240" s="13" t="str">
        <f ca="1">VLOOKUP(LEFT(A240,IF(ISERROR(FIND(".",A240)),LEN(A240)+1,FIND(".",A240))-1),WorkList!A:C,3,FALSE)</f>
        <v>Loan level data</v>
      </c>
      <c r="G240" s="14" t="str">
        <f ca="1">VLOOKUP(CONCATENATE(A240),WorkList!A:C,3,FALSE)</f>
        <v>Modify mappings for REM_TERM across many issuers</v>
      </c>
      <c r="H240" s="13" t="str">
        <f ca="1">VLOOKUP(CONCATENATE(A240),WorkList!A:D,4,FALSE)</f>
        <v>Danny</v>
      </c>
      <c r="I240" s="15">
        <f ca="1">VLOOKUP(CONCATENATE(A240),WorkList!A:E,5,FALSE)</f>
        <v>40304</v>
      </c>
      <c r="J240" s="49">
        <f ca="1">VLOOKUP(CONCATENATE(A240),WorkList!A:F,6,FALSE)</f>
        <v>1</v>
      </c>
      <c r="K240" s="49" t="str">
        <f ca="1">VLOOKUP(CONCATENATE(A240),WorkList!A:G,7,FALSE)</f>
        <v>Enhancement</v>
      </c>
      <c r="L240" s="7" t="s">
        <v>13</v>
      </c>
      <c r="M240" s="16">
        <v>40331</v>
      </c>
      <c r="N240" s="60">
        <f ca="1">VALUE(LEFT(C240))</f>
        <v>0</v>
      </c>
      <c r="O240" s="61">
        <f ca="1">INT(IF(N240&gt;0,1+MAX(N240*N240-(IF(D240="",TODAY()+(5-N240)*15,D240)-TODAY())/4,N240),IF(TODAY()-M240&gt;10,0,1)))</f>
        <v>0</v>
      </c>
      <c r="P240" s="1" t="str">
        <f ca="1">IF(ISNA(VLOOKUP(A240,Projects!B:B,1,FALSE)),"","Yes")</f>
        <v/>
      </c>
    </row>
    <row r="241" spans="1:16">
      <c r="A241" s="4" t="s">
        <v>585</v>
      </c>
      <c r="B241" s="5" t="s">
        <v>21</v>
      </c>
      <c r="C241" s="7" t="s">
        <v>1087</v>
      </c>
      <c r="D241" s="11"/>
      <c r="F241" s="13" t="str">
        <f ca="1">VLOOKUP(LEFT(A241,IF(ISERROR(FIND(".",A241)),LEN(A241)+1,FIND(".",A241))-1),WorkList!A:C,3,FALSE)</f>
        <v>Loan level data</v>
      </c>
      <c r="G241" s="14" t="str">
        <f ca="1">VLOOKUP(CONCATENATE(A241),WorkList!A:C,3,FALSE)</f>
        <v>Add Buy to Let to filter (duplicate)</v>
      </c>
      <c r="H241" s="13" t="str">
        <f ca="1">VLOOKUP(CONCATENATE(A241),WorkList!A:D,4,FALSE)</f>
        <v>David Covey</v>
      </c>
      <c r="I241" s="15">
        <f ca="1">VLOOKUP(CONCATENATE(A241),WorkList!A:E,5,FALSE)</f>
        <v>40406</v>
      </c>
      <c r="J241" s="49">
        <f ca="1">VLOOKUP(CONCATENATE(A241),WorkList!A:F,6,FALSE)</f>
        <v>2</v>
      </c>
      <c r="K241" s="49" t="str">
        <f ca="1">VLOOKUP(CONCATENATE(A241),WorkList!A:G,7,FALSE)</f>
        <v>NewDevelopment</v>
      </c>
      <c r="L241" s="7" t="s">
        <v>1096</v>
      </c>
      <c r="M241" s="16">
        <v>40406</v>
      </c>
      <c r="N241" s="60">
        <f ca="1">VALUE(LEFT(C241))</f>
        <v>0</v>
      </c>
      <c r="O241" s="61">
        <f ca="1">INT(IF(N241&gt;0,1+MAX(N241*N241-(IF(D241="",TODAY()+(5-N241)*15,D241)-TODAY())/4,N241),IF(TODAY()-M241&gt;10,0,1)))</f>
        <v>0</v>
      </c>
      <c r="P241" s="1" t="str">
        <f ca="1">IF(ISNA(VLOOKUP(A241,Projects!B:B,1,FALSE)),"","Yes")</f>
        <v/>
      </c>
    </row>
    <row r="242" spans="1:16">
      <c r="A242" s="4" t="s">
        <v>583</v>
      </c>
      <c r="B242" s="5" t="s">
        <v>11</v>
      </c>
      <c r="C242" s="6" t="s">
        <v>48</v>
      </c>
      <c r="D242" s="11"/>
      <c r="F242" s="13" t="str">
        <f ca="1">VLOOKUP(LEFT(A242,IF(ISERROR(FIND(".",A242)),LEN(A242)+1,FIND(".",A242))-1),WorkList!A:C,3,FALSE)</f>
        <v>Loan level data</v>
      </c>
      <c r="G242" s="14" t="str">
        <f ca="1">VLOOKUP(CONCATENATE(A242),WorkList!A:C,3,FALSE)</f>
        <v>Complete ESFData changes for ESAIL and RMAC for csv</v>
      </c>
      <c r="H242" s="13" t="str">
        <f ca="1">VLOOKUP(CONCATENATE(A242),WorkList!A:D,4,FALSE)</f>
        <v>Neil</v>
      </c>
      <c r="I242" s="15">
        <f ca="1">VLOOKUP(CONCATENATE(A242),WorkList!A:E,5,FALSE)</f>
        <v>39987</v>
      </c>
      <c r="J242" s="49">
        <f ca="1">VLOOKUP(CONCATENATE(A242),WorkList!A:F,6,FALSE)</f>
        <v>0</v>
      </c>
      <c r="K242" s="49">
        <f ca="1">VLOOKUP(CONCATENATE(A242),WorkList!A:G,7,FALSE)</f>
        <v>0</v>
      </c>
      <c r="L242" s="7" t="s">
        <v>13</v>
      </c>
      <c r="M242" s="16">
        <v>40123</v>
      </c>
      <c r="N242" s="60">
        <f ca="1">VALUE(LEFT(C242))</f>
        <v>0</v>
      </c>
      <c r="O242" s="61">
        <f ca="1">INT(IF(N242&gt;0,1+MAX(N242*N242-(IF(D242="",TODAY()+(5-N242)*15,D242)-TODAY())/4,N242),IF(TODAY()-M242&gt;10,0,1)))</f>
        <v>0</v>
      </c>
      <c r="P242" s="1" t="str">
        <f ca="1">IF(ISNA(VLOOKUP(A242,Projects!B:B,1,FALSE)),"","Yes")</f>
        <v/>
      </c>
    </row>
    <row r="243" spans="1:16" ht="25.5">
      <c r="A243" s="4" t="s">
        <v>584</v>
      </c>
      <c r="B243" s="5" t="s">
        <v>21</v>
      </c>
      <c r="C243" s="6" t="s">
        <v>1087</v>
      </c>
      <c r="D243" s="11"/>
      <c r="F243" s="13" t="str">
        <f ca="1">VLOOKUP(LEFT(A243,IF(ISERROR(FIND(".",A243)),LEN(A243)+1,FIND(".",A243))-1),WorkList!A:C,3,FALSE)</f>
        <v>Loan level data</v>
      </c>
      <c r="G243" s="14" t="str">
        <f ca="1">VLOOKUP(CONCATENATE(A243),WorkList!A:C,3,FALSE)</f>
        <v>Complete ESFData changes for ESAIL and RMAC for Excel</v>
      </c>
      <c r="H243" s="13" t="str">
        <f ca="1">VLOOKUP(CONCATENATE(A243),WorkList!A:D,4,FALSE)</f>
        <v>Neil</v>
      </c>
      <c r="I243" s="15">
        <f ca="1">VLOOKUP(CONCATENATE(A243),WorkList!A:E,5,FALSE)</f>
        <v>39987</v>
      </c>
      <c r="J243" s="49">
        <f ca="1">VLOOKUP(CONCATENATE(A243),WorkList!A:F,6,FALSE)</f>
        <v>0</v>
      </c>
      <c r="K243" s="49">
        <f ca="1">VLOOKUP(CONCATENATE(A243),WorkList!A:G,7,FALSE)</f>
        <v>0</v>
      </c>
      <c r="L243" s="7" t="s">
        <v>1096</v>
      </c>
      <c r="M243" s="16">
        <v>40352</v>
      </c>
      <c r="N243" s="60">
        <f ca="1">VALUE(LEFT(C243))</f>
        <v>0</v>
      </c>
      <c r="O243" s="61">
        <f ca="1">INT(IF(N243&gt;0,1+MAX(N243*N243-(IF(D243="",TODAY()+(5-N243)*15,D243)-TODAY())/4,N243),IF(TODAY()-M243&gt;10,0,1)))</f>
        <v>0</v>
      </c>
      <c r="P243" s="1" t="str">
        <f ca="1">IF(ISNA(VLOOKUP(A243,Projects!B:B,1,FALSE)),"","Yes")</f>
        <v/>
      </c>
    </row>
    <row r="244" spans="1:16">
      <c r="A244" s="4" t="s">
        <v>586</v>
      </c>
      <c r="B244" s="5" t="s">
        <v>37</v>
      </c>
      <c r="C244" s="6" t="s">
        <v>48</v>
      </c>
      <c r="D244" s="11"/>
      <c r="F244" s="13" t="str">
        <f ca="1">VLOOKUP(LEFT(A244,IF(ISERROR(FIND(".",A244)),LEN(A244)+1,FIND(".",A244))-1),WorkList!A:C,3,FALSE)</f>
        <v>Loan level data</v>
      </c>
      <c r="G244" s="14" t="str">
        <f ca="1">VLOOKUP(CONCATENATE(A244),WorkList!A:C,3,FALSE)</f>
        <v>Refactor ESFData and move all loaders to trunk</v>
      </c>
      <c r="H244" s="13" t="str">
        <f ca="1">VLOOKUP(CONCATENATE(A244),WorkList!A:D,4,FALSE)</f>
        <v>Neil</v>
      </c>
      <c r="I244" s="15">
        <f ca="1">VLOOKUP(CONCATENATE(A244),WorkList!A:E,5,FALSE)</f>
        <v>39959</v>
      </c>
      <c r="J244" s="49">
        <f ca="1">VLOOKUP(CONCATENATE(A244),WorkList!A:F,6,FALSE)</f>
        <v>0</v>
      </c>
      <c r="K244" s="49">
        <f ca="1">VLOOKUP(CONCATENATE(A244),WorkList!A:G,7,FALSE)</f>
        <v>0</v>
      </c>
      <c r="L244" s="7" t="s">
        <v>13</v>
      </c>
      <c r="M244" s="16">
        <v>39972</v>
      </c>
      <c r="N244" s="60">
        <f ca="1">VALUE(LEFT(C244))</f>
        <v>0</v>
      </c>
      <c r="O244" s="61">
        <f ca="1">INT(IF(N244&gt;0,1+MAX(N244*N244-(IF(D244="",TODAY()+(5-N244)*15,D244)-TODAY())/4,N244),IF(TODAY()-M244&gt;10,0,1)))</f>
        <v>0</v>
      </c>
      <c r="P244" s="1" t="str">
        <f ca="1">IF(ISNA(VLOOKUP(A244,Projects!B:B,1,FALSE)),"","Yes")</f>
        <v/>
      </c>
    </row>
    <row r="245" spans="1:16">
      <c r="A245" s="4" t="s">
        <v>242</v>
      </c>
      <c r="B245" s="5" t="s">
        <v>37</v>
      </c>
      <c r="C245" s="6" t="s">
        <v>48</v>
      </c>
      <c r="D245" s="11"/>
      <c r="F245" s="13" t="str">
        <f ca="1">VLOOKUP(LEFT(A245,IF(ISERROR(FIND(".",A245)),LEN(A245)+1,FIND(".",A245))-1),WorkList!A:C,3,FALSE)</f>
        <v>Loan level data</v>
      </c>
      <c r="G245" s="14" t="str">
        <f ca="1">VLOOKUP(CONCATENATE(A245),WorkList!A:C,3,FALSE)</f>
        <v>Load Apr 09 Eurosail data</v>
      </c>
      <c r="H245" s="13" t="str">
        <f ca="1">VLOOKUP(CONCATENATE(A245),WorkList!A:D,4,FALSE)</f>
        <v>Neil</v>
      </c>
      <c r="I245" s="15">
        <f ca="1">VLOOKUP(CONCATENATE(A245),WorkList!A:E,5,FALSE)</f>
        <v>39966</v>
      </c>
      <c r="J245" s="49">
        <f ca="1">VLOOKUP(CONCATENATE(A245),WorkList!A:F,6,FALSE)</f>
        <v>0</v>
      </c>
      <c r="K245" s="49">
        <f ca="1">VLOOKUP(CONCATENATE(A245),WorkList!A:G,7,FALSE)</f>
        <v>0</v>
      </c>
      <c r="L245" s="7" t="s">
        <v>13</v>
      </c>
      <c r="M245" s="16">
        <v>39972</v>
      </c>
      <c r="N245" s="60">
        <f ca="1">VALUE(LEFT(C245))</f>
        <v>0</v>
      </c>
      <c r="O245" s="61">
        <f ca="1">INT(IF(N245&gt;0,1+MAX(N245*N245-(IF(D245="",TODAY()+(5-N245)*15,D245)-TODAY())/4,N245),IF(TODAY()-M245&gt;10,0,1)))</f>
        <v>0</v>
      </c>
      <c r="P245" s="1" t="str">
        <f ca="1">IF(ISNA(VLOOKUP(A245,Projects!B:B,1,FALSE)),"","Yes")</f>
        <v/>
      </c>
    </row>
    <row r="246" spans="1:16">
      <c r="A246" s="4" t="s">
        <v>439</v>
      </c>
      <c r="B246" s="5" t="s">
        <v>29</v>
      </c>
      <c r="C246" s="6" t="s">
        <v>48</v>
      </c>
      <c r="D246" s="11"/>
      <c r="F246" s="13" t="str">
        <f ca="1">VLOOKUP(LEFT(A246,IF(ISERROR(FIND(".",A246)),LEN(A246)+1,FIND(".",A246))-1),WorkList!A:C,3,FALSE)</f>
        <v>Loan level data</v>
      </c>
      <c r="G246" s="14" t="str">
        <f ca="1">VLOOKUP(CONCATENATE(A246),WorkList!A:C,3,FALSE)</f>
        <v>Add LEEK (Britannia) loans - raw data + document</v>
      </c>
      <c r="H246" s="13" t="str">
        <f ca="1">VLOOKUP(CONCATENATE(A246),WorkList!A:D,4,FALSE)</f>
        <v>David Covey</v>
      </c>
      <c r="I246" s="15">
        <f ca="1">VLOOKUP(CONCATENATE(A246),WorkList!A:E,5,FALSE)</f>
        <v>40025</v>
      </c>
      <c r="J246" s="49">
        <f ca="1">VLOOKUP(CONCATENATE(A246),WorkList!A:F,6,FALSE)</f>
        <v>0</v>
      </c>
      <c r="K246" s="49">
        <f ca="1">VLOOKUP(CONCATENATE(A246),WorkList!A:G,7,FALSE)</f>
        <v>0</v>
      </c>
      <c r="L246" s="7" t="s">
        <v>13</v>
      </c>
      <c r="M246" s="16">
        <v>40074</v>
      </c>
      <c r="N246" s="60">
        <f ca="1">VALUE(LEFT(C246))</f>
        <v>0</v>
      </c>
      <c r="O246" s="61">
        <f ca="1">INT(IF(N246&gt;0,1+MAX(N246*N246-(IF(D246="",TODAY()+(5-N246)*15,D246)-TODAY())/4,N246),IF(TODAY()-M246&gt;10,0,1)))</f>
        <v>0</v>
      </c>
      <c r="P246" s="1" t="str">
        <f ca="1">IF(ISNA(VLOOKUP(A246,Projects!B:B,1,FALSE)),"","Yes")</f>
        <v/>
      </c>
    </row>
    <row r="247" spans="1:16">
      <c r="A247" s="4" t="s">
        <v>440</v>
      </c>
      <c r="B247" s="5" t="s">
        <v>37</v>
      </c>
      <c r="C247" s="4" t="s">
        <v>48</v>
      </c>
      <c r="D247" s="11"/>
      <c r="F247" s="13" t="str">
        <f ca="1">VLOOKUP(LEFT(A247,IF(ISERROR(FIND(".",A247)),LEN(A247)+1,FIND(".",A247))-1),WorkList!A:C,3,FALSE)</f>
        <v>Loan level data</v>
      </c>
      <c r="G247" s="14" t="str">
        <f ca="1">VLOOKUP(CONCATENATE(A247),WorkList!A:C,3,FALSE)</f>
        <v>Complete mapping loader for LEEK</v>
      </c>
      <c r="H247" s="13" t="str">
        <f ca="1">VLOOKUP(CONCATENATE(A247),WorkList!A:D,4,FALSE)</f>
        <v>David Covey</v>
      </c>
      <c r="I247" s="15">
        <f ca="1">VLOOKUP(CONCATENATE(A247),WorkList!A:E,5,FALSE)</f>
        <v>40053</v>
      </c>
      <c r="J247" s="49">
        <f ca="1">VLOOKUP(CONCATENATE(A247),WorkList!A:F,6,FALSE)</f>
        <v>0</v>
      </c>
      <c r="K247" s="49">
        <f ca="1">VLOOKUP(CONCATENATE(A247),WorkList!A:G,7,FALSE)</f>
        <v>0</v>
      </c>
      <c r="L247" s="7" t="s">
        <v>13</v>
      </c>
      <c r="M247" s="16">
        <v>40095</v>
      </c>
      <c r="N247" s="60">
        <f ca="1">VALUE(LEFT(C247))</f>
        <v>0</v>
      </c>
      <c r="O247" s="61">
        <f ca="1">INT(IF(N247&gt;0,1+MAX(N247*N247-(IF(D247="",TODAY()+(5-N247)*15,D247)-TODAY())/4,N247),IF(TODAY()-M247&gt;10,0,1)))</f>
        <v>0</v>
      </c>
      <c r="P247" s="1" t="str">
        <f ca="1">IF(ISNA(VLOOKUP(A247,Projects!B:B,1,FALSE)),"","Yes")</f>
        <v/>
      </c>
    </row>
    <row r="248" spans="1:16">
      <c r="A248" s="4" t="s">
        <v>519</v>
      </c>
      <c r="B248" s="5" t="s">
        <v>29</v>
      </c>
      <c r="C248" s="6" t="s">
        <v>48</v>
      </c>
      <c r="D248" s="11"/>
      <c r="F248" s="13" t="str">
        <f ca="1">VLOOKUP(LEFT(A248,IF(ISERROR(FIND(".",A248)),LEN(A248)+1,FIND(".",A248))-1),WorkList!A:C,3,FALSE)</f>
        <v>Loan level data</v>
      </c>
      <c r="G248" s="14" t="str">
        <f ca="1">VLOOKUP(CONCATENATE(A248),WorkList!A:C,3,FALSE)</f>
        <v>Load LEEK(Britannia) raw &amp; ESF data - Sept 09</v>
      </c>
      <c r="H248" s="13" t="str">
        <f ca="1">VLOOKUP(CONCATENATE(A248),WorkList!A:D,4,FALSE)</f>
        <v>Friedel</v>
      </c>
      <c r="I248" s="15">
        <f ca="1">VLOOKUP(CONCATENATE(A248),WorkList!A:E,5,FALSE)</f>
        <v>40095</v>
      </c>
      <c r="J248" s="49">
        <f ca="1">VLOOKUP(CONCATENATE(A248),WorkList!A:F,6,FALSE)</f>
        <v>0</v>
      </c>
      <c r="K248" s="49">
        <f ca="1">VLOOKUP(CONCATENATE(A248),WorkList!A:G,7,FALSE)</f>
        <v>0</v>
      </c>
      <c r="L248" s="7" t="s">
        <v>13</v>
      </c>
      <c r="M248" s="16">
        <v>40147</v>
      </c>
      <c r="N248" s="60">
        <f ca="1">VALUE(LEFT(C248))</f>
        <v>0</v>
      </c>
      <c r="O248" s="61">
        <f ca="1">INT(IF(N248&gt;0,1+MAX(N248*N248-(IF(D248="",TODAY()+(5-N248)*15,D248)-TODAY())/4,N248),IF(TODAY()-M248&gt;10,0,1)))</f>
        <v>0</v>
      </c>
      <c r="P248" s="1" t="str">
        <f ca="1">IF(ISNA(VLOOKUP(A248,Projects!B:B,1,FALSE)),"","Yes")</f>
        <v/>
      </c>
    </row>
    <row r="249" spans="1:16">
      <c r="A249" s="4" t="s">
        <v>853</v>
      </c>
      <c r="B249" s="5" t="s">
        <v>11</v>
      </c>
      <c r="C249" s="7" t="s">
        <v>48</v>
      </c>
      <c r="D249" s="11">
        <v>40334</v>
      </c>
      <c r="F249" s="13" t="str">
        <f ca="1">VLOOKUP(LEFT(A249,IF(ISERROR(FIND(".",A249)),LEN(A249)+1,FIND(".",A249))-1),WorkList!A:C,3,FALSE)</f>
        <v>Loan level data</v>
      </c>
      <c r="G249" s="14" t="str">
        <f ca="1">VLOOKUP(CONCATENATE(A249),WorkList!A:C,3,FALSE)</f>
        <v>Update LEEK mapping for changes by Danny</v>
      </c>
      <c r="H249" s="13" t="str">
        <f ca="1">VLOOKUP(CONCATENATE(A249),WorkList!A:D,4,FALSE)</f>
        <v>Danny</v>
      </c>
      <c r="I249" s="15">
        <f ca="1">VLOOKUP(CONCATENATE(A249),WorkList!A:E,5,FALSE)</f>
        <v>40200</v>
      </c>
      <c r="J249" s="49">
        <f ca="1">VLOOKUP(CONCATENATE(A249),WorkList!A:F,6,FALSE)</f>
        <v>1</v>
      </c>
      <c r="K249" s="49" t="str">
        <f ca="1">VLOOKUP(CONCATENATE(A249),WorkList!A:G,7,FALSE)</f>
        <v>Enhancement</v>
      </c>
      <c r="L249" s="7" t="s">
        <v>13</v>
      </c>
      <c r="M249" s="16">
        <v>40332</v>
      </c>
      <c r="N249" s="60">
        <f ca="1">VALUE(LEFT(C249))</f>
        <v>0</v>
      </c>
      <c r="O249" s="61">
        <f ca="1">INT(IF(N249&gt;0,1+MAX(N249*N249-(IF(D249="",TODAY()+(5-N249)*15,D249)-TODAY())/4,N249),IF(TODAY()-M249&gt;10,0,1)))</f>
        <v>0</v>
      </c>
      <c r="P249" s="1" t="str">
        <f ca="1">IF(ISNA(VLOOKUP(A249,Projects!B:B,1,FALSE)),"","Yes")</f>
        <v/>
      </c>
    </row>
    <row r="250" spans="1:16">
      <c r="A250" s="4" t="s">
        <v>450</v>
      </c>
      <c r="B250" s="5" t="s">
        <v>29</v>
      </c>
      <c r="C250" s="6" t="s">
        <v>48</v>
      </c>
      <c r="D250" s="11"/>
      <c r="F250" s="13" t="str">
        <f ca="1">VLOOKUP(LEFT(A250,IF(ISERROR(FIND(".",A250)),LEN(A250)+1,FIND(".",A250))-1),WorkList!A:C,3,FALSE)</f>
        <v>Loan level data</v>
      </c>
      <c r="G250" s="14" t="str">
        <f ca="1">VLOOKUP(CONCATENATE(A250),WorkList!A:C,3,FALSE)</f>
        <v>Add Resloc data - raw data + document</v>
      </c>
      <c r="H250" s="13" t="str">
        <f ca="1">VLOOKUP(CONCATENATE(A250),WorkList!A:D,4,FALSE)</f>
        <v>David Covey</v>
      </c>
      <c r="I250" s="15">
        <f ca="1">VLOOKUP(CONCATENATE(A250),WorkList!A:E,5,FALSE)</f>
        <v>40025</v>
      </c>
      <c r="J250" s="49">
        <f ca="1">VLOOKUP(CONCATENATE(A250),WorkList!A:F,6,FALSE)</f>
        <v>0</v>
      </c>
      <c r="K250" s="49">
        <f ca="1">VLOOKUP(CONCATENATE(A250),WorkList!A:G,7,FALSE)</f>
        <v>0</v>
      </c>
      <c r="L250" s="7" t="s">
        <v>13</v>
      </c>
      <c r="M250" s="16">
        <v>40074</v>
      </c>
      <c r="N250" s="60">
        <f ca="1">VALUE(LEFT(C250))</f>
        <v>0</v>
      </c>
      <c r="O250" s="61">
        <f ca="1">INT(IF(N250&gt;0,1+MAX(N250*N250-(IF(D250="",TODAY()+(5-N250)*15,D250)-TODAY())/4,N250),IF(TODAY()-M250&gt;10,0,1)))</f>
        <v>0</v>
      </c>
      <c r="P250" s="1" t="str">
        <f ca="1">IF(ISNA(VLOOKUP(A250,Projects!B:B,1,FALSE)),"","Yes")</f>
        <v/>
      </c>
    </row>
    <row r="251" spans="1:16">
      <c r="A251" s="4" t="s">
        <v>456</v>
      </c>
      <c r="B251" s="5" t="s">
        <v>29</v>
      </c>
      <c r="C251" s="7" t="s">
        <v>10</v>
      </c>
      <c r="D251" s="11"/>
      <c r="F251" s="13" t="str">
        <f ca="1">VLOOKUP(LEFT(A251,IF(ISERROR(FIND(".",A251)),LEN(A251)+1,FIND(".",A251))-1),WorkList!A:C,3,FALSE)</f>
        <v>Loan level data</v>
      </c>
      <c r="G251" s="14" t="str">
        <f ca="1">VLOOKUP(CONCATENATE(A251),WorkList!A:C,3,FALSE)</f>
        <v>Implement mapping for Resloc</v>
      </c>
      <c r="H251" s="13" t="str">
        <f ca="1">VLOOKUP(CONCATENATE(A251),WorkList!A:D,4,FALSE)</f>
        <v>David Covey</v>
      </c>
      <c r="I251" s="15">
        <f ca="1">VLOOKUP(CONCATENATE(A251),WorkList!A:E,5,FALSE)</f>
        <v>40067</v>
      </c>
      <c r="J251" s="49">
        <f ca="1">VLOOKUP(CONCATENATE(A251),WorkList!A:F,6,FALSE)</f>
        <v>3</v>
      </c>
      <c r="K251" s="49" t="str">
        <f ca="1">VLOOKUP(CONCATENATE(A251),WorkList!A:G,7,FALSE)</f>
        <v>NewDevelopment</v>
      </c>
      <c r="L251" s="7" t="s">
        <v>5</v>
      </c>
      <c r="M251" s="16">
        <v>40597</v>
      </c>
      <c r="N251" s="60">
        <f ca="1">VALUE(LEFT(C251))</f>
        <v>3</v>
      </c>
      <c r="O251" s="61">
        <f ca="1">INT(IF(N251&gt;0,1+MAX(N251*N251-(IF(D251="",TODAY()+(5-N251)*15,D251)-TODAY())/4,N251),IF(TODAY()-M251&gt;10,0,1)))</f>
        <v>4</v>
      </c>
      <c r="P251" s="1" t="str">
        <f ca="1">IF(ISNA(VLOOKUP(A251,Projects!B:B,1,FALSE)),"","Yes")</f>
        <v/>
      </c>
    </row>
    <row r="252" spans="1:16">
      <c r="A252" s="4" t="s">
        <v>369</v>
      </c>
      <c r="B252" s="5" t="s">
        <v>11</v>
      </c>
      <c r="C252" s="6" t="s">
        <v>48</v>
      </c>
      <c r="D252" s="11"/>
      <c r="F252" s="13" t="str">
        <f ca="1">VLOOKUP(LEFT(A252,IF(ISERROR(FIND(".",A252)),LEN(A252)+1,FIND(".",A252))-1),WorkList!A:C,3,FALSE)</f>
        <v>Loan level data</v>
      </c>
      <c r="G252" s="14" t="str">
        <f ca="1">VLOOKUP(CONCATENATE(A252),WorkList!A:C,3,FALSE)</f>
        <v>Support Danny reviewing all existing mappings</v>
      </c>
      <c r="H252" s="13" t="str">
        <f ca="1">VLOOKUP(CONCATENATE(A252),WorkList!A:D,4,FALSE)</f>
        <v>David Covey</v>
      </c>
      <c r="I252" s="15">
        <f ca="1">VLOOKUP(CONCATENATE(A252),WorkList!A:E,5,FALSE)</f>
        <v>40028</v>
      </c>
      <c r="J252" s="49">
        <f ca="1">VLOOKUP(CONCATENATE(A252),WorkList!A:F,6,FALSE)</f>
        <v>0</v>
      </c>
      <c r="K252" s="49">
        <f ca="1">VLOOKUP(CONCATENATE(A252),WorkList!A:G,7,FALSE)</f>
        <v>0</v>
      </c>
      <c r="L252" s="7" t="s">
        <v>13</v>
      </c>
      <c r="M252" s="16">
        <v>40134</v>
      </c>
      <c r="N252" s="60">
        <f ca="1">VALUE(LEFT(C252))</f>
        <v>0</v>
      </c>
      <c r="O252" s="61">
        <f ca="1">INT(IF(N252&gt;0,1+MAX(N252*N252-(IF(D252="",TODAY()+(5-N252)*15,D252)-TODAY())/4,N252),IF(TODAY()-M252&gt;10,0,1)))</f>
        <v>0</v>
      </c>
      <c r="P252" s="1" t="str">
        <f ca="1">IF(ISNA(VLOOKUP(A252,Projects!B:B,1,FALSE)),"","Yes")</f>
        <v/>
      </c>
    </row>
    <row r="253" spans="1:16">
      <c r="A253" s="4" t="s">
        <v>457</v>
      </c>
      <c r="B253" s="5" t="s">
        <v>21</v>
      </c>
      <c r="C253" s="6" t="s">
        <v>38</v>
      </c>
      <c r="D253" s="11"/>
      <c r="F253" s="13" t="str">
        <f ca="1">VLOOKUP(LEFT(A253,IF(ISERROR(FIND(".",A253)),LEN(A253)+1,FIND(".",A253))-1),WorkList!A:C,3,FALSE)</f>
        <v>Loan level data</v>
      </c>
      <c r="G253" s="14" t="str">
        <f ca="1">VLOOKUP(CONCATENATE(A253),WorkList!A:C,3,FALSE)</f>
        <v>Add Great Hall loans -  raw + document</v>
      </c>
      <c r="H253" s="13" t="str">
        <f ca="1">VLOOKUP(CONCATENATE(A253),WorkList!A:D,4,FALSE)</f>
        <v>David Covey</v>
      </c>
      <c r="I253" s="15">
        <f ca="1">VLOOKUP(CONCATENATE(A253),WorkList!A:E,5,FALSE)</f>
        <v>40086</v>
      </c>
      <c r="J253" s="49">
        <f ca="1">VLOOKUP(CONCATENATE(A253),WorkList!A:F,6,FALSE)</f>
        <v>4</v>
      </c>
      <c r="K253" s="49" t="str">
        <f ca="1">VLOOKUP(CONCATENATE(A253),WorkList!A:G,7,FALSE)</f>
        <v>NewDevelopment</v>
      </c>
      <c r="L253" s="7" t="s">
        <v>5</v>
      </c>
      <c r="M253" s="16">
        <v>40283</v>
      </c>
      <c r="N253" s="60">
        <f ca="1">VALUE(LEFT(C253))</f>
        <v>2</v>
      </c>
      <c r="O253" s="61">
        <f ca="1">INT(IF(N253&gt;0,1+MAX(N253*N253-(IF(D253="",TODAY()+(5-N253)*15,D253)-TODAY())/4,N253),IF(TODAY()-M253&gt;10,0,1)))</f>
        <v>3</v>
      </c>
      <c r="P253" s="1" t="str">
        <f ca="1">IF(ISNA(VLOOKUP(A253,Projects!B:B,1,FALSE)),"","Yes")</f>
        <v/>
      </c>
    </row>
    <row r="254" spans="1:16">
      <c r="A254" s="4" t="s">
        <v>463</v>
      </c>
      <c r="B254" s="5" t="s">
        <v>21</v>
      </c>
      <c r="C254" s="6" t="s">
        <v>38</v>
      </c>
      <c r="D254" s="11"/>
      <c r="F254" s="13" t="str">
        <f ca="1">VLOOKUP(LEFT(A254,IF(ISERROR(FIND(".",A254)),LEN(A254)+1,FIND(".",A254))-1),WorkList!A:C,3,FALSE)</f>
        <v>Loan level data</v>
      </c>
      <c r="G254" s="14" t="str">
        <f ca="1">VLOOKUP(CONCATENATE(A254),WorkList!A:C,3,FALSE)</f>
        <v>Implement mapping for Great Hall</v>
      </c>
      <c r="H254" s="13" t="str">
        <f ca="1">VLOOKUP(CONCATENATE(A254),WorkList!A:D,4,FALSE)</f>
        <v>David Covey</v>
      </c>
      <c r="I254" s="15">
        <f ca="1">VLOOKUP(CONCATENATE(A254),WorkList!A:E,5,FALSE)</f>
        <v>40086</v>
      </c>
      <c r="J254" s="49">
        <f ca="1">VLOOKUP(CONCATENATE(A254),WorkList!A:F,6,FALSE)</f>
        <v>3</v>
      </c>
      <c r="K254" s="49" t="str">
        <f ca="1">VLOOKUP(CONCATENATE(A254),WorkList!A:G,7,FALSE)</f>
        <v>NewDevelopment</v>
      </c>
      <c r="L254" s="7" t="s">
        <v>7</v>
      </c>
      <c r="M254" s="16">
        <v>40498</v>
      </c>
      <c r="N254" s="60">
        <f ca="1">VALUE(LEFT(C254))</f>
        <v>2</v>
      </c>
      <c r="O254" s="61">
        <f ca="1">INT(IF(N254&gt;0,1+MAX(N254*N254-(IF(D254="",TODAY()+(5-N254)*15,D254)-TODAY())/4,N254),IF(TODAY()-M254&gt;10,0,1)))</f>
        <v>3</v>
      </c>
      <c r="P254" s="1" t="str">
        <f ca="1">IF(ISNA(VLOOKUP(A254,Projects!B:B,1,FALSE)),"","Yes")</f>
        <v/>
      </c>
    </row>
    <row r="255" spans="1:16">
      <c r="A255" s="4" t="s">
        <v>402</v>
      </c>
      <c r="B255" s="5" t="s">
        <v>11</v>
      </c>
      <c r="C255" s="6" t="s">
        <v>48</v>
      </c>
      <c r="D255" s="11"/>
      <c r="F255" s="13" t="str">
        <f ca="1">VLOOKUP(LEFT(A255,IF(ISERROR(FIND(".",A255)),LEN(A255)+1,FIND(".",A255))-1),WorkList!A:C,3,FALSE)</f>
        <v>Loan level data</v>
      </c>
      <c r="G255" s="14" t="str">
        <f ca="1">VLOOKUP(CONCATENATE(A255),WorkList!A:C,3,FALSE)</f>
        <v>Implement ESFraw for ESAIL loader</v>
      </c>
      <c r="H255" s="13" t="str">
        <f ca="1">VLOOKUP(CONCATENATE(A255),WorkList!A:D,4,FALSE)</f>
        <v>Danny</v>
      </c>
      <c r="I255" s="15">
        <f ca="1">VLOOKUP(CONCATENATE(A255),WorkList!A:E,5,FALSE)</f>
        <v>40043</v>
      </c>
      <c r="J255" s="49">
        <f ca="1">VLOOKUP(CONCATENATE(A255),WorkList!A:F,6,FALSE)</f>
        <v>0</v>
      </c>
      <c r="K255" s="49">
        <f ca="1">VLOOKUP(CONCATENATE(A255),WorkList!A:G,7,FALSE)</f>
        <v>0</v>
      </c>
      <c r="L255" s="7" t="s">
        <v>13</v>
      </c>
      <c r="M255" s="16">
        <v>40123</v>
      </c>
      <c r="N255" s="60">
        <f ca="1">VALUE(LEFT(C255))</f>
        <v>0</v>
      </c>
      <c r="O255" s="61">
        <f ca="1">INT(IF(N255&gt;0,1+MAX(N255*N255-(IF(D255="",TODAY()+(5-N255)*15,D255)-TODAY())/4,N255),IF(TODAY()-M255&gt;10,0,1)))</f>
        <v>0</v>
      </c>
      <c r="P255" s="1" t="str">
        <f ca="1">IF(ISNA(VLOOKUP(A255,Projects!B:B,1,FALSE)),"","Yes")</f>
        <v/>
      </c>
    </row>
    <row r="256" spans="1:16">
      <c r="A256" s="4" t="s">
        <v>460</v>
      </c>
      <c r="B256" s="5" t="s">
        <v>11</v>
      </c>
      <c r="C256" s="6" t="s">
        <v>48</v>
      </c>
      <c r="D256" s="11"/>
      <c r="F256" s="13" t="str">
        <f ca="1">VLOOKUP(LEFT(A256,IF(ISERROR(FIND(".",A256)),LEN(A256)+1,FIND(".",A256))-1),WorkList!A:C,3,FALSE)</f>
        <v>Loan level data</v>
      </c>
      <c r="G256" s="14" t="str">
        <f ca="1">VLOOKUP(CONCATENATE(A256),WorkList!A:C,3,FALSE)</f>
        <v>Implement revised mapping for RMAC</v>
      </c>
      <c r="H256" s="13" t="str">
        <f ca="1">VLOOKUP(CONCATENATE(A256),WorkList!A:D,4,FALSE)</f>
        <v>Danny</v>
      </c>
      <c r="I256" s="15">
        <f ca="1">VLOOKUP(CONCATENATE(A256),WorkList!A:E,5,FALSE)</f>
        <v>40074</v>
      </c>
      <c r="J256" s="49">
        <f ca="1">VLOOKUP(CONCATENATE(A256),WorkList!A:F,6,FALSE)</f>
        <v>0</v>
      </c>
      <c r="K256" s="49">
        <f ca="1">VLOOKUP(CONCATENATE(A256),WorkList!A:G,7,FALSE)</f>
        <v>0</v>
      </c>
      <c r="L256" s="7" t="s">
        <v>13</v>
      </c>
      <c r="M256" s="16">
        <v>40102</v>
      </c>
      <c r="N256" s="60">
        <f ca="1">VALUE(LEFT(C256))</f>
        <v>0</v>
      </c>
      <c r="O256" s="61">
        <f ca="1">INT(IF(N256&gt;0,1+MAX(N256*N256-(IF(D256="",TODAY()+(5-N256)*15,D256)-TODAY())/4,N256),IF(TODAY()-M256&gt;10,0,1)))</f>
        <v>0</v>
      </c>
      <c r="P256" s="1" t="str">
        <f ca="1">IF(ISNA(VLOOKUP(A256,Projects!B:B,1,FALSE)),"","Yes")</f>
        <v/>
      </c>
    </row>
    <row r="257" spans="1:16">
      <c r="A257" s="4" t="s">
        <v>726</v>
      </c>
      <c r="B257" s="5" t="s">
        <v>21</v>
      </c>
      <c r="C257" s="7" t="s">
        <v>10</v>
      </c>
      <c r="D257" s="11"/>
      <c r="F257" s="13" t="str">
        <f ca="1">VLOOKUP(LEFT(A257,IF(ISERROR(FIND(".",A257)),LEN(A257)+1,FIND(".",A257))-1),WorkList!A:C,3,FALSE)</f>
        <v>Loan level data</v>
      </c>
      <c r="G257" s="14" t="str">
        <f ca="1">VLOOKUP(CONCATENATE(A257),WorkList!A:C,3,FALSE)</f>
        <v>Bug with null dates coming in as 1-Jan-1970</v>
      </c>
      <c r="H257" s="13" t="str">
        <f ca="1">VLOOKUP(CONCATENATE(A257),WorkList!A:D,4,FALSE)</f>
        <v>Danny</v>
      </c>
      <c r="I257" s="15">
        <f ca="1">VLOOKUP(CONCATENATE(A257),WorkList!A:E,5,FALSE)</f>
        <v>40142</v>
      </c>
      <c r="J257" s="49">
        <f ca="1">VLOOKUP(CONCATENATE(A257),WorkList!A:F,6,FALSE)</f>
        <v>0.5</v>
      </c>
      <c r="K257" s="49" t="str">
        <f ca="1">VLOOKUP(CONCATENATE(A257),WorkList!A:G,7,FALSE)</f>
        <v>Maintenance</v>
      </c>
      <c r="L257" s="7" t="s">
        <v>7</v>
      </c>
      <c r="M257" s="16">
        <v>40283</v>
      </c>
      <c r="N257" s="60">
        <f ca="1">VALUE(LEFT(C257))</f>
        <v>3</v>
      </c>
      <c r="O257" s="61">
        <f ca="1">INT(IF(N257&gt;0,1+MAX(N257*N257-(IF(D257="",TODAY()+(5-N257)*15,D257)-TODAY())/4,N257),IF(TODAY()-M257&gt;10,0,1)))</f>
        <v>4</v>
      </c>
      <c r="P257" s="1" t="str">
        <f ca="1">IF(ISNA(VLOOKUP(A257,Projects!B:B,1,FALSE)),"","Yes")</f>
        <v/>
      </c>
    </row>
    <row r="258" spans="1:16">
      <c r="A258" s="4" t="s">
        <v>473</v>
      </c>
      <c r="B258" s="5" t="s">
        <v>37</v>
      </c>
      <c r="C258" s="6" t="s">
        <v>48</v>
      </c>
      <c r="D258" s="11"/>
      <c r="F258" s="13" t="str">
        <f ca="1">VLOOKUP(LEFT(A258,IF(ISERROR(FIND(".",A258)),LEN(A258)+1,FIND(".",A258))-1),WorkList!A:C,3,FALSE)</f>
        <v>Loan level data</v>
      </c>
      <c r="G258" s="14" t="str">
        <f ca="1">VLOOKUP(CONCATENATE(A258),WorkList!A:C,3,FALSE)</f>
        <v>Implement revised mapping for ALBA</v>
      </c>
      <c r="H258" s="13" t="str">
        <f ca="1">VLOOKUP(CONCATENATE(A258),WorkList!A:D,4,FALSE)</f>
        <v>Danny</v>
      </c>
      <c r="I258" s="15">
        <f ca="1">VLOOKUP(CONCATENATE(A258),WorkList!A:E,5,FALSE)</f>
        <v>40074</v>
      </c>
      <c r="J258" s="49">
        <f ca="1">VLOOKUP(CONCATENATE(A258),WorkList!A:F,6,FALSE)</f>
        <v>0</v>
      </c>
      <c r="K258" s="49">
        <f ca="1">VLOOKUP(CONCATENATE(A258),WorkList!A:G,7,FALSE)</f>
        <v>0</v>
      </c>
      <c r="L258" s="7" t="s">
        <v>13</v>
      </c>
      <c r="M258" s="16">
        <v>40120</v>
      </c>
      <c r="N258" s="60">
        <f ca="1">VALUE(LEFT(C258))</f>
        <v>0</v>
      </c>
      <c r="O258" s="61">
        <f ca="1">INT(IF(N258&gt;0,1+MAX(N258*N258-(IF(D258="",TODAY()+(5-N258)*15,D258)-TODAY())/4,N258),IF(TODAY()-M258&gt;10,0,1)))</f>
        <v>0</v>
      </c>
      <c r="P258" s="1" t="str">
        <f ca="1">IF(ISNA(VLOOKUP(A258,Projects!B:B,1,FALSE)),"","Yes")</f>
        <v/>
      </c>
    </row>
    <row r="259" spans="1:16">
      <c r="A259" s="4" t="s">
        <v>931</v>
      </c>
      <c r="B259" s="5" t="s">
        <v>11</v>
      </c>
      <c r="C259" s="6" t="s">
        <v>1087</v>
      </c>
      <c r="D259" s="11">
        <v>40334</v>
      </c>
      <c r="F259" s="13" t="str">
        <f ca="1">VLOOKUP(LEFT(A259,IF(ISERROR(FIND(".",A259)),LEN(A259)+1,FIND(".",A259))-1),WorkList!A:C,3,FALSE)</f>
        <v>Loan level data</v>
      </c>
      <c r="G259" s="14" t="str">
        <f ca="1">VLOOKUP(CONCATENATE(A259),WorkList!A:C,3,FALSE)</f>
        <v>Re-implement raw data aggregation - duplicate (5.17.3)</v>
      </c>
      <c r="H259" s="13" t="str">
        <f ca="1">VLOOKUP(CONCATENATE(A259),WorkList!A:D,4,FALSE)</f>
        <v>Danny</v>
      </c>
      <c r="I259" s="15">
        <f ca="1">VLOOKUP(CONCATENATE(A259),WorkList!A:E,5,FALSE)</f>
        <v>40406</v>
      </c>
      <c r="J259" s="49">
        <f ca="1">VLOOKUP(CONCATENATE(A259),WorkList!A:F,6,FALSE)</f>
        <v>2</v>
      </c>
      <c r="K259" s="49" t="str">
        <f ca="1">VLOOKUP(CONCATENATE(A259),WorkList!A:G,7,FALSE)</f>
        <v>Enhancement</v>
      </c>
      <c r="L259" s="7" t="s">
        <v>1096</v>
      </c>
      <c r="M259" s="16">
        <v>40406</v>
      </c>
      <c r="N259" s="60">
        <f ca="1">VALUE(LEFT(C259))</f>
        <v>0</v>
      </c>
      <c r="O259" s="61">
        <f ca="1">INT(IF(N259&gt;0,1+MAX(N259*N259-(IF(D259="",TODAY()+(5-N259)*15,D259)-TODAY())/4,N259),IF(TODAY()-M259&gt;10,0,1)))</f>
        <v>0</v>
      </c>
      <c r="P259" s="1" t="str">
        <f ca="1">IF(ISNA(VLOOKUP(A259,Projects!B:B,1,FALSE)),"","Yes")</f>
        <v/>
      </c>
    </row>
    <row r="260" spans="1:16">
      <c r="A260" s="4" t="s">
        <v>932</v>
      </c>
      <c r="B260" s="5" t="s">
        <v>32</v>
      </c>
      <c r="C260" s="6" t="s">
        <v>12</v>
      </c>
      <c r="D260" s="11"/>
      <c r="F260" s="13" t="str">
        <f ca="1">VLOOKUP(LEFT(A260,IF(ISERROR(FIND(".",A260)),LEN(A260)+1,FIND(".",A260))-1),WorkList!A:C,3,FALSE)</f>
        <v>Loan level data</v>
      </c>
      <c r="G260" s="14" t="str">
        <f ca="1">VLOOKUP(CONCATENATE(A260),WorkList!A:C,3,FALSE)</f>
        <v>Changes to ALBA Mappings</v>
      </c>
      <c r="H260" s="13" t="str">
        <f ca="1">VLOOKUP(CONCATENATE(A260),WorkList!A:D,4,FALSE)</f>
        <v>Danny</v>
      </c>
      <c r="I260" s="15">
        <f ca="1">VLOOKUP(CONCATENATE(A260),WorkList!A:E,5,FALSE)</f>
        <v>40233</v>
      </c>
      <c r="J260" s="49">
        <f ca="1">VLOOKUP(CONCATENATE(A260),WorkList!A:F,6,FALSE)</f>
        <v>1</v>
      </c>
      <c r="K260" s="49" t="str">
        <f ca="1">VLOOKUP(CONCATENATE(A260),WorkList!A:G,7,FALSE)</f>
        <v>Enhancement</v>
      </c>
      <c r="L260" s="7" t="s">
        <v>5</v>
      </c>
      <c r="M260" s="16">
        <v>40505</v>
      </c>
      <c r="N260" s="60">
        <f ca="1">VALUE(LEFT(C260))</f>
        <v>4</v>
      </c>
      <c r="O260" s="61">
        <f ca="1">INT(IF(N260&gt;0,1+MAX(N260*N260-(IF(D260="",TODAY()+(5-N260)*15,D260)-TODAY())/4,N260),IF(TODAY()-M260&gt;10,0,1)))</f>
        <v>13</v>
      </c>
      <c r="P260" s="1" t="str">
        <f ca="1">IF(ISNA(VLOOKUP(A260,Projects!B:B,1,FALSE)),"","Yes")</f>
        <v/>
      </c>
    </row>
    <row r="261" spans="1:16">
      <c r="A261" s="4" t="s">
        <v>1071</v>
      </c>
      <c r="B261" s="5" t="s">
        <v>32</v>
      </c>
      <c r="C261" s="6" t="s">
        <v>48</v>
      </c>
      <c r="D261" s="11"/>
      <c r="F261" s="13" t="str">
        <f ca="1">VLOOKUP(LEFT(A261,IF(ISERROR(FIND(".",A261)),LEN(A261)+1,FIND(".",A261))-1),WorkList!A:C,3,FALSE)</f>
        <v>Loan level data</v>
      </c>
      <c r="G261" s="14" t="str">
        <f ca="1">VLOOKUP(CONCATENATE(A261),WorkList!A:C,3,FALSE)</f>
        <v>Problem with some ALBA loans between QA and Prod</v>
      </c>
      <c r="H261" s="13" t="str">
        <f ca="1">VLOOKUP(CONCATENATE(A261),WorkList!A:D,4,FALSE)</f>
        <v>Danny</v>
      </c>
      <c r="I261" s="15">
        <f ca="1">VLOOKUP(CONCATENATE(A261),WorkList!A:E,5,FALSE)</f>
        <v>40287</v>
      </c>
      <c r="J261" s="49">
        <f ca="1">VLOOKUP(CONCATENATE(A261),WorkList!A:F,6,FALSE)</f>
        <v>1</v>
      </c>
      <c r="K261" s="49" t="str">
        <f ca="1">VLOOKUP(CONCATENATE(A261),WorkList!A:G,7,FALSE)</f>
        <v>Maintenance</v>
      </c>
      <c r="L261" s="7" t="s">
        <v>13</v>
      </c>
      <c r="M261" s="16">
        <v>40568</v>
      </c>
      <c r="N261" s="60">
        <f ca="1">VALUE(LEFT(C261))</f>
        <v>0</v>
      </c>
      <c r="O261" s="61">
        <f ca="1">INT(IF(N261&gt;0,1+MAX(N261*N261-(IF(D261="",TODAY()+(5-N261)*15,D261)-TODAY())/4,N261),IF(TODAY()-M261&gt;10,0,1)))</f>
        <v>0</v>
      </c>
      <c r="P261" s="1" t="str">
        <f ca="1">IF(ISNA(VLOOKUP(A261,Projects!B:B,1,FALSE)),"","Yes")</f>
        <v/>
      </c>
    </row>
    <row r="262" spans="1:16">
      <c r="A262" s="4" t="s">
        <v>480</v>
      </c>
      <c r="B262" s="5" t="s">
        <v>11</v>
      </c>
      <c r="C262" s="6" t="s">
        <v>48</v>
      </c>
      <c r="D262" s="11"/>
      <c r="F262" s="13" t="str">
        <f ca="1">VLOOKUP(LEFT(A262,IF(ISERROR(FIND(".",A262)),LEN(A262)+1,FIND(".",A262))-1),WorkList!A:C,3,FALSE)</f>
        <v>Loan level data</v>
      </c>
      <c r="G262" s="14" t="str">
        <f ca="1">VLOOKUP(CONCATENATE(A262),WorkList!A:C,3,FALSE)</f>
        <v>1st implementation of 2nd Level Loan Mapper</v>
      </c>
      <c r="H262" s="13" t="str">
        <f ca="1">VLOOKUP(CONCATENATE(A262),WorkList!A:D,4,FALSE)</f>
        <v>David Covey</v>
      </c>
      <c r="I262" s="15">
        <f ca="1">VLOOKUP(CONCATENATE(A262),WorkList!A:E,5,FALSE)</f>
        <v>40074</v>
      </c>
      <c r="J262" s="49">
        <f ca="1">VLOOKUP(CONCATENATE(A262),WorkList!A:F,6,FALSE)</f>
        <v>0</v>
      </c>
      <c r="K262" s="49">
        <f ca="1">VLOOKUP(CONCATENATE(A262),WorkList!A:G,7,FALSE)</f>
        <v>0</v>
      </c>
      <c r="L262" s="7" t="s">
        <v>13</v>
      </c>
      <c r="M262" s="16">
        <v>40106</v>
      </c>
      <c r="N262" s="60">
        <f ca="1">VALUE(LEFT(C262))</f>
        <v>0</v>
      </c>
      <c r="O262" s="61">
        <f ca="1">INT(IF(N262&gt;0,1+MAX(N262*N262-(IF(D262="",TODAY()+(5-N262)*15,D262)-TODAY())/4,N262),IF(TODAY()-M262&gt;10,0,1)))</f>
        <v>0</v>
      </c>
      <c r="P262" s="1" t="str">
        <f ca="1">IF(ISNA(VLOOKUP(A262,Projects!B:B,1,FALSE)),"","Yes")</f>
        <v/>
      </c>
    </row>
    <row r="263" spans="1:16">
      <c r="A263" s="4" t="s">
        <v>1868</v>
      </c>
      <c r="B263" s="5" t="s">
        <v>21</v>
      </c>
      <c r="C263" s="7" t="s">
        <v>12</v>
      </c>
      <c r="F263" s="13" t="str">
        <f ca="1">VLOOKUP(LEFT(A263,IF(ISERROR(FIND(".",A263)),LEN(A263)+1,FIND(".",A263))-1),WorkList!A:C,3,FALSE)</f>
        <v>Loan level data</v>
      </c>
      <c r="G263" s="14" t="str">
        <f ca="1">VLOOKUP(CONCATENATE(A263),WorkList!A:C,3,FALSE)</f>
        <v>Implement rule changes form Danny</v>
      </c>
      <c r="H263" s="13" t="str">
        <f ca="1">VLOOKUP(CONCATENATE(A263),WorkList!A:D,4,FALSE)</f>
        <v>Danny</v>
      </c>
      <c r="I263" s="15">
        <f ca="1">VLOOKUP(CONCATENATE(A263),WorkList!A:E,5,FALSE)</f>
        <v>40563</v>
      </c>
      <c r="J263" s="49">
        <f ca="1">VLOOKUP(CONCATENATE(A263),WorkList!A:F,6,FALSE)</f>
        <v>2</v>
      </c>
      <c r="K263" s="49" t="str">
        <f ca="1">VLOOKUP(CONCATENATE(A263),WorkList!A:G,7,FALSE)</f>
        <v>NewDevelopment</v>
      </c>
      <c r="L263" s="7" t="s">
        <v>7</v>
      </c>
      <c r="M263" s="16">
        <v>40563</v>
      </c>
      <c r="N263" s="60">
        <f ca="1">VALUE(LEFT(C263))</f>
        <v>4</v>
      </c>
      <c r="O263" s="61">
        <f ca="1">INT(IF(N263&gt;0,1+MAX(N263*N263-(IF(D263="",TODAY()+(5-N263)*15,D263)-TODAY())/4,N263),IF(TODAY()-M263&gt;10,0,1)))</f>
        <v>13</v>
      </c>
      <c r="P263" s="1" t="str">
        <f ca="1">IF(ISNA(VLOOKUP(A263,Projects!B:B,1,FALSE)),"","Yes")</f>
        <v/>
      </c>
    </row>
    <row r="264" spans="1:16">
      <c r="A264" s="4" t="s">
        <v>518</v>
      </c>
      <c r="B264" s="5" t="s">
        <v>11</v>
      </c>
      <c r="C264" s="6" t="s">
        <v>48</v>
      </c>
      <c r="D264" s="11"/>
      <c r="F264" s="13" t="str">
        <f ca="1">VLOOKUP(LEFT(A264,IF(ISERROR(FIND(".",A264)),LEN(A264)+1,FIND(".",A264))-1),WorkList!A:C,3,FALSE)</f>
        <v>Loan level data</v>
      </c>
      <c r="G264" s="14" t="str">
        <f ca="1">VLOOKUP(CONCATENATE(A264),WorkList!A:C,3,FALSE)</f>
        <v>Get requirements for 2nd Level</v>
      </c>
      <c r="H264" s="13" t="str">
        <f ca="1">VLOOKUP(CONCATENATE(A264),WorkList!A:D,4,FALSE)</f>
        <v>Danny</v>
      </c>
      <c r="I264" s="15">
        <f ca="1">VLOOKUP(CONCATENATE(A264),WorkList!A:E,5,FALSE)</f>
        <v>40102</v>
      </c>
      <c r="J264" s="49">
        <f ca="1">VLOOKUP(CONCATENATE(A264),WorkList!A:F,6,FALSE)</f>
        <v>0</v>
      </c>
      <c r="K264" s="49">
        <f ca="1">VLOOKUP(CONCATENATE(A264),WorkList!A:G,7,FALSE)</f>
        <v>0</v>
      </c>
      <c r="L264" s="7" t="s">
        <v>13</v>
      </c>
      <c r="M264" s="16">
        <v>40102</v>
      </c>
      <c r="N264" s="60">
        <f ca="1">VALUE(LEFT(C264))</f>
        <v>0</v>
      </c>
      <c r="O264" s="61">
        <f ca="1">INT(IF(N264&gt;0,1+MAX(N264*N264-(IF(D264="",TODAY()+(5-N264)*15,D264)-TODAY())/4,N264),IF(TODAY()-M264&gt;10,0,1)))</f>
        <v>0</v>
      </c>
      <c r="P264" s="1" t="str">
        <f ca="1">IF(ISNA(VLOOKUP(A264,Projects!B:B,1,FALSE)),"","Yes")</f>
        <v/>
      </c>
    </row>
    <row r="265" spans="1:16">
      <c r="A265" s="4" t="s">
        <v>520</v>
      </c>
      <c r="B265" s="5" t="s">
        <v>37</v>
      </c>
      <c r="C265" s="6" t="s">
        <v>48</v>
      </c>
      <c r="D265" s="11"/>
      <c r="F265" s="13" t="str">
        <f ca="1">VLOOKUP(LEFT(A265,IF(ISERROR(FIND(".",A265)),LEN(A265)+1,FIND(".",A265))-1),WorkList!A:C,3,FALSE)</f>
        <v>Loan level data</v>
      </c>
      <c r="G265" s="14" t="str">
        <f ca="1">VLOOKUP(CONCATENATE(A265),WorkList!A:C,3,FALSE)</f>
        <v>RMAC Second level Mapper</v>
      </c>
      <c r="H265" s="13" t="str">
        <f ca="1">VLOOKUP(CONCATENATE(A265),WorkList!A:D,4,FALSE)</f>
        <v>David Covey</v>
      </c>
      <c r="I265" s="15">
        <f ca="1">VLOOKUP(CONCATENATE(A265),WorkList!A:E,5,FALSE)</f>
        <v>40093</v>
      </c>
      <c r="J265" s="49">
        <f ca="1">VLOOKUP(CONCATENATE(A265),WorkList!A:F,6,FALSE)</f>
        <v>0</v>
      </c>
      <c r="K265" s="49">
        <f ca="1">VLOOKUP(CONCATENATE(A265),WorkList!A:G,7,FALSE)</f>
        <v>0</v>
      </c>
      <c r="L265" s="7" t="s">
        <v>13</v>
      </c>
      <c r="M265" s="16">
        <v>40120</v>
      </c>
      <c r="N265" s="60">
        <f ca="1">VALUE(LEFT(C265))</f>
        <v>0</v>
      </c>
      <c r="O265" s="61">
        <f ca="1">INT(IF(N265&gt;0,1+MAX(N265*N265-(IF(D265="",TODAY()+(5-N265)*15,D265)-TODAY())/4,N265),IF(TODAY()-M265&gt;10,0,1)))</f>
        <v>0</v>
      </c>
      <c r="P265" s="1" t="str">
        <f ca="1">IF(ISNA(VLOOKUP(A265,Projects!B:B,1,FALSE)),"","Yes")</f>
        <v/>
      </c>
    </row>
    <row r="266" spans="1:16">
      <c r="A266" s="4" t="s">
        <v>522</v>
      </c>
      <c r="B266" s="5" t="s">
        <v>37</v>
      </c>
      <c r="C266" s="6" t="s">
        <v>48</v>
      </c>
      <c r="D266" s="11"/>
      <c r="F266" s="13" t="str">
        <f ca="1">VLOOKUP(LEFT(A266,IF(ISERROR(FIND(".",A266)),LEN(A266)+1,FIND(".",A266))-1),WorkList!A:C,3,FALSE)</f>
        <v>Loan level data</v>
      </c>
      <c r="G266" s="14" t="str">
        <f ca="1">VLOOKUP(CONCATENATE(A266),WorkList!A:C,3,FALSE)</f>
        <v>ESAIL Second Level Mapper</v>
      </c>
      <c r="H266" s="13" t="str">
        <f ca="1">VLOOKUP(CONCATENATE(A266),WorkList!A:D,4,FALSE)</f>
        <v>David Covey</v>
      </c>
      <c r="I266" s="15">
        <f ca="1">VLOOKUP(CONCATENATE(A266),WorkList!A:E,5,FALSE)</f>
        <v>40093</v>
      </c>
      <c r="J266" s="49">
        <f ca="1">VLOOKUP(CONCATENATE(A266),WorkList!A:F,6,FALSE)</f>
        <v>0</v>
      </c>
      <c r="K266" s="49">
        <f ca="1">VLOOKUP(CONCATENATE(A266),WorkList!A:G,7,FALSE)</f>
        <v>0</v>
      </c>
      <c r="L266" s="7" t="s">
        <v>13</v>
      </c>
      <c r="M266" s="16">
        <v>40120</v>
      </c>
      <c r="N266" s="60">
        <f ca="1">VALUE(LEFT(C266))</f>
        <v>0</v>
      </c>
      <c r="O266" s="61">
        <f ca="1">INT(IF(N266&gt;0,1+MAX(N266*N266-(IF(D266="",TODAY()+(5-N266)*15,D266)-TODAY())/4,N266),IF(TODAY()-M266&gt;10,0,1)))</f>
        <v>0</v>
      </c>
      <c r="P266" s="1" t="str">
        <f ca="1">IF(ISNA(VLOOKUP(A266,Projects!B:B,1,FALSE)),"","Yes")</f>
        <v/>
      </c>
    </row>
    <row r="267" spans="1:16">
      <c r="A267" s="4" t="s">
        <v>539</v>
      </c>
      <c r="B267" s="5" t="s">
        <v>11</v>
      </c>
      <c r="C267" s="6" t="s">
        <v>48</v>
      </c>
      <c r="D267" s="11"/>
      <c r="F267" s="13" t="str">
        <f ca="1">VLOOKUP(LEFT(A267,IF(ISERROR(FIND(".",A267)),LEN(A267)+1,FIND(".",A267))-1),WorkList!A:C,3,FALSE)</f>
        <v>Loan level data</v>
      </c>
      <c r="G267" s="14" t="str">
        <f ca="1">VLOOKUP(CONCATENATE(A267),WorkList!A:C,3,FALSE)</f>
        <v>Complete 1st version of 2nd level rules and run on prod</v>
      </c>
      <c r="H267" s="13" t="str">
        <f ca="1">VLOOKUP(CONCATENATE(A267),WorkList!A:D,4,FALSE)</f>
        <v>Neil</v>
      </c>
      <c r="I267" s="15">
        <f ca="1">VLOOKUP(CONCATENATE(A267),WorkList!A:E,5,FALSE)</f>
        <v>40123</v>
      </c>
      <c r="J267" s="49">
        <f ca="1">VLOOKUP(CONCATENATE(A267),WorkList!A:F,6,FALSE)</f>
        <v>0</v>
      </c>
      <c r="K267" s="49">
        <f ca="1">VLOOKUP(CONCATENATE(A267),WorkList!A:G,7,FALSE)</f>
        <v>0</v>
      </c>
      <c r="L267" s="7" t="s">
        <v>13</v>
      </c>
      <c r="M267" s="16">
        <v>40123</v>
      </c>
      <c r="N267" s="60">
        <f ca="1">VALUE(LEFT(C267))</f>
        <v>0</v>
      </c>
      <c r="O267" s="61">
        <f ca="1">INT(IF(N267&gt;0,1+MAX(N267*N267-(IF(D267="",TODAY()+(5-N267)*15,D267)-TODAY())/4,N267),IF(TODAY()-M267&gt;10,0,1)))</f>
        <v>0</v>
      </c>
      <c r="P267" s="1" t="str">
        <f ca="1">IF(ISNA(VLOOKUP(A267,Projects!B:B,1,FALSE)),"","Yes")</f>
        <v/>
      </c>
    </row>
    <row r="268" spans="1:16">
      <c r="A268" s="4" t="s">
        <v>816</v>
      </c>
      <c r="B268" s="5" t="s">
        <v>11</v>
      </c>
      <c r="C268" s="6" t="s">
        <v>48</v>
      </c>
      <c r="D268" s="11"/>
      <c r="F268" s="13" t="str">
        <f ca="1">VLOOKUP(LEFT(A268,IF(ISERROR(FIND(".",A268)),LEN(A268)+1,FIND(".",A268))-1),WorkList!A:C,3,FALSE)</f>
        <v>Loan level data</v>
      </c>
      <c r="G268" s="14" t="str">
        <f ca="1">VLOOKUP(CONCATENATE(A268),WorkList!A:C,3,FALSE)</f>
        <v>Add new rules for Friedel</v>
      </c>
      <c r="H268" s="13" t="str">
        <f ca="1">VLOOKUP(CONCATENATE(A268),WorkList!A:D,4,FALSE)</f>
        <v>Friedel</v>
      </c>
      <c r="I268" s="15">
        <f ca="1">VLOOKUP(CONCATENATE(A268),WorkList!A:E,5,FALSE)</f>
        <v>40190</v>
      </c>
      <c r="J268" s="49">
        <f ca="1">VLOOKUP(CONCATENATE(A268),WorkList!A:F,6,FALSE)</f>
        <v>3</v>
      </c>
      <c r="K268" s="49">
        <f ca="1">VLOOKUP(CONCATENATE(A268),WorkList!A:G,7,FALSE)</f>
        <v>0</v>
      </c>
      <c r="L268" s="7" t="s">
        <v>13</v>
      </c>
      <c r="M268" s="16">
        <v>40205</v>
      </c>
      <c r="N268" s="60">
        <f ca="1">VALUE(LEFT(C268))</f>
        <v>0</v>
      </c>
      <c r="O268" s="61">
        <f ca="1">INT(IF(N268&gt;0,1+MAX(N268*N268-(IF(D268="",TODAY()+(5-N268)*15,D268)-TODAY())/4,N268),IF(TODAY()-M268&gt;10,0,1)))</f>
        <v>0</v>
      </c>
      <c r="P268" s="1" t="str">
        <f ca="1">IF(ISNA(VLOOKUP(A268,Projects!B:B,1,FALSE)),"","Yes")</f>
        <v/>
      </c>
    </row>
    <row r="269" spans="1:16">
      <c r="A269" s="4" t="s">
        <v>1404</v>
      </c>
      <c r="B269" s="5" t="s">
        <v>29</v>
      </c>
      <c r="C269" s="6" t="s">
        <v>48</v>
      </c>
      <c r="D269" s="7">
        <v>40401</v>
      </c>
      <c r="F269" s="13" t="str">
        <f ca="1">VLOOKUP(LEFT(A269,IF(ISERROR(FIND(".",A269)),LEN(A269)+1,FIND(".",A269))-1),WorkList!A:C,3,FALSE)</f>
        <v>Loan level data</v>
      </c>
      <c r="G269" s="14" t="str">
        <f ca="1">VLOOKUP(CONCATENATE(A269),WorkList!A:C,3,FALSE)</f>
        <v>Add new Kensington rules for Danny</v>
      </c>
      <c r="H269" s="13" t="str">
        <f ca="1">VLOOKUP(CONCATENATE(A269),WorkList!A:D,4,FALSE)</f>
        <v>Pramendra</v>
      </c>
      <c r="I269" s="15">
        <f ca="1">VLOOKUP(CONCATENATE(A269),WorkList!A:E,5,FALSE)</f>
        <v>40399</v>
      </c>
      <c r="J269" s="49">
        <f ca="1">VLOOKUP(CONCATENATE(A269),WorkList!A:F,6,FALSE)</f>
        <v>3</v>
      </c>
      <c r="K269" s="49" t="str">
        <f ca="1">VLOOKUP(CONCATENATE(A269),WorkList!A:G,7,FALSE)</f>
        <v>NewDevelopment</v>
      </c>
      <c r="L269" s="7" t="s">
        <v>13</v>
      </c>
      <c r="M269" s="16">
        <v>40410</v>
      </c>
      <c r="N269" s="60">
        <f ca="1">VALUE(LEFT(C269))</f>
        <v>0</v>
      </c>
      <c r="O269" s="61">
        <f ca="1">INT(IF(N269&gt;0,1+MAX(N269*N269-(IF(D269="",TODAY()+(5-N269)*15,D269)-TODAY())/4,N269),IF(TODAY()-M269&gt;10,0,1)))</f>
        <v>0</v>
      </c>
      <c r="P269" s="1" t="str">
        <f ca="1">IF(ISNA(VLOOKUP(A269,Projects!B:B,1,FALSE)),"","Yes")</f>
        <v/>
      </c>
    </row>
    <row r="270" spans="1:16">
      <c r="A270" s="4" t="s">
        <v>1511</v>
      </c>
      <c r="B270" s="5" t="s">
        <v>32</v>
      </c>
      <c r="C270" s="6" t="s">
        <v>48</v>
      </c>
      <c r="D270" s="7">
        <v>40435</v>
      </c>
      <c r="F270" s="13" t="str">
        <f ca="1">VLOOKUP(LEFT(A270,IF(ISERROR(FIND(".",A270)),LEN(A270)+1,FIND(".",A270))-1),WorkList!A:C,3,FALSE)</f>
        <v>Loan level data</v>
      </c>
      <c r="G270" s="14" t="str">
        <f ca="1">VLOOKUP(CONCATENATE(A270),WorkList!A:C,3,FALSE)</f>
        <v>Add new Kensington 2nd Lien rules for Danny</v>
      </c>
      <c r="H270" s="13" t="str">
        <f ca="1">VLOOKUP(CONCATENATE(A270),WorkList!A:D,4,FALSE)</f>
        <v>Pramendra</v>
      </c>
      <c r="I270" s="15">
        <f ca="1">VLOOKUP(CONCATENATE(A270),WorkList!A:E,5,FALSE)</f>
        <v>40434</v>
      </c>
      <c r="J270" s="49">
        <f ca="1">VLOOKUP(CONCATENATE(A270),WorkList!A:F,6,FALSE)</f>
        <v>1</v>
      </c>
      <c r="K270" s="49" t="str">
        <f ca="1">VLOOKUP(CONCATENATE(A270),WorkList!A:G,7,FALSE)</f>
        <v>NewDevelopment</v>
      </c>
      <c r="L270" s="7" t="s">
        <v>13</v>
      </c>
      <c r="M270" s="16">
        <v>40455</v>
      </c>
      <c r="N270" s="60">
        <f ca="1">VALUE(LEFT(C270))</f>
        <v>0</v>
      </c>
      <c r="O270" s="61">
        <f ca="1">INT(IF(N270&gt;0,1+MAX(N270*N270-(IF(D270="",TODAY()+(5-N270)*15,D270)-TODAY())/4,N270),IF(TODAY()-M270&gt;10,0,1)))</f>
        <v>0</v>
      </c>
      <c r="P270" s="1" t="str">
        <f ca="1">IF(ISNA(VLOOKUP(A270,Projects!B:B,1,FALSE)),"","Yes")</f>
        <v/>
      </c>
    </row>
    <row r="271" spans="1:16">
      <c r="A271" s="4" t="s">
        <v>1799</v>
      </c>
      <c r="B271" s="5" t="s">
        <v>21</v>
      </c>
      <c r="C271" s="7" t="s">
        <v>10</v>
      </c>
      <c r="F271" s="13" t="str">
        <f ca="1">VLOOKUP(LEFT(A271,IF(ISERROR(FIND(".",A271)),LEN(A271)+1,FIND(".",A271))-1),WorkList!A:C,3,FALSE)</f>
        <v>Loan level data</v>
      </c>
      <c r="G271" s="14" t="str">
        <f ca="1">VLOOKUP(CONCATENATE(A271),WorkList!A:C,3,FALSE)</f>
        <v>Implement rules for Resloc</v>
      </c>
      <c r="H271" s="13" t="str">
        <f ca="1">VLOOKUP(CONCATENATE(A271),WorkList!A:D,4,FALSE)</f>
        <v>Danny</v>
      </c>
      <c r="I271" s="15">
        <f ca="1">VLOOKUP(CONCATENATE(A271),WorkList!A:E,5,FALSE)</f>
        <v>40547</v>
      </c>
      <c r="J271" s="49">
        <f ca="1">VLOOKUP(CONCATENATE(A271),WorkList!A:F,6,FALSE)</f>
        <v>2</v>
      </c>
      <c r="K271" s="49" t="str">
        <f ca="1">VLOOKUP(CONCATENATE(A271),WorkList!A:G,7,FALSE)</f>
        <v>NewDevelopment</v>
      </c>
      <c r="L271" s="7" t="s">
        <v>7</v>
      </c>
      <c r="M271" s="16">
        <v>40547</v>
      </c>
      <c r="N271" s="60">
        <f ca="1">VALUE(LEFT(C271))</f>
        <v>3</v>
      </c>
      <c r="O271" s="61">
        <f ca="1">INT(IF(N271&gt;0,1+MAX(N271*N271-(IF(D271="",TODAY()+(5-N271)*15,D271)-TODAY())/4,N271),IF(TODAY()-M271&gt;10,0,1)))</f>
        <v>4</v>
      </c>
      <c r="P271" s="1" t="str">
        <f ca="1">IF(ISNA(VLOOKUP(A271,Projects!B:B,1,FALSE)),"","Yes")</f>
        <v/>
      </c>
    </row>
    <row r="272" spans="1:16">
      <c r="A272" s="4" t="s">
        <v>864</v>
      </c>
      <c r="B272" s="5" t="s">
        <v>21</v>
      </c>
      <c r="C272" s="7" t="s">
        <v>38</v>
      </c>
      <c r="D272" s="11"/>
      <c r="F272" s="13" t="str">
        <f ca="1">VLOOKUP(LEFT(A272,IF(ISERROR(FIND(".",A272)),LEN(A272)+1,FIND(".",A272))-1),WorkList!A:C,3,FALSE)</f>
        <v>Loan level data</v>
      </c>
      <c r="G272" s="14" t="str">
        <f ca="1">VLOOKUP(CONCATENATE(A272),WorkList!A:C,3,FALSE)</f>
        <v>Add EMF loans -  raw + document</v>
      </c>
      <c r="H272" s="13" t="str">
        <f ca="1">VLOOKUP(CONCATENATE(A272),WorkList!A:D,4,FALSE)</f>
        <v>Danny</v>
      </c>
      <c r="I272" s="15">
        <f ca="1">VLOOKUP(CONCATENATE(A272),WorkList!A:E,5,FALSE)</f>
        <v>40200</v>
      </c>
      <c r="J272" s="49">
        <f ca="1">VLOOKUP(CONCATENATE(A272),WorkList!A:F,6,FALSE)</f>
        <v>3</v>
      </c>
      <c r="K272" s="49" t="str">
        <f ca="1">VLOOKUP(CONCATENATE(A272),WorkList!A:G,7,FALSE)</f>
        <v>NewDevelopment</v>
      </c>
      <c r="L272" s="7" t="s">
        <v>537</v>
      </c>
      <c r="M272" s="16">
        <v>40283</v>
      </c>
      <c r="N272" s="60">
        <f ca="1">VALUE(LEFT(C272))</f>
        <v>2</v>
      </c>
      <c r="O272" s="61">
        <f ca="1">INT(IF(N272&gt;0,1+MAX(N272*N272-(IF(D272="",TODAY()+(5-N272)*15,D272)-TODAY())/4,N272),IF(TODAY()-M272&gt;10,0,1)))</f>
        <v>3</v>
      </c>
      <c r="P272" s="1" t="str">
        <f ca="1">IF(ISNA(VLOOKUP(A272,Projects!B:B,1,FALSE)),"","Yes")</f>
        <v/>
      </c>
    </row>
    <row r="273" spans="1:16">
      <c r="A273" s="4" t="s">
        <v>865</v>
      </c>
      <c r="B273" s="5" t="s">
        <v>21</v>
      </c>
      <c r="C273" s="7" t="s">
        <v>38</v>
      </c>
      <c r="D273" s="11"/>
      <c r="F273" s="13" t="str">
        <f ca="1">VLOOKUP(LEFT(A273,IF(ISERROR(FIND(".",A273)),LEN(A273)+1,FIND(".",A273))-1),WorkList!A:C,3,FALSE)</f>
        <v>Loan level data</v>
      </c>
      <c r="G273" s="14" t="str">
        <f ca="1">VLOOKUP(CONCATENATE(A273),WorkList!A:C,3,FALSE)</f>
        <v>Implement mapping for EMF</v>
      </c>
      <c r="H273" s="13" t="str">
        <f ca="1">VLOOKUP(CONCATENATE(A273),WorkList!A:D,4,FALSE)</f>
        <v>Danny</v>
      </c>
      <c r="I273" s="15">
        <f ca="1">VLOOKUP(CONCATENATE(A273),WorkList!A:E,5,FALSE)</f>
        <v>40200</v>
      </c>
      <c r="J273" s="49">
        <f ca="1">VLOOKUP(CONCATENATE(A273),WorkList!A:F,6,FALSE)</f>
        <v>4</v>
      </c>
      <c r="K273" s="49" t="str">
        <f ca="1">VLOOKUP(CONCATENATE(A273),WorkList!A:G,7,FALSE)</f>
        <v>NewDevelopment</v>
      </c>
      <c r="L273" s="7" t="s">
        <v>537</v>
      </c>
      <c r="M273" s="16">
        <v>40283</v>
      </c>
      <c r="N273" s="60">
        <f ca="1">VALUE(LEFT(C273))</f>
        <v>2</v>
      </c>
      <c r="O273" s="61">
        <f ca="1">INT(IF(N273&gt;0,1+MAX(N273*N273-(IF(D273="",TODAY()+(5-N273)*15,D273)-TODAY())/4,N273),IF(TODAY()-M273&gt;10,0,1)))</f>
        <v>3</v>
      </c>
      <c r="P273" s="1" t="str">
        <f ca="1">IF(ISNA(VLOOKUP(A273,Projects!B:B,1,FALSE)),"","Yes")</f>
        <v/>
      </c>
    </row>
    <row r="274" spans="1:16">
      <c r="A274" s="4" t="s">
        <v>883</v>
      </c>
      <c r="B274" s="5" t="s">
        <v>21</v>
      </c>
      <c r="C274" s="7" t="s">
        <v>38</v>
      </c>
      <c r="D274" s="11"/>
      <c r="F274" s="13" t="str">
        <f ca="1">VLOOKUP(LEFT(A274,IF(ISERROR(FIND(".",A274)),LEN(A274)+1,FIND(".",A274))-1),WorkList!A:C,3,FALSE)</f>
        <v>Loan level data</v>
      </c>
      <c r="G274" s="14" t="str">
        <f ca="1">VLOOKUP(CONCATENATE(A274),WorkList!A:C,3,FALSE)</f>
        <v>Check for duplicate/missing columns in file loader</v>
      </c>
      <c r="H274" s="13" t="str">
        <f ca="1">VLOOKUP(CONCATENATE(A274),WorkList!A:D,4,FALSE)</f>
        <v>Danny</v>
      </c>
      <c r="I274" s="15">
        <f ca="1">VLOOKUP(CONCATENATE(A274),WorkList!A:E,5,FALSE)</f>
        <v>40214</v>
      </c>
      <c r="J274" s="49">
        <f ca="1">VLOOKUP(CONCATENATE(A274),WorkList!A:F,6,FALSE)</f>
        <v>0.5</v>
      </c>
      <c r="K274" s="49" t="str">
        <f ca="1">VLOOKUP(CONCATENATE(A274),WorkList!A:G,7,FALSE)</f>
        <v>Enhancement</v>
      </c>
      <c r="L274" s="7" t="s">
        <v>7</v>
      </c>
      <c r="M274" s="16">
        <v>40283</v>
      </c>
      <c r="N274" s="60">
        <f ca="1">VALUE(LEFT(C274))</f>
        <v>2</v>
      </c>
      <c r="O274" s="61">
        <f ca="1">INT(IF(N274&gt;0,1+MAX(N274*N274-(IF(D274="",TODAY()+(5-N274)*15,D274)-TODAY())/4,N274),IF(TODAY()-M274&gt;10,0,1)))</f>
        <v>3</v>
      </c>
      <c r="P274" s="1" t="str">
        <f ca="1">IF(ISNA(VLOOKUP(A274,Projects!B:B,1,FALSE)),"","Yes")</f>
        <v/>
      </c>
    </row>
    <row r="275" spans="1:16">
      <c r="A275" s="4" t="s">
        <v>1402</v>
      </c>
      <c r="B275" s="5" t="s">
        <v>37</v>
      </c>
      <c r="C275" s="7" t="s">
        <v>48</v>
      </c>
      <c r="D275" s="7">
        <v>40396</v>
      </c>
      <c r="F275" s="13" t="str">
        <f ca="1">VLOOKUP(LEFT(A275,IF(ISERROR(FIND(".",A275)),LEN(A275)+1,FIND(".",A275))-1),WorkList!A:C,3,FALSE)</f>
        <v>Loan level data</v>
      </c>
      <c r="G275" s="14" t="str">
        <f ca="1">VLOOKUP(CONCATENATE(A275),WorkList!A:C,3,FALSE)</f>
        <v>Add new field to Merrill Raw</v>
      </c>
      <c r="H275" s="13" t="str">
        <f ca="1">VLOOKUP(CONCATENATE(A275),WorkList!A:D,4,FALSE)</f>
        <v>Danny</v>
      </c>
      <c r="I275" s="15">
        <f ca="1">VLOOKUP(CONCATENATE(A275),WorkList!A:E,5,FALSE)</f>
        <v>40394</v>
      </c>
      <c r="J275" s="49">
        <f ca="1">VLOOKUP(CONCATENATE(A275),WorkList!A:F,6,FALSE)</f>
        <v>1</v>
      </c>
      <c r="K275" s="49" t="str">
        <f ca="1">VLOOKUP(CONCATENATE(A275),WorkList!A:G,7,FALSE)</f>
        <v>Maintenance</v>
      </c>
      <c r="L275" s="7" t="s">
        <v>13</v>
      </c>
      <c r="M275" s="16">
        <v>40414</v>
      </c>
      <c r="N275" s="60">
        <f ca="1">VALUE(LEFT(C275))</f>
        <v>0</v>
      </c>
      <c r="O275" s="61">
        <f ca="1">INT(IF(N275&gt;0,1+MAX(N275*N275-(IF(D275="",TODAY()+(5-N275)*15,D275)-TODAY())/4,N275),IF(TODAY()-M275&gt;10,0,1)))</f>
        <v>0</v>
      </c>
      <c r="P275" s="1" t="str">
        <f ca="1">IF(ISNA(VLOOKUP(A275,Projects!B:B,1,FALSE)),"","Yes")</f>
        <v/>
      </c>
    </row>
    <row r="276" spans="1:16">
      <c r="A276" s="4" t="s">
        <v>1046</v>
      </c>
      <c r="B276" s="5" t="s">
        <v>32</v>
      </c>
      <c r="C276" s="6" t="s">
        <v>48</v>
      </c>
      <c r="D276" s="11">
        <v>40288</v>
      </c>
      <c r="F276" s="13" t="str">
        <f ca="1">VLOOKUP(LEFT(A276,IF(ISERROR(FIND(".",A276)),LEN(A276)+1,FIND(".",A276))-1),WorkList!A:C,3,FALSE)</f>
        <v>Loan level data</v>
      </c>
      <c r="G276" s="14" t="str">
        <f ca="1">VLOOKUP(CONCATENATE(A276),WorkList!A:C,3,FALSE)</f>
        <v>LoanHandling: Define loan data file handling procedure.</v>
      </c>
      <c r="H276" s="13" t="str">
        <f ca="1">VLOOKUP(CONCATENATE(A276),WorkList!A:D,4,FALSE)</f>
        <v>Neil</v>
      </c>
      <c r="I276" s="15">
        <f ca="1">VLOOKUP(CONCATENATE(A276),WorkList!A:E,5,FALSE)</f>
        <v>40388</v>
      </c>
      <c r="J276" s="49">
        <f ca="1">VLOOKUP(CONCATENATE(A276),WorkList!A:F,6,FALSE)</f>
        <v>0.5</v>
      </c>
      <c r="K276" s="49" t="str">
        <f ca="1">VLOOKUP(CONCATENATE(A276),WorkList!A:G,7,FALSE)</f>
        <v>Enhancement</v>
      </c>
      <c r="L276" s="7" t="s">
        <v>13</v>
      </c>
      <c r="M276" s="16">
        <v>40373</v>
      </c>
      <c r="N276" s="60">
        <f ca="1">VALUE(LEFT(C276))</f>
        <v>0</v>
      </c>
      <c r="O276" s="61">
        <f ca="1">INT(IF(N276&gt;0,1+MAX(N276*N276-(IF(D276="",TODAY()+(5-N276)*15,D276)-TODAY())/4,N276),IF(TODAY()-M276&gt;10,0,1)))</f>
        <v>0</v>
      </c>
      <c r="P276" s="1" t="str">
        <f ca="1">IF(ISNA(VLOOKUP(A276,Projects!B:B,1,FALSE)),"","Yes")</f>
        <v>Yes</v>
      </c>
    </row>
    <row r="277" spans="1:16">
      <c r="A277" s="4" t="s">
        <v>1503</v>
      </c>
      <c r="B277" s="5" t="s">
        <v>21</v>
      </c>
      <c r="C277" s="7" t="s">
        <v>12</v>
      </c>
      <c r="F277" s="13" t="str">
        <f ca="1">VLOOKUP(LEFT(A277,IF(ISERROR(FIND(".",A277)),LEN(A277)+1,FIND(".",A277))-1),WorkList!A:C,3,FALSE)</f>
        <v>Loan level data</v>
      </c>
      <c r="G277" s="14" t="str">
        <f ca="1">VLOOKUP(CONCATENATE(A277),WorkList!A:C,3,FALSE)</f>
        <v>LoanHandling: Kennsington loader change, review,release</v>
      </c>
      <c r="H277" s="13" t="str">
        <f ca="1">VLOOKUP(CONCATENATE(A277),WorkList!A:D,4,FALSE)</f>
        <v>Pramendra</v>
      </c>
      <c r="I277" s="15">
        <f ca="1">VLOOKUP(CONCATENATE(A277),WorkList!A:E,5,FALSE)</f>
        <v>40429</v>
      </c>
      <c r="J277" s="49">
        <f ca="1">VLOOKUP(CONCATENATE(A277),WorkList!A:F,6,FALSE)</f>
        <v>3</v>
      </c>
      <c r="K277" s="49" t="str">
        <f ca="1">VLOOKUP(CONCATENATE(A277),WorkList!A:G,7,FALSE)</f>
        <v>Maintenance</v>
      </c>
      <c r="L277" s="7" t="s">
        <v>5</v>
      </c>
      <c r="M277" s="16">
        <v>40483</v>
      </c>
      <c r="N277" s="60">
        <f ca="1">VALUE(LEFT(C277))</f>
        <v>4</v>
      </c>
      <c r="O277" s="61">
        <f ca="1">INT(IF(N277&gt;0,1+MAX(N277*N277-(IF(D277="",TODAY()+(5-N277)*15,D277)-TODAY())/4,N277),IF(TODAY()-M277&gt;10,0,1)))</f>
        <v>13</v>
      </c>
      <c r="P277" s="1" t="str">
        <f ca="1">IF(ISNA(VLOOKUP(A277,Projects!B:B,1,FALSE)),"","Yes")</f>
        <v>Yes</v>
      </c>
    </row>
    <row r="278" spans="1:16">
      <c r="A278" s="4" t="s">
        <v>1504</v>
      </c>
      <c r="B278" s="5" t="s">
        <v>1607</v>
      </c>
      <c r="C278" s="7" t="s">
        <v>12</v>
      </c>
      <c r="F278" s="13" t="str">
        <f ca="1">VLOOKUP(LEFT(A278,IF(ISERROR(FIND(".",A278)),LEN(A278)+1,FIND(".",A278))-1),WorkList!A:C,3,FALSE)</f>
        <v>Loan level data</v>
      </c>
      <c r="G278" s="14" t="str">
        <f ca="1">VLOOKUP(CONCATENATE(A278),WorkList!A:C,3,FALSE)</f>
        <v>LoanHandling: Merrill loader change, review,release</v>
      </c>
      <c r="H278" s="13" t="str">
        <f ca="1">VLOOKUP(CONCATENATE(A278),WorkList!A:D,4,FALSE)</f>
        <v>Pramendra</v>
      </c>
      <c r="I278" s="15">
        <f ca="1">VLOOKUP(CONCATENATE(A278),WorkList!A:E,5,FALSE)</f>
        <v>40429</v>
      </c>
      <c r="J278" s="49">
        <f ca="1">VLOOKUP(CONCATENATE(A278),WorkList!A:F,6,FALSE)</f>
        <v>3</v>
      </c>
      <c r="K278" s="49" t="str">
        <f ca="1">VLOOKUP(CONCATENATE(A278),WorkList!A:G,7,FALSE)</f>
        <v>Maintenance</v>
      </c>
      <c r="L278" s="7" t="s">
        <v>5</v>
      </c>
      <c r="M278" s="16">
        <v>40455</v>
      </c>
      <c r="N278" s="60">
        <f ca="1">VALUE(LEFT(C278))</f>
        <v>4</v>
      </c>
      <c r="O278" s="61">
        <f ca="1">INT(IF(N278&gt;0,1+MAX(N278*N278-(IF(D278="",TODAY()+(5-N278)*15,D278)-TODAY())/4,N278),IF(TODAY()-M278&gt;10,0,1)))</f>
        <v>13</v>
      </c>
      <c r="P278" s="1" t="str">
        <f ca="1">IF(ISNA(VLOOKUP(A278,Projects!B:B,1,FALSE)),"","Yes")</f>
        <v>Yes</v>
      </c>
    </row>
    <row r="279" spans="1:16">
      <c r="A279" s="4" t="s">
        <v>1505</v>
      </c>
      <c r="B279" s="5" t="s">
        <v>1607</v>
      </c>
      <c r="C279" s="7" t="s">
        <v>12</v>
      </c>
      <c r="F279" s="13" t="str">
        <f ca="1">VLOOKUP(LEFT(A279,IF(ISERROR(FIND(".",A279)),LEN(A279)+1,FIND(".",A279))-1),WorkList!A:C,3,FALSE)</f>
        <v>Loan level data</v>
      </c>
      <c r="G279" s="14" t="str">
        <f ca="1">VLOOKUP(CONCATENATE(A279),WorkList!A:C,3,FALSE)</f>
        <v>LoanHandling: LEEK loader change, review,release</v>
      </c>
      <c r="H279" s="13" t="str">
        <f ca="1">VLOOKUP(CONCATENATE(A279),WorkList!A:D,4,FALSE)</f>
        <v>Pramendra</v>
      </c>
      <c r="I279" s="15">
        <f ca="1">VLOOKUP(CONCATENATE(A279),WorkList!A:E,5,FALSE)</f>
        <v>40429</v>
      </c>
      <c r="J279" s="49">
        <f ca="1">VLOOKUP(CONCATENATE(A279),WorkList!A:F,6,FALSE)</f>
        <v>3</v>
      </c>
      <c r="K279" s="49" t="str">
        <f ca="1">VLOOKUP(CONCATENATE(A279),WorkList!A:G,7,FALSE)</f>
        <v>Maintenance</v>
      </c>
      <c r="L279" s="7" t="s">
        <v>7</v>
      </c>
      <c r="M279" s="16">
        <v>40429</v>
      </c>
      <c r="N279" s="60">
        <f ca="1">VALUE(LEFT(C279))</f>
        <v>4</v>
      </c>
      <c r="O279" s="61">
        <f ca="1">INT(IF(N279&gt;0,1+MAX(N279*N279-(IF(D279="",TODAY()+(5-N279)*15,D279)-TODAY())/4,N279),IF(TODAY()-M279&gt;10,0,1)))</f>
        <v>13</v>
      </c>
      <c r="P279" s="1" t="str">
        <f ca="1">IF(ISNA(VLOOKUP(A279,Projects!B:B,1,FALSE)),"","Yes")</f>
        <v>Yes</v>
      </c>
    </row>
    <row r="280" spans="1:16">
      <c r="A280" s="4" t="s">
        <v>1047</v>
      </c>
      <c r="B280" s="5" t="s">
        <v>32</v>
      </c>
      <c r="C280" s="6" t="s">
        <v>48</v>
      </c>
      <c r="D280" s="7">
        <v>40431</v>
      </c>
      <c r="F280" s="13" t="str">
        <f ca="1">VLOOKUP(LEFT(A280,IF(ISERROR(FIND(".",A280)),LEN(A280)+1,FIND(".",A280))-1),WorkList!A:C,3,FALSE)</f>
        <v>Loan level data</v>
      </c>
      <c r="G280" s="14" t="str">
        <f ca="1">VLOOKUP(CONCATENATE(A280),WorkList!A:C,3,FALSE)</f>
        <v>LoanHandling: Design schema and library</v>
      </c>
      <c r="H280" s="13" t="str">
        <f ca="1">VLOOKUP(CONCATENATE(A280),WorkList!A:D,4,FALSE)</f>
        <v>Pramendra</v>
      </c>
      <c r="I280" s="15">
        <f ca="1">VLOOKUP(CONCATENATE(A280),WorkList!A:E,5,FALSE)</f>
        <v>40388</v>
      </c>
      <c r="J280" s="49">
        <f ca="1">VLOOKUP(CONCATENATE(A280),WorkList!A:F,6,FALSE)</f>
        <v>2</v>
      </c>
      <c r="K280" s="49" t="str">
        <f ca="1">VLOOKUP(CONCATENATE(A280),WorkList!A:G,7,FALSE)</f>
        <v>Enhancement</v>
      </c>
      <c r="L280" s="7" t="s">
        <v>13</v>
      </c>
      <c r="M280" s="16">
        <v>40429</v>
      </c>
      <c r="N280" s="60">
        <f ca="1">VALUE(LEFT(C280))</f>
        <v>0</v>
      </c>
      <c r="O280" s="61">
        <f ca="1">INT(IF(N280&gt;0,1+MAX(N280*N280-(IF(D280="",TODAY()+(5-N280)*15,D280)-TODAY())/4,N280),IF(TODAY()-M280&gt;10,0,1)))</f>
        <v>0</v>
      </c>
      <c r="P280" s="1" t="str">
        <f ca="1">IF(ISNA(VLOOKUP(A280,Projects!B:B,1,FALSE)),"","Yes")</f>
        <v>Yes</v>
      </c>
    </row>
    <row r="281" spans="1:16">
      <c r="A281" s="4" t="s">
        <v>1048</v>
      </c>
      <c r="B281" s="5" t="s">
        <v>32</v>
      </c>
      <c r="C281" s="6" t="s">
        <v>48</v>
      </c>
      <c r="D281" s="11">
        <v>40438</v>
      </c>
      <c r="F281" s="13" t="str">
        <f ca="1">VLOOKUP(LEFT(A281,IF(ISERROR(FIND(".",A281)),LEN(A281)+1,FIND(".",A281))-1),WorkList!A:C,3,FALSE)</f>
        <v>Loan level data</v>
      </c>
      <c r="G281" s="14" t="str">
        <f ca="1">VLOOKUP(CONCATENATE(A281),WorkList!A:C,3,FALSE)</f>
        <v>LoanHandling: First release with just ALBA</v>
      </c>
      <c r="H281" s="13" t="str">
        <f ca="1">VLOOKUP(CONCATENATE(A281),WorkList!A:D,4,FALSE)</f>
        <v>Pramendra</v>
      </c>
      <c r="I281" s="15">
        <f ca="1">VLOOKUP(CONCATENATE(A281),WorkList!A:E,5,FALSE)</f>
        <v>40388</v>
      </c>
      <c r="J281" s="49">
        <f ca="1">VLOOKUP(CONCATENATE(A281),WorkList!A:F,6,FALSE)</f>
        <v>3</v>
      </c>
      <c r="K281" s="49" t="str">
        <f ca="1">VLOOKUP(CONCATENATE(A281),WorkList!A:G,7,FALSE)</f>
        <v>NewDevelopment</v>
      </c>
      <c r="L281" s="7" t="s">
        <v>13</v>
      </c>
      <c r="M281" s="16">
        <v>40455</v>
      </c>
      <c r="N281" s="60">
        <f ca="1">VALUE(LEFT(C281))</f>
        <v>0</v>
      </c>
      <c r="O281" s="61">
        <f ca="1">INT(IF(N281&gt;0,1+MAX(N281*N281-(IF(D281="",TODAY()+(5-N281)*15,D281)-TODAY())/4,N281),IF(TODAY()-M281&gt;10,0,1)))</f>
        <v>0</v>
      </c>
      <c r="P281" s="1" t="str">
        <f ca="1">IF(ISNA(VLOOKUP(A281,Projects!B:B,1,FALSE)),"","Yes")</f>
        <v>Yes</v>
      </c>
    </row>
    <row r="282" spans="1:16" ht="25.5">
      <c r="A282" s="4" t="s">
        <v>1049</v>
      </c>
      <c r="B282" s="5" t="s">
        <v>32</v>
      </c>
      <c r="C282" s="7" t="s">
        <v>10</v>
      </c>
      <c r="F282" s="13" t="str">
        <f ca="1">VLOOKUP(LEFT(A282,IF(ISERROR(FIND(".",A282)),LEN(A282)+1,FIND(".",A282))-1),WorkList!A:C,3,FALSE)</f>
        <v>Loan level data</v>
      </c>
      <c r="G282" s="14" t="str">
        <f ca="1">VLOOKUP(CONCATENATE(A282),WorkList!A:C,3,FALSE)</f>
        <v>LoanHandling: Modify each loader to conform to procedure.</v>
      </c>
      <c r="H282" s="13" t="str">
        <f ca="1">VLOOKUP(CONCATENATE(A282),WorkList!A:D,4,FALSE)</f>
        <v>Pramendra</v>
      </c>
      <c r="I282" s="15">
        <f ca="1">VLOOKUP(CONCATENATE(A282),WorkList!A:E,5,FALSE)</f>
        <v>40388</v>
      </c>
      <c r="J282" s="49">
        <f ca="1">VLOOKUP(CONCATENATE(A282),WorkList!A:F,6,FALSE)</f>
        <v>10</v>
      </c>
      <c r="K282" s="49" t="str">
        <f ca="1">VLOOKUP(CONCATENATE(A282),WorkList!A:G,7,FALSE)</f>
        <v>Enhancement</v>
      </c>
      <c r="L282" s="7" t="s">
        <v>5</v>
      </c>
      <c r="M282" s="16">
        <v>40568</v>
      </c>
      <c r="N282" s="60">
        <f ca="1">VALUE(LEFT(C282))</f>
        <v>3</v>
      </c>
      <c r="O282" s="61">
        <f ca="1">INT(IF(N282&gt;0,1+MAX(N282*N282-(IF(D282="",TODAY()+(5-N282)*15,D282)-TODAY())/4,N282),IF(TODAY()-M282&gt;10,0,1)))</f>
        <v>4</v>
      </c>
      <c r="P282" s="1" t="str">
        <f ca="1">IF(ISNA(VLOOKUP(A282,Projects!B:B,1,FALSE)),"","Yes")</f>
        <v>Yes</v>
      </c>
    </row>
    <row r="283" spans="1:16" ht="25.5">
      <c r="A283" s="4" t="s">
        <v>1384</v>
      </c>
      <c r="B283" s="5" t="s">
        <v>21</v>
      </c>
      <c r="C283" s="7" t="s">
        <v>197</v>
      </c>
      <c r="D283" s="11"/>
      <c r="F283" s="13" t="str">
        <f ca="1">VLOOKUP(LEFT(A283,IF(ISERROR(FIND(".",A283)),LEN(A283)+1,FIND(".",A283))-1),WorkList!A:C,3,FALSE)</f>
        <v>Loan level data</v>
      </c>
      <c r="G283" s="14" t="str">
        <f ca="1">VLOOKUP(CONCATENATE(A283),WorkList!A:C,3,FALSE)</f>
        <v>LoanHandling: Modify RMAC loader to use C1 Excel component</v>
      </c>
      <c r="H283" s="13" t="str">
        <f ca="1">VLOOKUP(CONCATENATE(A283),WorkList!A:D,4,FALSE)</f>
        <v>Neil</v>
      </c>
      <c r="I283" s="15">
        <f ca="1">VLOOKUP(CONCATENATE(A283),WorkList!A:E,5,FALSE)</f>
        <v>40388</v>
      </c>
      <c r="J283" s="49">
        <f ca="1">VLOOKUP(CONCATENATE(A283),WorkList!A:F,6,FALSE)</f>
        <v>3</v>
      </c>
      <c r="K283" s="49" t="str">
        <f ca="1">VLOOKUP(CONCATENATE(A283),WorkList!A:G,7,FALSE)</f>
        <v>NewDevelopment</v>
      </c>
      <c r="L283" s="7" t="s">
        <v>7</v>
      </c>
      <c r="M283" s="16">
        <v>40556</v>
      </c>
      <c r="N283" s="60">
        <f ca="1">VALUE(LEFT(C283))</f>
        <v>1</v>
      </c>
      <c r="O283" s="61">
        <f ca="1">INT(IF(N283&gt;0,1+MAX(N283*N283-(IF(D283="",TODAY()+(5-N283)*15,D283)-TODAY())/4,N283),IF(TODAY()-M283&gt;10,0,1)))</f>
        <v>2</v>
      </c>
      <c r="P283" s="1" t="str">
        <f ca="1">IF(ISNA(VLOOKUP(A283,Projects!B:B,1,FALSE)),"","Yes")</f>
        <v>Yes</v>
      </c>
    </row>
    <row r="284" spans="1:16">
      <c r="A284" s="4" t="s">
        <v>1385</v>
      </c>
      <c r="B284" s="5" t="s">
        <v>685</v>
      </c>
      <c r="C284" s="7" t="s">
        <v>48</v>
      </c>
      <c r="F284" s="13" t="str">
        <f ca="1">VLOOKUP(LEFT(A284,IF(ISERROR(FIND(".",A284)),LEN(A284)+1,FIND(".",A284))-1),WorkList!A:C,3,FALSE)</f>
        <v>Loan level data</v>
      </c>
      <c r="G284" s="14" t="str">
        <f ca="1">VLOOKUP(CONCATENATE(A284),WorkList!A:C,3,FALSE)</f>
        <v>LoanHandling: Team Review and incorporate comments</v>
      </c>
      <c r="H284" s="13" t="str">
        <f ca="1">VLOOKUP(CONCATENATE(A284),WorkList!A:D,4,FALSE)</f>
        <v>Neil</v>
      </c>
      <c r="I284" s="15">
        <f ca="1">VLOOKUP(CONCATENATE(A284),WorkList!A:E,5,FALSE)</f>
        <v>40388</v>
      </c>
      <c r="J284" s="49">
        <f ca="1">VLOOKUP(CONCATENATE(A284),WorkList!A:F,6,FALSE)</f>
        <v>3</v>
      </c>
      <c r="K284" s="49" t="str">
        <f ca="1">VLOOKUP(CONCATENATE(A284),WorkList!A:G,7,FALSE)</f>
        <v>NewDevelopment</v>
      </c>
      <c r="L284" s="7" t="s">
        <v>13</v>
      </c>
      <c r="M284" s="16">
        <v>40483</v>
      </c>
      <c r="N284" s="60">
        <f ca="1">VALUE(LEFT(C284))</f>
        <v>0</v>
      </c>
      <c r="O284" s="61">
        <f ca="1">INT(IF(N284&gt;0,1+MAX(N284*N284-(IF(D284="",TODAY()+(5-N284)*15,D284)-TODAY())/4,N284),IF(TODAY()-M284&gt;10,0,1)))</f>
        <v>0</v>
      </c>
      <c r="P284" s="1" t="str">
        <f ca="1">IF(ISNA(VLOOKUP(A284,Projects!B:B,1,FALSE)),"","Yes")</f>
        <v>Yes</v>
      </c>
    </row>
    <row r="285" spans="1:16">
      <c r="A285" s="4" t="s">
        <v>1386</v>
      </c>
      <c r="B285" s="5" t="s">
        <v>32</v>
      </c>
      <c r="C285" s="7" t="s">
        <v>10</v>
      </c>
      <c r="F285" s="13" t="str">
        <f ca="1">VLOOKUP(LEFT(A285,IF(ISERROR(FIND(".",A285)),LEN(A285)+1,FIND(".",A285))-1),WorkList!A:C,3,FALSE)</f>
        <v>Loan level data</v>
      </c>
      <c r="G285" s="14" t="str">
        <f ca="1">VLOOKUP(CONCATENATE(A285),WorkList!A:C,3,FALSE)</f>
        <v>LoanHandling: Full release for all loaders</v>
      </c>
      <c r="H285" s="13" t="str">
        <f ca="1">VLOOKUP(CONCATENATE(A285),WorkList!A:D,4,FALSE)</f>
        <v>Pramendra</v>
      </c>
      <c r="I285" s="15">
        <f ca="1">VLOOKUP(CONCATENATE(A285),WorkList!A:E,5,FALSE)</f>
        <v>40429</v>
      </c>
      <c r="J285" s="49">
        <f ca="1">VLOOKUP(CONCATENATE(A285),WorkList!A:F,6,FALSE)</f>
        <v>12</v>
      </c>
      <c r="K285" s="49" t="str">
        <f ca="1">VLOOKUP(CONCATENATE(A285),WorkList!A:G,7,FALSE)</f>
        <v>NewDevelopment</v>
      </c>
      <c r="L285" s="7" t="s">
        <v>5</v>
      </c>
      <c r="M285" s="16">
        <v>40483</v>
      </c>
      <c r="N285" s="60">
        <f ca="1">VALUE(LEFT(C285))</f>
        <v>3</v>
      </c>
      <c r="O285" s="61">
        <f ca="1">INT(IF(N285&gt;0,1+MAX(N285*N285-(IF(D285="",TODAY()+(5-N285)*15,D285)-TODAY())/4,N285),IF(TODAY()-M285&gt;10,0,1)))</f>
        <v>4</v>
      </c>
      <c r="P285" s="1" t="str">
        <f ca="1">IF(ISNA(VLOOKUP(A285,Projects!B:B,1,FALSE)),"","Yes")</f>
        <v>Yes</v>
      </c>
    </row>
    <row r="286" spans="1:16">
      <c r="A286" s="4" t="s">
        <v>1501</v>
      </c>
      <c r="B286" s="5" t="s">
        <v>11</v>
      </c>
      <c r="C286" s="7" t="s">
        <v>48</v>
      </c>
      <c r="F286" s="13" t="str">
        <f ca="1">VLOOKUP(LEFT(A286,IF(ISERROR(FIND(".",A286)),LEN(A286)+1,FIND(".",A286))-1),WorkList!A:C,3,FALSE)</f>
        <v>Loan level data</v>
      </c>
      <c r="G286" s="14" t="str">
        <f ca="1">VLOOKUP(CONCATENATE(A286),WorkList!A:C,3,FALSE)</f>
        <v>LoanHandling: RMAC loader change, review,release</v>
      </c>
      <c r="H286" s="13" t="str">
        <f ca="1">VLOOKUP(CONCATENATE(A286),WorkList!A:D,4,FALSE)</f>
        <v>Pramendra</v>
      </c>
      <c r="I286" s="15">
        <f ca="1">VLOOKUP(CONCATENATE(A286),WorkList!A:E,5,FALSE)</f>
        <v>40429</v>
      </c>
      <c r="J286" s="49">
        <f ca="1">VLOOKUP(CONCATENATE(A286),WorkList!A:F,6,FALSE)</f>
        <v>3</v>
      </c>
      <c r="K286" s="49" t="str">
        <f ca="1">VLOOKUP(CONCATENATE(A286),WorkList!A:G,7,FALSE)</f>
        <v>Maintenance</v>
      </c>
      <c r="L286" s="7" t="s">
        <v>13</v>
      </c>
      <c r="M286" s="16">
        <v>40483</v>
      </c>
      <c r="N286" s="60">
        <f ca="1">VALUE(LEFT(C286))</f>
        <v>0</v>
      </c>
      <c r="O286" s="61">
        <f ca="1">INT(IF(N286&gt;0,1+MAX(N286*N286-(IF(D286="",TODAY()+(5-N286)*15,D286)-TODAY())/4,N286),IF(TODAY()-M286&gt;10,0,1)))</f>
        <v>0</v>
      </c>
      <c r="P286" s="1" t="str">
        <f ca="1">IF(ISNA(VLOOKUP(A286,Projects!B:B,1,FALSE)),"","Yes")</f>
        <v>Yes</v>
      </c>
    </row>
    <row r="287" spans="1:16">
      <c r="A287" s="4" t="s">
        <v>1502</v>
      </c>
      <c r="B287" s="5" t="s">
        <v>21</v>
      </c>
      <c r="C287" s="7" t="s">
        <v>197</v>
      </c>
      <c r="F287" s="13" t="str">
        <f ca="1">VLOOKUP(LEFT(A287,IF(ISERROR(FIND(".",A287)),LEN(A287)+1,FIND(".",A287))-1),WorkList!A:C,3,FALSE)</f>
        <v>Loan level data</v>
      </c>
      <c r="G287" s="14" t="str">
        <f ca="1">VLOOKUP(CONCATENATE(A287),WorkList!A:C,3,FALSE)</f>
        <v>LoanHandling: ESAIL loader change, review,release</v>
      </c>
      <c r="H287" s="13" t="str">
        <f ca="1">VLOOKUP(CONCATENATE(A287),WorkList!A:D,4,FALSE)</f>
        <v>Pramendra</v>
      </c>
      <c r="I287" s="15">
        <f ca="1">VLOOKUP(CONCATENATE(A287),WorkList!A:E,5,FALSE)</f>
        <v>40429</v>
      </c>
      <c r="J287" s="49">
        <f ca="1">VLOOKUP(CONCATENATE(A287),WorkList!A:F,6,FALSE)</f>
        <v>3</v>
      </c>
      <c r="K287" s="49" t="str">
        <f ca="1">VLOOKUP(CONCATENATE(A287),WorkList!A:G,7,FALSE)</f>
        <v>Maintenance</v>
      </c>
      <c r="L287" s="7" t="s">
        <v>7</v>
      </c>
      <c r="M287" s="16">
        <v>40556</v>
      </c>
      <c r="N287" s="60">
        <f ca="1">VALUE(LEFT(C287))</f>
        <v>1</v>
      </c>
      <c r="O287" s="61">
        <f ca="1">INT(IF(N287&gt;0,1+MAX(N287*N287-(IF(D287="",TODAY()+(5-N287)*15,D287)-TODAY())/4,N287),IF(TODAY()-M287&gt;10,0,1)))</f>
        <v>2</v>
      </c>
      <c r="P287" s="1" t="str">
        <f ca="1">IF(ISNA(VLOOKUP(A287,Projects!B:B,1,FALSE)),"","Yes")</f>
        <v>Yes</v>
      </c>
    </row>
    <row r="288" spans="1:16">
      <c r="A288" s="4" t="s">
        <v>1772</v>
      </c>
      <c r="B288" s="5" t="s">
        <v>21</v>
      </c>
      <c r="C288" s="7" t="s">
        <v>38</v>
      </c>
      <c r="F288" s="13" t="str">
        <f ca="1">VLOOKUP(LEFT(A288,IF(ISERROR(FIND(".",A288)),LEN(A288)+1,FIND(".",A288))-1),WorkList!A:C,3,FALSE)</f>
        <v>Loan level data</v>
      </c>
      <c r="G288" s="14" t="str">
        <f ca="1">VLOOKUP(CONCATENATE(A288),WorkList!A:C,3,FALSE)</f>
        <v>Understand requirements</v>
      </c>
      <c r="H288" s="13" t="str">
        <f ca="1">VLOOKUP(CONCATENATE(A288),WorkList!A:D,4,FALSE)</f>
        <v>Danny</v>
      </c>
      <c r="I288" s="15">
        <f ca="1">VLOOKUP(CONCATENATE(A288),WorkList!A:E,5,FALSE)</f>
        <v>40521</v>
      </c>
      <c r="J288" s="49">
        <f ca="1">VLOOKUP(CONCATENATE(A288),WorkList!A:F,6,FALSE)</f>
        <v>1</v>
      </c>
      <c r="K288" s="49" t="str">
        <f ca="1">VLOOKUP(CONCATENATE(A288),WorkList!A:G,7,FALSE)</f>
        <v>Other</v>
      </c>
      <c r="L288" s="7" t="s">
        <v>7</v>
      </c>
      <c r="M288" s="16">
        <v>40246</v>
      </c>
      <c r="N288" s="60">
        <f ca="1">VALUE(LEFT(C288))</f>
        <v>2</v>
      </c>
      <c r="O288" s="61">
        <f ca="1">INT(IF(N288&gt;0,1+MAX(N288*N288-(IF(D288="",TODAY()+(5-N288)*15,D288)-TODAY())/4,N288),IF(TODAY()-M288&gt;10,0,1)))</f>
        <v>3</v>
      </c>
      <c r="P288" s="1" t="str">
        <f ca="1">IF(ISNA(VLOOKUP(A288,Projects!B:B,1,FALSE)),"","Yes")</f>
        <v/>
      </c>
    </row>
    <row r="289" spans="1:16">
      <c r="A289" s="4" t="s">
        <v>93</v>
      </c>
      <c r="B289" s="5" t="s">
        <v>32</v>
      </c>
      <c r="C289" s="6" t="s">
        <v>48</v>
      </c>
      <c r="D289" s="11"/>
      <c r="F289" s="13" t="str">
        <f ca="1">VLOOKUP(LEFT(A289,IF(ISERROR(FIND(".",A289)),LEN(A289)+1,FIND(".",A289))-1),WorkList!A:C,3,FALSE)</f>
        <v xml:space="preserve">Shared application components </v>
      </c>
      <c r="G289" s="14" t="str">
        <f ca="1">VLOOKUP(CONCATENATE(A289),WorkList!A:C,3,FALSE)</f>
        <v>Make first release of logging library</v>
      </c>
      <c r="H289" s="13" t="str">
        <f ca="1">VLOOKUP(CONCATENATE(A289),WorkList!A:D,4,FALSE)</f>
        <v>Neil</v>
      </c>
      <c r="I289" s="15">
        <f ca="1">VLOOKUP(CONCATENATE(A289),WorkList!A:E,5,FALSE)</f>
        <v>39911</v>
      </c>
      <c r="J289" s="49">
        <f ca="1">VLOOKUP(CONCATENATE(A289),WorkList!A:F,6,FALSE)</f>
        <v>0</v>
      </c>
      <c r="K289" s="49">
        <f ca="1">VLOOKUP(CONCATENATE(A289),WorkList!A:G,7,FALSE)</f>
        <v>0</v>
      </c>
      <c r="L289" s="7" t="s">
        <v>13</v>
      </c>
      <c r="M289" s="16">
        <v>39941</v>
      </c>
      <c r="N289" s="60">
        <f ca="1">VALUE(LEFT(C289))</f>
        <v>0</v>
      </c>
      <c r="O289" s="61">
        <f ca="1">INT(IF(N289&gt;0,1+MAX(N289*N289-(IF(D289="",TODAY()+(5-N289)*15,D289)-TODAY())/4,N289),IF(TODAY()-M289&gt;10,0,1)))</f>
        <v>0</v>
      </c>
      <c r="P289" s="1" t="str">
        <f ca="1">IF(ISNA(VLOOKUP(A289,Projects!B:B,1,FALSE)),"","Yes")</f>
        <v/>
      </c>
    </row>
    <row r="290" spans="1:16">
      <c r="A290" s="4" t="s">
        <v>94</v>
      </c>
      <c r="B290" s="5" t="s">
        <v>37</v>
      </c>
      <c r="C290" s="6" t="s">
        <v>48</v>
      </c>
      <c r="D290" s="11"/>
      <c r="F290" s="13" t="str">
        <f ca="1">VLOOKUP(LEFT(A290,IF(ISERROR(FIND(".",A290)),LEN(A290)+1,FIND(".",A290))-1),WorkList!A:C,3,FALSE)</f>
        <v xml:space="preserve">Shared application components </v>
      </c>
      <c r="G290" s="14" t="str">
        <f ca="1">VLOOKUP(CONCATENATE(A290),WorkList!A:C,3,FALSE)</f>
        <v>Add usage of Config library to logger library</v>
      </c>
      <c r="H290" s="13" t="str">
        <f ca="1">VLOOKUP(CONCATENATE(A290),WorkList!A:D,4,FALSE)</f>
        <v>Neil</v>
      </c>
      <c r="I290" s="15">
        <f ca="1">VLOOKUP(CONCATENATE(A290),WorkList!A:E,5,FALSE)</f>
        <v>39911</v>
      </c>
      <c r="J290" s="49">
        <f ca="1">VLOOKUP(CONCATENATE(A290),WorkList!A:F,6,FALSE)</f>
        <v>0</v>
      </c>
      <c r="K290" s="49">
        <f ca="1">VLOOKUP(CONCATENATE(A290),WorkList!A:G,7,FALSE)</f>
        <v>0</v>
      </c>
      <c r="L290" s="7" t="s">
        <v>13</v>
      </c>
      <c r="M290" s="16">
        <v>39924</v>
      </c>
      <c r="N290" s="60">
        <f ca="1">VALUE(LEFT(C290))</f>
        <v>0</v>
      </c>
      <c r="O290" s="61">
        <f ca="1">INT(IF(N290&gt;0,1+MAX(N290*N290-(IF(D290="",TODAY()+(5-N290)*15,D290)-TODAY())/4,N290),IF(TODAY()-M290&gt;10,0,1)))</f>
        <v>0</v>
      </c>
      <c r="P290" s="1" t="str">
        <f ca="1">IF(ISNA(VLOOKUP(A290,Projects!B:B,1,FALSE)),"","Yes")</f>
        <v/>
      </c>
    </row>
    <row r="291" spans="1:16">
      <c r="A291" s="4" t="s">
        <v>95</v>
      </c>
      <c r="B291" s="5" t="s">
        <v>37</v>
      </c>
      <c r="C291" s="6" t="s">
        <v>48</v>
      </c>
      <c r="D291" s="11"/>
      <c r="F291" s="13" t="str">
        <f ca="1">VLOOKUP(LEFT(A291,IF(ISERROR(FIND(".",A291)),LEN(A291)+1,FIND(".",A291))-1),WorkList!A:C,3,FALSE)</f>
        <v xml:space="preserve">Shared application components </v>
      </c>
      <c r="G291" s="14" t="str">
        <f ca="1">VLOOKUP(CONCATENATE(A291),WorkList!A:C,3,FALSE)</f>
        <v>Minor Improvements to Logging class</v>
      </c>
      <c r="H291" s="13" t="str">
        <f ca="1">VLOOKUP(CONCATENATE(A291),WorkList!A:D,4,FALSE)</f>
        <v>Neil</v>
      </c>
      <c r="I291" s="15">
        <f ca="1">VLOOKUP(CONCATENATE(A291),WorkList!A:E,5,FALSE)</f>
        <v>39926</v>
      </c>
      <c r="J291" s="49">
        <f ca="1">VLOOKUP(CONCATENATE(A291),WorkList!A:F,6,FALSE)</f>
        <v>0</v>
      </c>
      <c r="K291" s="49">
        <f ca="1">VLOOKUP(CONCATENATE(A291),WorkList!A:G,7,FALSE)</f>
        <v>0</v>
      </c>
      <c r="L291" s="7" t="s">
        <v>13</v>
      </c>
      <c r="M291" s="16">
        <v>39959</v>
      </c>
      <c r="N291" s="60">
        <f ca="1">VALUE(LEFT(C291))</f>
        <v>0</v>
      </c>
      <c r="O291" s="61">
        <f ca="1">INT(IF(N291&gt;0,1+MAX(N291*N291-(IF(D291="",TODAY()+(5-N291)*15,D291)-TODAY())/4,N291),IF(TODAY()-M291&gt;10,0,1)))</f>
        <v>0</v>
      </c>
      <c r="P291" s="1" t="str">
        <f ca="1">IF(ISNA(VLOOKUP(A291,Projects!B:B,1,FALSE)),"","Yes")</f>
        <v/>
      </c>
    </row>
    <row r="292" spans="1:16">
      <c r="A292" s="4" t="s">
        <v>284</v>
      </c>
      <c r="B292" s="5" t="s">
        <v>37</v>
      </c>
      <c r="C292" s="6" t="s">
        <v>48</v>
      </c>
      <c r="D292" s="11"/>
      <c r="F292" s="13" t="str">
        <f ca="1">VLOOKUP(LEFT(A292,IF(ISERROR(FIND(".",A292)),LEN(A292)+1,FIND(".",A292))-1),WorkList!A:C,3,FALSE)</f>
        <v xml:space="preserve">Shared application components </v>
      </c>
      <c r="G292" s="14" t="str">
        <f ca="1">VLOOKUP(CONCATENATE(A292),WorkList!A:C,3,FALSE)</f>
        <v>BUG - Log file limit</v>
      </c>
      <c r="H292" s="13" t="str">
        <f ca="1">VLOOKUP(CONCATENATE(A292),WorkList!A:D,4,FALSE)</f>
        <v>Pramendra</v>
      </c>
      <c r="I292" s="15">
        <f ca="1">VLOOKUP(CONCATENATE(A292),WorkList!A:E,5,FALSE)</f>
        <v>39981</v>
      </c>
      <c r="J292" s="49">
        <f ca="1">VLOOKUP(CONCATENATE(A292),WorkList!A:F,6,FALSE)</f>
        <v>0</v>
      </c>
      <c r="K292" s="49">
        <f ca="1">VLOOKUP(CONCATENATE(A292),WorkList!A:G,7,FALSE)</f>
        <v>0</v>
      </c>
      <c r="L292" s="7" t="s">
        <v>13</v>
      </c>
      <c r="M292" s="16">
        <v>39997</v>
      </c>
      <c r="N292" s="60">
        <f ca="1">VALUE(LEFT(C292))</f>
        <v>0</v>
      </c>
      <c r="O292" s="61">
        <f ca="1">INT(IF(N292&gt;0,1+MAX(N292*N292-(IF(D292="",TODAY()+(5-N292)*15,D292)-TODAY())/4,N292),IF(TODAY()-M292&gt;10,0,1)))</f>
        <v>0</v>
      </c>
      <c r="P292" s="1" t="str">
        <f ca="1">IF(ISNA(VLOOKUP(A292,Projects!B:B,1,FALSE)),"","Yes")</f>
        <v/>
      </c>
    </row>
    <row r="293" spans="1:16" ht="25.5">
      <c r="A293" s="4" t="s">
        <v>1055</v>
      </c>
      <c r="B293" s="5" t="s">
        <v>1159</v>
      </c>
      <c r="C293" s="7" t="s">
        <v>48</v>
      </c>
      <c r="D293" s="7">
        <v>40349</v>
      </c>
      <c r="F293" s="13" t="str">
        <f ca="1">VLOOKUP(LEFT(A293,IF(ISERROR(FIND(".",A293)),LEN(A293)+1,FIND(".",A293))-1),WorkList!A:C,3,FALSE)</f>
        <v xml:space="preserve">Shared application components </v>
      </c>
      <c r="G293" s="14" t="str">
        <f ca="1">VLOOKUP(CONCATENATE(A293),WorkList!A:C,3,FALSE)</f>
        <v>Make default format for DateTime in Logger to be 'dd-MMM-yyyy'</v>
      </c>
      <c r="H293" s="13" t="str">
        <f ca="1">VLOOKUP(CONCATENATE(A293),WorkList!A:D,4,FALSE)</f>
        <v>Neil</v>
      </c>
      <c r="I293" s="15">
        <f ca="1">VLOOKUP(CONCATENATE(A293),WorkList!A:E,5,FALSE)</f>
        <v>40283</v>
      </c>
      <c r="J293" s="49">
        <f ca="1">VLOOKUP(CONCATENATE(A293),WorkList!A:F,6,FALSE)</f>
        <v>1</v>
      </c>
      <c r="K293" s="49" t="str">
        <f ca="1">VLOOKUP(CONCATENATE(A293),WorkList!A:G,7,FALSE)</f>
        <v>Enhancement</v>
      </c>
      <c r="L293" s="7" t="s">
        <v>13</v>
      </c>
      <c r="M293" s="16">
        <v>40403</v>
      </c>
      <c r="N293" s="60">
        <f ca="1">VALUE(LEFT(C293))</f>
        <v>0</v>
      </c>
      <c r="O293" s="61">
        <f ca="1">INT(IF(N293&gt;0,1+MAX(N293*N293-(IF(D293="",TODAY()+(5-N293)*15,D293)-TODAY())/4,N293),IF(TODAY()-M293&gt;10,0,1)))</f>
        <v>0</v>
      </c>
      <c r="P293" s="1" t="str">
        <f ca="1">IF(ISNA(VLOOKUP(A293,Projects!B:B,1,FALSE)),"","Yes")</f>
        <v>Yes</v>
      </c>
    </row>
    <row r="294" spans="1:16">
      <c r="A294" s="4" t="s">
        <v>1329</v>
      </c>
      <c r="B294" s="5" t="s">
        <v>29</v>
      </c>
      <c r="C294" s="6" t="s">
        <v>48</v>
      </c>
      <c r="F294" s="13" t="str">
        <f ca="1">VLOOKUP(LEFT(A294,IF(ISERROR(FIND(".",A294)),LEN(A294)+1,FIND(".",A294))-1),WorkList!A:C,3,FALSE)</f>
        <v xml:space="preserve">Shared application components </v>
      </c>
      <c r="G294" s="14" t="str">
        <f ca="1">VLOOKUP(CONCATENATE(A294),WorkList!A:C,3,FALSE)</f>
        <v>PerformanceDataLib: Requirements</v>
      </c>
      <c r="H294" s="13" t="str">
        <f ca="1">VLOOKUP(CONCATENATE(A294),WorkList!A:D,4,FALSE)</f>
        <v>Ruth</v>
      </c>
      <c r="I294" s="15">
        <f ca="1">VLOOKUP(CONCATENATE(A294),WorkList!A:E,5,FALSE)</f>
        <v>40387</v>
      </c>
      <c r="J294" s="49">
        <f ca="1">VLOOKUP(CONCATENATE(A294),WorkList!A:F,6,FALSE)</f>
        <v>1</v>
      </c>
      <c r="K294" s="49" t="str">
        <f ca="1">VLOOKUP(CONCATENATE(A294),WorkList!A:G,7,FALSE)</f>
        <v>NewDevelopment</v>
      </c>
      <c r="L294" s="7" t="s">
        <v>13</v>
      </c>
      <c r="M294" s="16">
        <v>40361</v>
      </c>
      <c r="N294" s="60">
        <f ca="1">VALUE(LEFT(C294))</f>
        <v>0</v>
      </c>
      <c r="O294" s="61">
        <f ca="1">INT(IF(N294&gt;0,1+MAX(N294*N294-(IF(D294="",TODAY()+(5-N294)*15,D294)-TODAY())/4,N294),IF(TODAY()-M294&gt;10,0,1)))</f>
        <v>0</v>
      </c>
    </row>
    <row r="295" spans="1:16">
      <c r="A295" s="4" t="s">
        <v>1330</v>
      </c>
      <c r="B295" s="5" t="s">
        <v>29</v>
      </c>
      <c r="C295" s="6" t="s">
        <v>48</v>
      </c>
      <c r="D295" s="7">
        <v>40360</v>
      </c>
      <c r="F295" s="13" t="str">
        <f ca="1">VLOOKUP(LEFT(A295,IF(ISERROR(FIND(".",A295)),LEN(A295)+1,FIND(".",A295))-1),WorkList!A:C,3,FALSE)</f>
        <v xml:space="preserve">Shared application components </v>
      </c>
      <c r="G295" s="14" t="str">
        <f ca="1">VLOOKUP(CONCATENATE(A295),WorkList!A:C,3,FALSE)</f>
        <v>PerformanceDataLib: 1st Implementation</v>
      </c>
      <c r="H295" s="13" t="str">
        <f ca="1">VLOOKUP(CONCATENATE(A295),WorkList!A:D,4,FALSE)</f>
        <v>Ruth</v>
      </c>
      <c r="I295" s="15">
        <f ca="1">VLOOKUP(CONCATENATE(A295),WorkList!A:E,5,FALSE)</f>
        <v>40387</v>
      </c>
      <c r="J295" s="49">
        <f ca="1">VLOOKUP(CONCATENATE(A295),WorkList!A:F,6,FALSE)</f>
        <v>3</v>
      </c>
      <c r="K295" s="49" t="str">
        <f ca="1">VLOOKUP(CONCATENATE(A295),WorkList!A:G,7,FALSE)</f>
        <v>NewDevelopment</v>
      </c>
      <c r="L295" s="7" t="s">
        <v>13</v>
      </c>
      <c r="M295" s="16">
        <v>40407</v>
      </c>
      <c r="N295" s="60">
        <f ca="1">VALUE(LEFT(C295))</f>
        <v>0</v>
      </c>
      <c r="O295" s="61">
        <f ca="1">INT(IF(N295&gt;0,1+MAX(N295*N295-(IF(D295="",TODAY()+(5-N295)*15,D295)-TODAY())/4,N295),IF(TODAY()-M295&gt;10,0,1)))</f>
        <v>0</v>
      </c>
      <c r="P295" s="1" t="str">
        <f ca="1">IF(ISNA(VLOOKUP(A295,Projects!B:B,1,FALSE)),"","Yes")</f>
        <v/>
      </c>
    </row>
    <row r="296" spans="1:16">
      <c r="A296" s="4" t="s">
        <v>1331</v>
      </c>
      <c r="B296" s="5" t="s">
        <v>11</v>
      </c>
      <c r="C296" s="7" t="s">
        <v>48</v>
      </c>
      <c r="D296" s="7">
        <v>40364</v>
      </c>
      <c r="F296" s="13" t="str">
        <f ca="1">VLOOKUP(LEFT(A296,IF(ISERROR(FIND(".",A296)),LEN(A296)+1,FIND(".",A296))-1),WorkList!A:C,3,FALSE)</f>
        <v xml:space="preserve">Shared application components </v>
      </c>
      <c r="G296" s="14" t="str">
        <f ca="1">VLOOKUP(CONCATENATE(A296),WorkList!A:C,3,FALSE)</f>
        <v>PerformanceDataLib: Review</v>
      </c>
      <c r="H296" s="13" t="str">
        <f ca="1">VLOOKUP(CONCATENATE(A296),WorkList!A:D,4,FALSE)</f>
        <v>Ruth</v>
      </c>
      <c r="I296" s="15">
        <f ca="1">VLOOKUP(CONCATENATE(A296),WorkList!A:E,5,FALSE)</f>
        <v>40387</v>
      </c>
      <c r="J296" s="49">
        <f ca="1">VLOOKUP(CONCATENATE(A296),WorkList!A:F,6,FALSE)</f>
        <v>1</v>
      </c>
      <c r="K296" s="49" t="str">
        <f ca="1">VLOOKUP(CONCATENATE(A296),WorkList!A:G,7,FALSE)</f>
        <v>NewDevelopment</v>
      </c>
      <c r="L296" s="7" t="s">
        <v>13</v>
      </c>
      <c r="M296" s="16">
        <v>40414</v>
      </c>
      <c r="N296" s="60">
        <f ca="1">VALUE(LEFT(C296))</f>
        <v>0</v>
      </c>
      <c r="O296" s="61">
        <f ca="1">INT(IF(N296&gt;0,1+MAX(N296*N296-(IF(D296="",TODAY()+(5-N296)*15,D296)-TODAY())/4,N296),IF(TODAY()-M296&gt;10,0,1)))</f>
        <v>0</v>
      </c>
      <c r="P296" s="1" t="str">
        <f ca="1">IF(ISNA(VLOOKUP(A296,Projects!B:B,1,FALSE)),"","Yes")</f>
        <v/>
      </c>
    </row>
    <row r="297" spans="1:16">
      <c r="A297" s="4" t="s">
        <v>1350</v>
      </c>
      <c r="B297" s="5" t="s">
        <v>11</v>
      </c>
      <c r="C297" s="7" t="s">
        <v>48</v>
      </c>
      <c r="F297" s="13" t="str">
        <f ca="1">VLOOKUP(LEFT(A297,IF(ISERROR(FIND(".",A297)),LEN(A297)+1,FIND(".",A297))-1),WorkList!A:C,3,FALSE)</f>
        <v xml:space="preserve">Shared application components </v>
      </c>
      <c r="G297" s="14" t="str">
        <f ca="1">VLOOKUP(CONCATENATE(A297),WorkList!A:C,3,FALSE)</f>
        <v>Develop SVN client library</v>
      </c>
      <c r="H297" s="13" t="str">
        <f ca="1">VLOOKUP(CONCATENATE(A297),WorkList!A:D,4,FALSE)</f>
        <v>Neil</v>
      </c>
      <c r="I297" s="15">
        <f ca="1">VLOOKUP(CONCATENATE(A297),WorkList!A:E,5,FALSE)</f>
        <v>40365</v>
      </c>
      <c r="J297" s="49">
        <f ca="1">VLOOKUP(CONCATENATE(A297),WorkList!A:F,6,FALSE)</f>
        <v>2</v>
      </c>
      <c r="K297" s="49" t="str">
        <f ca="1">VLOOKUP(CONCATENATE(A297),WorkList!A:G,7,FALSE)</f>
        <v>NewDevelopment</v>
      </c>
      <c r="L297" s="7" t="s">
        <v>13</v>
      </c>
      <c r="M297" s="16">
        <v>40386</v>
      </c>
      <c r="N297" s="60">
        <f ca="1">VALUE(LEFT(C297))</f>
        <v>0</v>
      </c>
      <c r="O297" s="61">
        <f ca="1">INT(IF(N297&gt;0,1+MAX(N297*N297-(IF(D297="",TODAY()+(5-N297)*15,D297)-TODAY())/4,N297),IF(TODAY()-M297&gt;10,0,1)))</f>
        <v>0</v>
      </c>
      <c r="P297" s="1" t="str">
        <f ca="1">IF(ISNA(VLOOKUP(A297,Projects!B:B,1,FALSE)),"","Yes")</f>
        <v>Yes</v>
      </c>
    </row>
    <row r="298" spans="1:16">
      <c r="A298" s="4" t="s">
        <v>1878</v>
      </c>
      <c r="B298" s="5" t="s">
        <v>21</v>
      </c>
      <c r="C298" s="7" t="s">
        <v>10</v>
      </c>
      <c r="F298" s="13" t="str">
        <f ca="1">VLOOKUP(LEFT(A298,IF(ISERROR(FIND(".",A298)),LEN(A298)+1,FIND(".",A298))-1),WorkList!A:C,3,FALSE)</f>
        <v xml:space="preserve">Shared application components </v>
      </c>
      <c r="G298" s="14" t="str">
        <f ca="1">VLOOKUP(CONCATENATE(A298),WorkList!A:C,3,FALSE)</f>
        <v>Allow ABSConfig to save to DB</v>
      </c>
      <c r="H298" s="13" t="str">
        <f ca="1">VLOOKUP(CONCATENATE(A298),WorkList!A:D,4,FALSE)</f>
        <v>Neil</v>
      </c>
      <c r="I298" s="15">
        <f ca="1">VLOOKUP(CONCATENATE(A298),WorkList!A:E,5,FALSE)</f>
        <v>40563</v>
      </c>
      <c r="J298" s="49">
        <f ca="1">VLOOKUP(CONCATENATE(A298),WorkList!A:F,6,FALSE)</f>
        <v>2</v>
      </c>
      <c r="K298" s="49" t="str">
        <f ca="1">VLOOKUP(CONCATENATE(A298),WorkList!A:G,7,FALSE)</f>
        <v>NewDevelopment</v>
      </c>
      <c r="L298" s="7" t="s">
        <v>7</v>
      </c>
      <c r="M298" s="16">
        <v>40563</v>
      </c>
      <c r="N298" s="60">
        <f ca="1">VALUE(LEFT(C298))</f>
        <v>3</v>
      </c>
      <c r="O298" s="61">
        <f ca="1">INT(IF(N298&gt;0,1+MAX(N298*N298-(IF(D298="",TODAY()+(5-N298)*15,D298)-TODAY())/4,N298),IF(TODAY()-M298&gt;10,0,1)))</f>
        <v>4</v>
      </c>
      <c r="P298" s="1" t="str">
        <f ca="1">IF(ISNA(VLOOKUP(A298,Projects!B:B,1,FALSE)),"","Yes")</f>
        <v/>
      </c>
    </row>
    <row r="299" spans="1:16">
      <c r="A299" s="4" t="s">
        <v>1627</v>
      </c>
      <c r="B299" s="5" t="s">
        <v>21</v>
      </c>
      <c r="C299" s="7" t="s">
        <v>38</v>
      </c>
      <c r="F299" s="13" t="str">
        <f ca="1">VLOOKUP(LEFT(A299,IF(ISERROR(FIND(".",A299)),LEN(A299)+1,FIND(".",A299))-1),WorkList!A:C,3,FALSE)</f>
        <v xml:space="preserve">Shared application components </v>
      </c>
      <c r="G299" s="14" t="str">
        <f ca="1">VLOOKUP(CONCATENATE(A299),WorkList!A:C,3,FALSE)</f>
        <v>Modify to take svn login credentials from config</v>
      </c>
      <c r="H299" s="13" t="str">
        <f ca="1">VLOOKUP(CONCATENATE(A299),WorkList!A:D,4,FALSE)</f>
        <v>Neil</v>
      </c>
      <c r="I299" s="15">
        <f ca="1">VLOOKUP(CONCATENATE(A299),WorkList!A:E,5,FALSE)</f>
        <v>40477</v>
      </c>
      <c r="J299" s="49">
        <f ca="1">VLOOKUP(CONCATENATE(A299),WorkList!A:F,6,FALSE)</f>
        <v>1</v>
      </c>
      <c r="K299" s="49" t="str">
        <f ca="1">VLOOKUP(CONCATENATE(A299),WorkList!A:G,7,FALSE)</f>
        <v>Enhancement</v>
      </c>
      <c r="L299" s="7" t="s">
        <v>7</v>
      </c>
      <c r="M299" s="16">
        <v>40477</v>
      </c>
      <c r="N299" s="60">
        <f ca="1">VALUE(LEFT(C299))</f>
        <v>2</v>
      </c>
      <c r="O299" s="61">
        <f ca="1">INT(IF(N299&gt;0,1+MAX(N299*N299-(IF(D299="",TODAY()+(5-N299)*15,D299)-TODAY())/4,N299),IF(TODAY()-M299&gt;10,0,1)))</f>
        <v>3</v>
      </c>
      <c r="P299" s="1" t="str">
        <f ca="1">IF(ISNA(VLOOKUP(A299,Projects!B:B,1,FALSE)),"","Yes")</f>
        <v/>
      </c>
    </row>
    <row r="300" spans="1:16" ht="25.5">
      <c r="A300" s="4" t="s">
        <v>1669</v>
      </c>
      <c r="B300" s="5" t="s">
        <v>21</v>
      </c>
      <c r="C300" s="7" t="s">
        <v>197</v>
      </c>
      <c r="F300" s="13" t="str">
        <f ca="1">VLOOKUP(LEFT(A300,IF(ISERROR(FIND(".",A300)),LEN(A300)+1,FIND(".",A300))-1),WorkList!A:C,3,FALSE)</f>
        <v xml:space="preserve">Shared application components </v>
      </c>
      <c r="G300" s="14" t="str">
        <f ca="1">VLOOKUP(CONCATENATE(A300),WorkList!A:C,3,FALSE)</f>
        <v>Move Fingal functions in Common.Utilities to Fingal Wrapper</v>
      </c>
      <c r="H300" s="13" t="str">
        <f ca="1">VLOOKUP(CONCATENATE(A300),WorkList!A:D,4,FALSE)</f>
        <v>Neil</v>
      </c>
      <c r="I300" s="15">
        <f ca="1">VLOOKUP(CONCATENATE(A300),WorkList!A:E,5,FALSE)</f>
        <v>40484</v>
      </c>
      <c r="J300" s="49">
        <f ca="1">VLOOKUP(CONCATENATE(A300),WorkList!A:F,6,FALSE)</f>
        <v>0.5</v>
      </c>
      <c r="K300" s="49" t="str">
        <f ca="1">VLOOKUP(CONCATENATE(A300),WorkList!A:G,7,FALSE)</f>
        <v>Enhancement</v>
      </c>
      <c r="L300" s="7" t="s">
        <v>7</v>
      </c>
      <c r="M300" s="16">
        <v>40484</v>
      </c>
      <c r="N300" s="60">
        <f ca="1">VALUE(LEFT(C300))</f>
        <v>1</v>
      </c>
      <c r="O300" s="61">
        <f ca="1">INT(IF(N300&gt;0,1+MAX(N300*N300-(IF(D300="",TODAY()+(5-N300)*15,D300)-TODAY())/4,N300),IF(TODAY()-M300&gt;10,0,1)))</f>
        <v>2</v>
      </c>
      <c r="P300" s="1" t="str">
        <f ca="1">IF(ISNA(VLOOKUP(A300,Projects!B:B,1,FALSE)),"","Yes")</f>
        <v/>
      </c>
    </row>
    <row r="301" spans="1:16" ht="25.5">
      <c r="A301" s="4" t="s">
        <v>1671</v>
      </c>
      <c r="B301" s="5" t="s">
        <v>11</v>
      </c>
      <c r="C301" s="7" t="s">
        <v>48</v>
      </c>
      <c r="F301" s="13" t="str">
        <f ca="1">VLOOKUP(LEFT(A301,IF(ISERROR(FIND(".",A301)),LEN(A301)+1,FIND(".",A301))-1),WorkList!A:C,3,FALSE)</f>
        <v xml:space="preserve">Shared application components </v>
      </c>
      <c r="G301" s="14" t="str">
        <f ca="1">VLOOKUP(CONCATENATE(A301),WorkList!A:C,3,FALSE)</f>
        <v>Remove exception class 'ABSFingalProxyWrapperException'</v>
      </c>
      <c r="H301" s="13" t="str">
        <f ca="1">VLOOKUP(CONCATENATE(A301),WorkList!A:D,4,FALSE)</f>
        <v>Neil</v>
      </c>
      <c r="I301" s="15">
        <f ca="1">VLOOKUP(CONCATENATE(A301),WorkList!A:E,5,FALSE)</f>
        <v>40484</v>
      </c>
      <c r="J301" s="49">
        <f ca="1">VLOOKUP(CONCATENATE(A301),WorkList!A:F,6,FALSE)</f>
        <v>0.5</v>
      </c>
      <c r="K301" s="49" t="str">
        <f ca="1">VLOOKUP(CONCATENATE(A301),WorkList!A:G,7,FALSE)</f>
        <v>Enhancement</v>
      </c>
      <c r="L301" s="7" t="s">
        <v>13</v>
      </c>
      <c r="M301" s="16">
        <v>40514</v>
      </c>
      <c r="N301" s="60">
        <f ca="1">VALUE(LEFT(C301))</f>
        <v>0</v>
      </c>
      <c r="O301" s="61">
        <f ca="1">INT(IF(N301&gt;0,1+MAX(N301*N301-(IF(D301="",TODAY()+(5-N301)*15,D301)-TODAY())/4,N301),IF(TODAY()-M301&gt;10,0,1)))</f>
        <v>0</v>
      </c>
      <c r="P301" s="1" t="str">
        <f ca="1">IF(ISNA(VLOOKUP(A301,Projects!B:B,1,FALSE)),"","Yes")</f>
        <v/>
      </c>
    </row>
    <row r="302" spans="1:16">
      <c r="A302" s="4" t="s">
        <v>1672</v>
      </c>
      <c r="B302" s="5" t="s">
        <v>21</v>
      </c>
      <c r="C302" s="7" t="s">
        <v>197</v>
      </c>
      <c r="F302" s="13" t="str">
        <f ca="1">VLOOKUP(LEFT(A302,IF(ISERROR(FIND(".",A302)),LEN(A302)+1,FIND(".",A302))-1),WorkList!A:C,3,FALSE)</f>
        <v xml:space="preserve">Shared application components </v>
      </c>
      <c r="G302" s="14" t="str">
        <f ca="1">VLOOKUP(CONCATENATE(A302),WorkList!A:C,3,FALSE)</f>
        <v>Consider save Fingal Market to our DB rather than to file.</v>
      </c>
      <c r="H302" s="13" t="str">
        <f ca="1">VLOOKUP(CONCATENATE(A302),WorkList!A:D,4,FALSE)</f>
        <v>Ruth</v>
      </c>
      <c r="I302" s="15">
        <f ca="1">VLOOKUP(CONCATENATE(A302),WorkList!A:E,5,FALSE)</f>
        <v>40484</v>
      </c>
      <c r="J302" s="49">
        <f ca="1">VLOOKUP(CONCATENATE(A302),WorkList!A:F,6,FALSE)</f>
        <v>2</v>
      </c>
      <c r="K302" s="49" t="str">
        <f ca="1">VLOOKUP(CONCATENATE(A302),WorkList!A:G,7,FALSE)</f>
        <v>Enhancement</v>
      </c>
      <c r="L302" s="7" t="s">
        <v>7</v>
      </c>
      <c r="M302" s="16">
        <v>40484</v>
      </c>
      <c r="N302" s="60">
        <f ca="1">VALUE(LEFT(C302))</f>
        <v>1</v>
      </c>
      <c r="O302" s="61">
        <f ca="1">INT(IF(N302&gt;0,1+MAX(N302*N302-(IF(D302="",TODAY()+(5-N302)*15,D302)-TODAY())/4,N302),IF(TODAY()-M302&gt;10,0,1)))</f>
        <v>2</v>
      </c>
      <c r="P302" s="1" t="str">
        <f ca="1">IF(ISNA(VLOOKUP(A302,Projects!B:B,1,FALSE)),"","Yes")</f>
        <v/>
      </c>
    </row>
    <row r="303" spans="1:16">
      <c r="A303" s="4" t="s">
        <v>1675</v>
      </c>
      <c r="B303" s="5" t="s">
        <v>21</v>
      </c>
      <c r="C303" s="7" t="s">
        <v>197</v>
      </c>
      <c r="F303" s="13" t="str">
        <f ca="1">VLOOKUP(LEFT(A303,IF(ISERROR(FIND(".",A303)),LEN(A303)+1,FIND(".",A303))-1),WorkList!A:C,3,FALSE)</f>
        <v xml:space="preserve">Shared application components </v>
      </c>
      <c r="G303" s="14" t="str">
        <f ca="1">VLOOKUP(CONCATENATE(A303),WorkList!A:C,3,FALSE)</f>
        <v>Consider using 'new' Fingal .Net API.</v>
      </c>
      <c r="H303" s="13" t="str">
        <f ca="1">VLOOKUP(CONCATENATE(A303),WorkList!A:D,4,FALSE)</f>
        <v>Ruth</v>
      </c>
      <c r="I303" s="15">
        <f ca="1">VLOOKUP(CONCATENATE(A303),WorkList!A:E,5,FALSE)</f>
        <v>40484</v>
      </c>
      <c r="J303" s="49">
        <f ca="1">VLOOKUP(CONCATENATE(A303),WorkList!A:F,6,FALSE)</f>
        <v>3</v>
      </c>
      <c r="K303" s="49" t="str">
        <f ca="1">VLOOKUP(CONCATENATE(A303),WorkList!A:G,7,FALSE)</f>
        <v>Enhancement</v>
      </c>
      <c r="L303" s="7" t="s">
        <v>7</v>
      </c>
      <c r="M303" s="16">
        <v>40484</v>
      </c>
      <c r="N303" s="60">
        <f ca="1">VALUE(LEFT(C303))</f>
        <v>1</v>
      </c>
      <c r="O303" s="61">
        <f ca="1">INT(IF(N303&gt;0,1+MAX(N303*N303-(IF(D303="",TODAY()+(5-N303)*15,D303)-TODAY())/4,N303),IF(TODAY()-M303&gt;10,0,1)))</f>
        <v>2</v>
      </c>
      <c r="P303" s="1" t="str">
        <f ca="1">IF(ISNA(VLOOKUP(A303,Projects!B:B,1,FALSE)),"","Yes")</f>
        <v/>
      </c>
    </row>
    <row r="304" spans="1:16" ht="25.5">
      <c r="A304" s="4" t="s">
        <v>1677</v>
      </c>
      <c r="B304" s="5" t="s">
        <v>29</v>
      </c>
      <c r="C304" s="4" t="s">
        <v>12</v>
      </c>
      <c r="F304" s="13" t="str">
        <f ca="1">VLOOKUP(LEFT(A304,IF(ISERROR(FIND(".",A304)),LEN(A304)+1,FIND(".",A304))-1),WorkList!A:C,3,FALSE)</f>
        <v xml:space="preserve">Shared application components </v>
      </c>
      <c r="G304" s="14" t="str">
        <f ca="1">VLOOKUP(CONCATENATE(A304),WorkList!A:C,3,FALSE)</f>
        <v>Add 'UnitTest' for FingalLoader project for CodeBaseChecker</v>
      </c>
      <c r="H304" s="13" t="str">
        <f ca="1">VLOOKUP(CONCATENATE(A304),WorkList!A:D,4,FALSE)</f>
        <v>Neil</v>
      </c>
      <c r="I304" s="15">
        <f ca="1">VLOOKUP(CONCATENATE(A304),WorkList!A:E,5,FALSE)</f>
        <v>40494</v>
      </c>
      <c r="J304" s="49">
        <f ca="1">VLOOKUP(CONCATENATE(A304),WorkList!A:F,6,FALSE)</f>
        <v>1</v>
      </c>
      <c r="K304" s="49" t="str">
        <f ca="1">VLOOKUP(CONCATENATE(A304),WorkList!A:G,7,FALSE)</f>
        <v>NewDevelopment</v>
      </c>
      <c r="L304" s="7" t="s">
        <v>7</v>
      </c>
      <c r="M304" s="16">
        <v>40505</v>
      </c>
      <c r="N304" s="60">
        <f ca="1">VALUE(LEFT(C304))</f>
        <v>4</v>
      </c>
      <c r="O304" s="61">
        <f ca="1">INT(IF(N304&gt;0,1+MAX(N304*N304-(IF(D304="",TODAY()+(5-N304)*15,D304)-TODAY())/4,N304),IF(TODAY()-M304&gt;10,0,1)))</f>
        <v>13</v>
      </c>
      <c r="P304" s="1" t="str">
        <f ca="1">IF(ISNA(VLOOKUP(A304,Projects!B:B,1,FALSE)),"","Yes")</f>
        <v/>
      </c>
    </row>
    <row r="305" spans="1:16" ht="25.5">
      <c r="A305" s="4" t="s">
        <v>1725</v>
      </c>
      <c r="B305" s="5" t="s">
        <v>29</v>
      </c>
      <c r="C305" s="7" t="s">
        <v>12</v>
      </c>
      <c r="F305" s="13" t="str">
        <f ca="1">VLOOKUP(LEFT(A305,IF(ISERROR(FIND(".",A305)),LEN(A305)+1,FIND(".",A305))-1),WorkList!A:C,3,FALSE)</f>
        <v xml:space="preserve">Shared application components </v>
      </c>
      <c r="G305" s="14" t="str">
        <f ca="1">VLOOKUP(CONCATENATE(A305),WorkList!A:C,3,FALSE)</f>
        <v>Modify Fingal Market File name for date format 'YYYYMMDD'</v>
      </c>
      <c r="H305" s="13" t="str">
        <f ca="1">VLOOKUP(CONCATENATE(A305),WorkList!A:D,4,FALSE)</f>
        <v>Neil</v>
      </c>
      <c r="I305" s="15">
        <f ca="1">VLOOKUP(CONCATENATE(A305),WorkList!A:E,5,FALSE)</f>
        <v>40513</v>
      </c>
      <c r="J305" s="49">
        <f ca="1">VLOOKUP(CONCATENATE(A305),WorkList!A:F,6,FALSE)</f>
        <v>1</v>
      </c>
      <c r="K305" s="49" t="str">
        <f ca="1">VLOOKUP(CONCATENATE(A305),WorkList!A:G,7,FALSE)</f>
        <v>Enhancement</v>
      </c>
      <c r="L305" s="7" t="s">
        <v>7</v>
      </c>
      <c r="M305" s="16">
        <v>40246</v>
      </c>
      <c r="N305" s="60">
        <f ca="1">VALUE(LEFT(C305))</f>
        <v>4</v>
      </c>
      <c r="O305" s="61">
        <f ca="1">INT(IF(N305&gt;0,1+MAX(N305*N305-(IF(D305="",TODAY()+(5-N305)*15,D305)-TODAY())/4,N305),IF(TODAY()-M305&gt;10,0,1)))</f>
        <v>13</v>
      </c>
      <c r="P305" s="1" t="str">
        <f ca="1">IF(ISNA(VLOOKUP(A305,Projects!B:B,1,FALSE)),"","Yes")</f>
        <v/>
      </c>
    </row>
    <row r="306" spans="1:16" ht="25.5">
      <c r="A306" s="4" t="s">
        <v>1733</v>
      </c>
      <c r="B306" s="5" t="s">
        <v>32</v>
      </c>
      <c r="C306" s="7" t="s">
        <v>38</v>
      </c>
      <c r="F306" s="13" t="str">
        <f ca="1">VLOOKUP(LEFT(A306,IF(ISERROR(FIND(".",A306)),LEN(A306)+1,FIND(".",A306))-1),WorkList!A:C,3,FALSE)</f>
        <v xml:space="preserve">Shared application components </v>
      </c>
      <c r="G306" s="14" t="str">
        <f ca="1">VLOOKUP(CONCATENATE(A306),WorkList!A:C,3,FALSE)</f>
        <v>Change Fingal wrapper interface so that it does not return any values of type 'object'</v>
      </c>
      <c r="H306" s="13" t="str">
        <f ca="1">VLOOKUP(CONCATENATE(A306),WorkList!A:D,4,FALSE)</f>
        <v>Neil</v>
      </c>
      <c r="I306" s="15">
        <f ca="1">VLOOKUP(CONCATENATE(A306),WorkList!A:E,5,FALSE)</f>
        <v>40514</v>
      </c>
      <c r="J306" s="49">
        <f ca="1">VLOOKUP(CONCATENATE(A306),WorkList!A:F,6,FALSE)</f>
        <v>1</v>
      </c>
      <c r="K306" s="49" t="str">
        <f ca="1">VLOOKUP(CONCATENATE(A306),WorkList!A:G,7,FALSE)</f>
        <v>Infrastructure</v>
      </c>
      <c r="L306" s="7" t="s">
        <v>7</v>
      </c>
      <c r="M306" s="16">
        <v>40568</v>
      </c>
      <c r="N306" s="60">
        <f ca="1">VALUE(LEFT(C306))</f>
        <v>2</v>
      </c>
      <c r="O306" s="61">
        <f ca="1">INT(IF(N306&gt;0,1+MAX(N306*N306-(IF(D306="",TODAY()+(5-N306)*15,D306)-TODAY())/4,N306),IF(TODAY()-M306&gt;10,0,1)))</f>
        <v>3</v>
      </c>
    </row>
    <row r="307" spans="1:16">
      <c r="A307" s="4" t="s">
        <v>1910</v>
      </c>
      <c r="B307" s="5" t="s">
        <v>21</v>
      </c>
      <c r="C307" s="7" t="s">
        <v>10</v>
      </c>
      <c r="F307" s="13" t="str">
        <f ca="1">VLOOKUP(LEFT(A307,IF(ISERROR(FIND(".",A307)),LEN(A307)+1,FIND(".",A307))-1),WorkList!A:C,3,FALSE)</f>
        <v xml:space="preserve">Shared application components </v>
      </c>
      <c r="G307" s="14" t="str">
        <f ca="1">VLOOKUP(CONCATENATE(A307),WorkList!A:C,3,FALSE)</f>
        <v>Make BBS library retry is it fails</v>
      </c>
      <c r="H307" s="13" t="str">
        <f ca="1">VLOOKUP(CONCATENATE(A307),WorkList!A:D,4,FALSE)</f>
        <v>Neil</v>
      </c>
      <c r="I307" s="15">
        <f ca="1">VLOOKUP(CONCATENATE(A307),WorkList!A:E,5,FALSE)</f>
        <v>40589</v>
      </c>
      <c r="J307" s="49">
        <f ca="1">VLOOKUP(CONCATENATE(A307),WorkList!A:F,6,FALSE)</f>
        <v>1</v>
      </c>
      <c r="K307" s="49" t="str">
        <f ca="1">VLOOKUP(CONCATENATE(A307),WorkList!A:G,7,FALSE)</f>
        <v>Maintenance</v>
      </c>
      <c r="L307" s="7" t="s">
        <v>7</v>
      </c>
      <c r="M307" s="16">
        <v>40589</v>
      </c>
      <c r="N307" s="60">
        <f ca="1">VALUE(LEFT(C307))</f>
        <v>3</v>
      </c>
      <c r="O307" s="61">
        <f ca="1">INT(IF(N307&gt;0,1+MAX(N307*N307-(IF(D307="",TODAY()+(5-N307)*15,D307)-TODAY())/4,N307),IF(TODAY()-M307&gt;10,0,1)))</f>
        <v>4</v>
      </c>
      <c r="P307" s="1" t="str">
        <f ca="1">IF(ISNA(VLOOKUP(A307,Projects!B:B,1,FALSE)),"","Yes")</f>
        <v/>
      </c>
    </row>
    <row r="308" spans="1:16">
      <c r="A308" s="4" t="s">
        <v>97</v>
      </c>
      <c r="B308" s="5" t="s">
        <v>37</v>
      </c>
      <c r="C308" s="6" t="s">
        <v>48</v>
      </c>
      <c r="D308" s="11"/>
      <c r="F308" s="13" t="str">
        <f ca="1">VLOOKUP(LEFT(A308,IF(ISERROR(FIND(".",A308)),LEN(A308)+1,FIND(".",A308))-1),WorkList!A:C,3,FALSE)</f>
        <v xml:space="preserve">Shared application components </v>
      </c>
      <c r="G308" s="14" t="str">
        <f ca="1">VLOOKUP(CONCATENATE(A308),WorkList!A:C,3,FALSE)</f>
        <v>First Release of Config Library</v>
      </c>
      <c r="H308" s="13" t="str">
        <f ca="1">VLOOKUP(CONCATENATE(A308),WorkList!A:D,4,FALSE)</f>
        <v>Neil</v>
      </c>
      <c r="I308" s="15">
        <f ca="1">VLOOKUP(CONCATENATE(A308),WorkList!A:E,5,FALSE)</f>
        <v>39917</v>
      </c>
      <c r="J308" s="49">
        <f ca="1">VLOOKUP(CONCATENATE(A308),WorkList!A:F,6,FALSE)</f>
        <v>0</v>
      </c>
      <c r="K308" s="49">
        <f ca="1">VLOOKUP(CONCATENATE(A308),WorkList!A:G,7,FALSE)</f>
        <v>0</v>
      </c>
      <c r="L308" s="7" t="s">
        <v>13</v>
      </c>
      <c r="M308" s="16">
        <v>39924</v>
      </c>
      <c r="N308" s="60">
        <f ca="1">VALUE(LEFT(C308))</f>
        <v>0</v>
      </c>
      <c r="O308" s="61">
        <f ca="1">INT(IF(N308&gt;0,1+MAX(N308*N308-(IF(D308="",TODAY()+(5-N308)*15,D308)-TODAY())/4,N308),IF(TODAY()-M308&gt;10,0,1)))</f>
        <v>0</v>
      </c>
      <c r="P308" s="1" t="str">
        <f ca="1">IF(ISNA(VLOOKUP(A308,Projects!B:B,1,FALSE)),"","Yes")</f>
        <v/>
      </c>
    </row>
    <row r="309" spans="1:16">
      <c r="A309" s="4" t="s">
        <v>98</v>
      </c>
      <c r="B309" s="5" t="s">
        <v>37</v>
      </c>
      <c r="C309" s="6" t="s">
        <v>48</v>
      </c>
      <c r="D309" s="11"/>
      <c r="F309" s="13" t="str">
        <f ca="1">VLOOKUP(LEFT(A309,IF(ISERROR(FIND(".",A309)),LEN(A309)+1,FIND(".",A309))-1),WorkList!A:C,3,FALSE)</f>
        <v xml:space="preserve">Shared application components </v>
      </c>
      <c r="G309" s="14" t="str">
        <f ca="1">VLOOKUP(CONCATENATE(A309),WorkList!A:C,3,FALSE)</f>
        <v>GUI to manage config data</v>
      </c>
      <c r="H309" s="13" t="str">
        <f ca="1">VLOOKUP(CONCATENATE(A309),WorkList!A:D,4,FALSE)</f>
        <v>Neil</v>
      </c>
      <c r="I309" s="15">
        <f ca="1">VLOOKUP(CONCATENATE(A309),WorkList!A:E,5,FALSE)</f>
        <v>39924</v>
      </c>
      <c r="J309" s="49">
        <f ca="1">VLOOKUP(CONCATENATE(A309),WorkList!A:F,6,FALSE)</f>
        <v>0</v>
      </c>
      <c r="K309" s="49">
        <f ca="1">VLOOKUP(CONCATENATE(A309),WorkList!A:G,7,FALSE)</f>
        <v>0</v>
      </c>
      <c r="L309" s="7" t="s">
        <v>13</v>
      </c>
      <c r="M309" s="16">
        <v>40031</v>
      </c>
      <c r="N309" s="60">
        <f ca="1">VALUE(LEFT(C309))</f>
        <v>0</v>
      </c>
      <c r="O309" s="61">
        <f ca="1">INT(IF(N309&gt;0,1+MAX(N309*N309-(IF(D309="",TODAY()+(5-N309)*15,D309)-TODAY())/4,N309),IF(TODAY()-M309&gt;10,0,1)))</f>
        <v>0</v>
      </c>
      <c r="P309" s="1" t="str">
        <f ca="1">IF(ISNA(VLOOKUP(A309,Projects!B:B,1,FALSE)),"","Yes")</f>
        <v/>
      </c>
    </row>
    <row r="310" spans="1:16">
      <c r="A310" s="4" t="s">
        <v>393</v>
      </c>
      <c r="B310" s="5" t="s">
        <v>21</v>
      </c>
      <c r="C310" s="6" t="s">
        <v>197</v>
      </c>
      <c r="D310" s="11"/>
      <c r="F310" s="13" t="str">
        <f ca="1">VLOOKUP(LEFT(A310,IF(ISERROR(FIND(".",A310)),LEN(A310)+1,FIND(".",A310))-1),WorkList!A:C,3,FALSE)</f>
        <v xml:space="preserve">Shared application components </v>
      </c>
      <c r="G310" s="14" t="str">
        <f ca="1">VLOOKUP(CONCATENATE(A310),WorkList!A:C,3,FALSE)</f>
        <v>Update config GUI for comments</v>
      </c>
      <c r="H310" s="13" t="str">
        <f ca="1">VLOOKUP(CONCATENATE(A310),WorkList!A:D,4,FALSE)</f>
        <v>Neil</v>
      </c>
      <c r="I310" s="15">
        <f ca="1">VLOOKUP(CONCATENATE(A310),WorkList!A:E,5,FALSE)</f>
        <v>40031</v>
      </c>
      <c r="J310" s="49">
        <f ca="1">VLOOKUP(CONCATENATE(A310),WorkList!A:F,6,FALSE)</f>
        <v>3</v>
      </c>
      <c r="K310" s="49" t="str">
        <f ca="1">VLOOKUP(CONCATENATE(A310),WorkList!A:G,7,FALSE)</f>
        <v>NewDevelopment</v>
      </c>
      <c r="L310" s="7" t="s">
        <v>7</v>
      </c>
      <c r="M310" s="16">
        <v>40283</v>
      </c>
      <c r="N310" s="60">
        <f ca="1">VALUE(LEFT(C310))</f>
        <v>1</v>
      </c>
      <c r="O310" s="61">
        <f ca="1">INT(IF(N310&gt;0,1+MAX(N310*N310-(IF(D310="",TODAY()+(5-N310)*15,D310)-TODAY())/4,N310),IF(TODAY()-M310&gt;10,0,1)))</f>
        <v>2</v>
      </c>
      <c r="P310" s="1" t="str">
        <f ca="1">IF(ISNA(VLOOKUP(A310,Projects!B:B,1,FALSE)),"","Yes")</f>
        <v/>
      </c>
    </row>
    <row r="311" spans="1:16">
      <c r="A311" s="4" t="s">
        <v>100</v>
      </c>
      <c r="B311" s="5" t="s">
        <v>29</v>
      </c>
      <c r="C311" s="6" t="s">
        <v>48</v>
      </c>
      <c r="D311" s="11"/>
      <c r="F311" s="13" t="str">
        <f ca="1">VLOOKUP(LEFT(A311,IF(ISERROR(FIND(".",A311)),LEN(A311)+1,FIND(".",A311))-1),WorkList!A:C,3,FALSE)</f>
        <v xml:space="preserve">Shared application components </v>
      </c>
      <c r="G311" s="14" t="str">
        <f ca="1">VLOOKUP(CONCATENATE(A311),WorkList!A:C,3,FALSE)</f>
        <v>Make first release of Database library</v>
      </c>
      <c r="H311" s="13" t="str">
        <f ca="1">VLOOKUP(CONCATENATE(A311),WorkList!A:D,4,FALSE)</f>
        <v>Neil</v>
      </c>
      <c r="I311" s="15">
        <f ca="1">VLOOKUP(CONCATENATE(A311),WorkList!A:E,5,FALSE)</f>
        <v>39911</v>
      </c>
      <c r="J311" s="49">
        <f ca="1">VLOOKUP(CONCATENATE(A311),WorkList!A:F,6,FALSE)</f>
        <v>0</v>
      </c>
      <c r="K311" s="49">
        <f ca="1">VLOOKUP(CONCATENATE(A311),WorkList!A:G,7,FALSE)</f>
        <v>0</v>
      </c>
      <c r="L311" s="7" t="s">
        <v>13</v>
      </c>
      <c r="M311" s="16">
        <v>40532</v>
      </c>
      <c r="N311" s="60">
        <f ca="1">VALUE(LEFT(C311))</f>
        <v>0</v>
      </c>
      <c r="O311" s="61">
        <f ca="1">INT(IF(N311&gt;0,1+MAX(N311*N311-(IF(D311="",TODAY()+(5-N311)*15,D311)-TODAY())/4,N311),IF(TODAY()-M311&gt;10,0,1)))</f>
        <v>0</v>
      </c>
      <c r="P311" s="1" t="str">
        <f ca="1">IF(ISNA(VLOOKUP(A311,Projects!B:B,1,FALSE)),"","Yes")</f>
        <v/>
      </c>
    </row>
    <row r="312" spans="1:16">
      <c r="A312" s="4" t="s">
        <v>101</v>
      </c>
      <c r="B312" s="5" t="s">
        <v>29</v>
      </c>
      <c r="C312" s="6" t="s">
        <v>48</v>
      </c>
      <c r="D312" s="11"/>
      <c r="F312" s="13" t="str">
        <f ca="1">VLOOKUP(LEFT(A312,IF(ISERROR(FIND(".",A312)),LEN(A312)+1,FIND(".",A312))-1),WorkList!A:C,3,FALSE)</f>
        <v xml:space="preserve">Shared application components </v>
      </c>
      <c r="G312" s="14" t="str">
        <f ca="1">VLOOKUP(CONCATENATE(A312),WorkList!A:C,3,FALSE)</f>
        <v>Add in usage of Config library to Database library</v>
      </c>
      <c r="H312" s="13" t="str">
        <f ca="1">VLOOKUP(CONCATENATE(A312),WorkList!A:D,4,FALSE)</f>
        <v>Neil</v>
      </c>
      <c r="I312" s="15">
        <f ca="1">VLOOKUP(CONCATENATE(A312),WorkList!A:E,5,FALSE)</f>
        <v>39911</v>
      </c>
      <c r="J312" s="49">
        <f ca="1">VLOOKUP(CONCATENATE(A312),WorkList!A:F,6,FALSE)</f>
        <v>0</v>
      </c>
      <c r="K312" s="49">
        <f ca="1">VLOOKUP(CONCATENATE(A312),WorkList!A:G,7,FALSE)</f>
        <v>0</v>
      </c>
      <c r="L312" s="7" t="s">
        <v>13</v>
      </c>
      <c r="M312" s="16">
        <v>40532</v>
      </c>
      <c r="N312" s="60">
        <f ca="1">VALUE(LEFT(C312))</f>
        <v>0</v>
      </c>
      <c r="O312" s="61">
        <f ca="1">INT(IF(N312&gt;0,1+MAX(N312*N312-(IF(D312="",TODAY()+(5-N312)*15,D312)-TODAY())/4,N312),IF(TODAY()-M312&gt;10,0,1)))</f>
        <v>0</v>
      </c>
      <c r="P312" s="1" t="str">
        <f ca="1">IF(ISNA(VLOOKUP(A312,Projects!B:B,1,FALSE)),"","Yes")</f>
        <v/>
      </c>
    </row>
    <row r="313" spans="1:16">
      <c r="A313" s="4" t="s">
        <v>1354</v>
      </c>
      <c r="B313" s="5" t="s">
        <v>11</v>
      </c>
      <c r="C313" s="6" t="s">
        <v>48</v>
      </c>
      <c r="D313" s="11"/>
      <c r="F313" s="13" t="str">
        <f ca="1">VLOOKUP(LEFT(A313,IF(ISERROR(FIND(".",A313)),LEN(A313)+1,FIND(".",A313))-1),WorkList!A:C,3,FALSE)</f>
        <v xml:space="preserve">Shared application components </v>
      </c>
      <c r="G313" s="14" t="str">
        <f ca="1">VLOOKUP(CONCATENATE(A313),WorkList!A:C,3,FALSE)</f>
        <v>Make DealsDbOOLayer easier to use in applications</v>
      </c>
      <c r="H313" s="13" t="str">
        <f ca="1">VLOOKUP(CONCATENATE(A313),WorkList!A:D,4,FALSE)</f>
        <v>Neil</v>
      </c>
      <c r="I313" s="15">
        <f ca="1">VLOOKUP(CONCATENATE(A313),WorkList!A:E,5,FALSE)</f>
        <v>40368</v>
      </c>
      <c r="J313" s="49">
        <f ca="1">VLOOKUP(CONCATENATE(A313),WorkList!A:F,6,FALSE)</f>
        <v>2</v>
      </c>
      <c r="K313" s="49" t="str">
        <f ca="1">VLOOKUP(CONCATENATE(A313),WorkList!A:G,7,FALSE)</f>
        <v>NewDevelopment</v>
      </c>
      <c r="L313" s="7" t="s">
        <v>13</v>
      </c>
      <c r="M313" s="16">
        <v>40400</v>
      </c>
      <c r="N313" s="60">
        <f ca="1">VALUE(LEFT(C313))</f>
        <v>0</v>
      </c>
      <c r="O313" s="61">
        <f ca="1">INT(IF(N313&gt;0,1+MAX(N313*N313-(IF(D313="",TODAY()+(5-N313)*15,D313)-TODAY())/4,N313),IF(TODAY()-M313&gt;10,0,1)))</f>
        <v>0</v>
      </c>
    </row>
    <row r="314" spans="1:16">
      <c r="A314" s="4" t="s">
        <v>1727</v>
      </c>
      <c r="B314" s="5" t="s">
        <v>21</v>
      </c>
      <c r="C314" s="7" t="s">
        <v>12</v>
      </c>
      <c r="F314" s="13" t="str">
        <f ca="1">VLOOKUP(LEFT(A314,IF(ISERROR(FIND(".",A314)),LEN(A314)+1,FIND(".",A314))-1),WorkList!A:C,3,FALSE)</f>
        <v xml:space="preserve">Shared application components </v>
      </c>
      <c r="G314" s="14" t="str">
        <f ca="1">VLOOKUP(CONCATENATE(A314),WorkList!A:C,3,FALSE)</f>
        <v>Make database calls retry 3 times upon a deadlock</v>
      </c>
      <c r="H314" s="13" t="str">
        <f ca="1">VLOOKUP(CONCATENATE(A314),WorkList!A:D,4,FALSE)</f>
        <v>Neil</v>
      </c>
      <c r="I314" s="15">
        <f ca="1">VLOOKUP(CONCATENATE(A314),WorkList!A:E,5,FALSE)</f>
        <v>40514</v>
      </c>
      <c r="J314" s="49">
        <f ca="1">VLOOKUP(CONCATENATE(A314),WorkList!A:F,6,FALSE)</f>
        <v>1</v>
      </c>
      <c r="K314" s="49" t="str">
        <f ca="1">VLOOKUP(CONCATENATE(A314),WorkList!A:G,7,FALSE)</f>
        <v>Enhancement</v>
      </c>
      <c r="L314" s="7" t="s">
        <v>7</v>
      </c>
      <c r="M314" s="16">
        <v>40246</v>
      </c>
      <c r="N314" s="60">
        <f ca="1">VALUE(LEFT(C314))</f>
        <v>4</v>
      </c>
      <c r="O314" s="61">
        <f ca="1">INT(IF(N314&gt;0,1+MAX(N314*N314-(IF(D314="",TODAY()+(5-N314)*15,D314)-TODAY())/4,N314),IF(TODAY()-M314&gt;10,0,1)))</f>
        <v>13</v>
      </c>
      <c r="P314" s="1" t="str">
        <f ca="1">IF(ISNA(VLOOKUP(A314,Projects!B:B,1,FALSE)),"","Yes")</f>
        <v/>
      </c>
    </row>
    <row r="315" spans="1:16">
      <c r="A315" s="4" t="s">
        <v>103</v>
      </c>
      <c r="B315" s="5" t="s">
        <v>29</v>
      </c>
      <c r="C315" s="6" t="s">
        <v>48</v>
      </c>
      <c r="D315" s="11"/>
      <c r="F315" s="13" t="str">
        <f ca="1">VLOOKUP(LEFT(A315,IF(ISERROR(FIND(".",A315)),LEN(A315)+1,FIND(".",A315))-1),WorkList!A:C,3,FALSE)</f>
        <v xml:space="preserve">Shared application components </v>
      </c>
      <c r="G315" s="14" t="str">
        <f ca="1">VLOOKUP(CONCATENATE(A315),WorkList!A:C,3,FALSE)</f>
        <v>Possible enhancements</v>
      </c>
      <c r="H315" s="13" t="str">
        <f ca="1">VLOOKUP(CONCATENATE(A315),WorkList!A:D,4,FALSE)</f>
        <v>Neil</v>
      </c>
      <c r="I315" s="15">
        <f ca="1">VLOOKUP(CONCATENATE(A315),WorkList!A:E,5,FALSE)</f>
        <v>39917</v>
      </c>
      <c r="J315" s="49">
        <f ca="1">VLOOKUP(CONCATENATE(A315),WorkList!A:F,6,FALSE)</f>
        <v>0</v>
      </c>
      <c r="K315" s="49">
        <f ca="1">VLOOKUP(CONCATENATE(A315),WorkList!A:G,7,FALSE)</f>
        <v>0</v>
      </c>
      <c r="L315" s="7" t="s">
        <v>13</v>
      </c>
      <c r="M315" s="16">
        <v>40532</v>
      </c>
      <c r="N315" s="60">
        <f ca="1">VALUE(LEFT(C315))</f>
        <v>0</v>
      </c>
      <c r="O315" s="61">
        <f ca="1">INT(IF(N315&gt;0,1+MAX(N315*N315-(IF(D315="",TODAY()+(5-N315)*15,D315)-TODAY())/4,N315),IF(TODAY()-M315&gt;10,0,1)))</f>
        <v>0</v>
      </c>
      <c r="P315" s="1" t="str">
        <f ca="1">IF(ISNA(VLOOKUP(A315,Projects!B:B,1,FALSE)),"","Yes")</f>
        <v/>
      </c>
    </row>
    <row r="316" spans="1:16">
      <c r="A316" s="4" t="s">
        <v>1548</v>
      </c>
      <c r="B316" s="5" t="s">
        <v>11</v>
      </c>
      <c r="C316" s="7" t="s">
        <v>10</v>
      </c>
      <c r="F316" s="13" t="str">
        <f ca="1">VLOOKUP(LEFT(A316,IF(ISERROR(FIND(".",A316)),LEN(A316)+1,FIND(".",A316))-1),WorkList!A:C,3,FALSE)</f>
        <v xml:space="preserve">Shared application components </v>
      </c>
      <c r="G316" s="14" t="str">
        <f ca="1">VLOOKUP(CONCATENATE(A316),WorkList!A:C,3,FALSE)</f>
        <v>Find a better way to populate C# objects from DB</v>
      </c>
      <c r="H316" s="13" t="str">
        <f ca="1">VLOOKUP(CONCATENATE(A316),WorkList!A:D,4,FALSE)</f>
        <v>Neil</v>
      </c>
      <c r="I316" s="15">
        <f ca="1">VLOOKUP(CONCATENATE(A316),WorkList!A:E,5,FALSE)</f>
        <v>40452</v>
      </c>
      <c r="J316" s="49">
        <f ca="1">VLOOKUP(CONCATENATE(A316),WorkList!A:F,6,FALSE)</f>
        <v>3</v>
      </c>
      <c r="K316" s="49" t="str">
        <f ca="1">VLOOKUP(CONCATENATE(A316),WorkList!A:G,7,FALSE)</f>
        <v>NewDevelopment</v>
      </c>
      <c r="L316" s="7" t="s">
        <v>7</v>
      </c>
      <c r="M316" s="16">
        <v>40452</v>
      </c>
      <c r="N316" s="60">
        <f ca="1">VALUE(LEFT(C316))</f>
        <v>3</v>
      </c>
      <c r="O316" s="61">
        <f ca="1">INT(IF(N316&gt;0,1+MAX(N316*N316-(IF(D316="",TODAY()+(5-N316)*15,D316)-TODAY())/4,N316),IF(TODAY()-M316&gt;10,0,1)))</f>
        <v>4</v>
      </c>
      <c r="P316" s="1" t="str">
        <f ca="1">IF(ISNA(VLOOKUP(A316,Projects!B:B,1,FALSE)),"","Yes")</f>
        <v/>
      </c>
    </row>
    <row r="317" spans="1:16">
      <c r="A317" s="4" t="s">
        <v>1550</v>
      </c>
      <c r="B317" s="5" t="s">
        <v>32</v>
      </c>
      <c r="C317" s="7" t="s">
        <v>38</v>
      </c>
      <c r="F317" s="13" t="str">
        <f ca="1">VLOOKUP(LEFT(A317,IF(ISERROR(FIND(".",A317)),LEN(A317)+1,FIND(".",A317))-1),WorkList!A:C,3,FALSE)</f>
        <v xml:space="preserve">Shared application components </v>
      </c>
      <c r="G317" s="14" t="str">
        <f ca="1">VLOOKUP(CONCATENATE(A317),WorkList!A:C,3,FALSE)</f>
        <v>Find better way to use C# objects with GUI controls</v>
      </c>
      <c r="H317" s="13" t="str">
        <f ca="1">VLOOKUP(CONCATENATE(A317),WorkList!A:D,4,FALSE)</f>
        <v>Neil</v>
      </c>
      <c r="I317" s="15">
        <f ca="1">VLOOKUP(CONCATENATE(A317),WorkList!A:E,5,FALSE)</f>
        <v>40452</v>
      </c>
      <c r="J317" s="49">
        <f ca="1">VLOOKUP(CONCATENATE(A317),WorkList!A:F,6,FALSE)</f>
        <v>3</v>
      </c>
      <c r="K317" s="49" t="str">
        <f ca="1">VLOOKUP(CONCATENATE(A317),WorkList!A:G,7,FALSE)</f>
        <v>NewDevelopment</v>
      </c>
      <c r="L317" s="7" t="s">
        <v>7</v>
      </c>
      <c r="M317" s="16">
        <v>40568</v>
      </c>
      <c r="N317" s="60">
        <f ca="1">VALUE(LEFT(C317))</f>
        <v>2</v>
      </c>
      <c r="O317" s="61">
        <f ca="1">INT(IF(N317&gt;0,1+MAX(N317*N317-(IF(D317="",TODAY()+(5-N317)*15,D317)-TODAY())/4,N317),IF(TODAY()-M317&gt;10,0,1)))</f>
        <v>3</v>
      </c>
      <c r="P317" s="1" t="str">
        <f ca="1">IF(ISNA(VLOOKUP(A317,Projects!B:B,1,FALSE)),"","Yes")</f>
        <v/>
      </c>
    </row>
    <row r="318" spans="1:16">
      <c r="A318" s="4" t="s">
        <v>1551</v>
      </c>
      <c r="B318" s="5" t="s">
        <v>37</v>
      </c>
      <c r="C318" s="7" t="s">
        <v>38</v>
      </c>
      <c r="F318" s="13" t="str">
        <f ca="1">VLOOKUP(LEFT(A318,IF(ISERROR(FIND(".",A318)),LEN(A318)+1,FIND(".",A318))-1),WorkList!A:C,3,FALSE)</f>
        <v xml:space="preserve">Shared application components </v>
      </c>
      <c r="G318" s="14" t="str">
        <f ca="1">VLOOKUP(CONCATENATE(A318),WorkList!A:C,3,FALSE)</f>
        <v>Find better way to use C# objects with GUI controls</v>
      </c>
      <c r="H318" s="13" t="str">
        <f ca="1">VLOOKUP(CONCATENATE(A318),WorkList!A:D,4,FALSE)</f>
        <v>Neil</v>
      </c>
      <c r="I318" s="15">
        <f ca="1">VLOOKUP(CONCATENATE(A318),WorkList!A:E,5,FALSE)</f>
        <v>40452</v>
      </c>
      <c r="J318" s="49">
        <f ca="1">VLOOKUP(CONCATENATE(A318),WorkList!A:F,6,FALSE)</f>
        <v>3</v>
      </c>
      <c r="K318" s="49" t="str">
        <f ca="1">VLOOKUP(CONCATENATE(A318),WorkList!A:G,7,FALSE)</f>
        <v>NewDevelopment</v>
      </c>
      <c r="L318" s="7" t="s">
        <v>7</v>
      </c>
      <c r="M318" s="16">
        <v>40568</v>
      </c>
      <c r="N318" s="60">
        <f ca="1">VALUE(LEFT(C318))</f>
        <v>2</v>
      </c>
      <c r="O318" s="61">
        <f ca="1">INT(IF(N318&gt;0,1+MAX(N318*N318-(IF(D318="",TODAY()+(5-N318)*15,D318)-TODAY())/4,N318),IF(TODAY()-M318&gt;10,0,1)))</f>
        <v>3</v>
      </c>
      <c r="P318" s="1" t="str">
        <f ca="1">IF(ISNA(VLOOKUP(A318,Projects!B:B,1,FALSE)),"","Yes")</f>
        <v/>
      </c>
    </row>
    <row r="319" spans="1:16">
      <c r="A319" s="4" t="s">
        <v>150</v>
      </c>
      <c r="B319" s="5" t="s">
        <v>11</v>
      </c>
      <c r="C319" s="7" t="s">
        <v>48</v>
      </c>
      <c r="D319" s="11"/>
      <c r="F319" s="13" t="str">
        <f ca="1">VLOOKUP(LEFT(A319,IF(ISERROR(FIND(".",A319)),LEN(A319)+1,FIND(".",A319))-1),WorkList!A:C,3,FALSE)</f>
        <v xml:space="preserve">Shared application components </v>
      </c>
      <c r="G319" s="14" t="str">
        <f ca="1">VLOOKUP(CONCATENATE(A319),WorkList!A:C,3,FALSE)</f>
        <v>Put tagged common libraries on C: Drive</v>
      </c>
      <c r="H319" s="13" t="str">
        <f ca="1">VLOOKUP(CONCATENATE(A319),WorkList!A:D,4,FALSE)</f>
        <v>Neil</v>
      </c>
      <c r="I319" s="15">
        <f ca="1">VLOOKUP(CONCATENATE(A319),WorkList!A:E,5,FALSE)</f>
        <v>39932</v>
      </c>
      <c r="J319" s="49">
        <f ca="1">VLOOKUP(CONCATENATE(A319),WorkList!A:F,6,FALSE)</f>
        <v>0</v>
      </c>
      <c r="K319" s="49">
        <f ca="1">VLOOKUP(CONCATENATE(A319),WorkList!A:G,7,FALSE)</f>
        <v>0</v>
      </c>
      <c r="L319" s="7" t="s">
        <v>13</v>
      </c>
      <c r="M319" s="16">
        <v>39933</v>
      </c>
      <c r="N319" s="60">
        <f ca="1">VALUE(LEFT(C319))</f>
        <v>0</v>
      </c>
      <c r="O319" s="61">
        <f ca="1">INT(IF(N319&gt;0,1+MAX(N319*N319-(IF(D319="",TODAY()+(5-N319)*15,D319)-TODAY())/4,N319),IF(TODAY()-M319&gt;10,0,1)))</f>
        <v>0</v>
      </c>
      <c r="P319" s="1" t="str">
        <f ca="1">IF(ISNA(VLOOKUP(A319,Projects!B:B,1,FALSE)),"","Yes")</f>
        <v/>
      </c>
    </row>
    <row r="320" spans="1:16">
      <c r="A320" s="4" t="s">
        <v>204</v>
      </c>
      <c r="B320" s="5" t="s">
        <v>11</v>
      </c>
      <c r="C320" s="6" t="s">
        <v>48</v>
      </c>
      <c r="D320" s="11"/>
      <c r="F320" s="13" t="str">
        <f ca="1">VLOOKUP(LEFT(A320,IF(ISERROR(FIND(".",A320)),LEN(A320)+1,FIND(".",A320))-1),WorkList!A:C,3,FALSE)</f>
        <v xml:space="preserve">Shared application components </v>
      </c>
      <c r="G320" s="14" t="str">
        <f ca="1">VLOOKUP(CONCATENATE(A320),WorkList!A:C,3,FALSE)</f>
        <v>Add new 'UserConfig' database</v>
      </c>
      <c r="H320" s="13" t="str">
        <f ca="1">VLOOKUP(CONCATENATE(A320),WorkList!A:D,4,FALSE)</f>
        <v>Neil</v>
      </c>
      <c r="I320" s="15">
        <f ca="1">VLOOKUP(CONCATENATE(A320),WorkList!A:E,5,FALSE)</f>
        <v>39954</v>
      </c>
      <c r="J320" s="49">
        <f ca="1">VLOOKUP(CONCATENATE(A320),WorkList!A:F,6,FALSE)</f>
        <v>0</v>
      </c>
      <c r="K320" s="49">
        <f ca="1">VLOOKUP(CONCATENATE(A320),WorkList!A:G,7,FALSE)</f>
        <v>0</v>
      </c>
      <c r="L320" s="7" t="s">
        <v>13</v>
      </c>
      <c r="M320" s="16">
        <v>39966</v>
      </c>
      <c r="N320" s="60">
        <f ca="1">VALUE(LEFT(C320))</f>
        <v>0</v>
      </c>
      <c r="O320" s="61">
        <f ca="1">INT(IF(N320&gt;0,1+MAX(N320*N320-(IF(D320="",TODAY()+(5-N320)*15,D320)-TODAY())/4,N320),IF(TODAY()-M320&gt;10,0,1)))</f>
        <v>0</v>
      </c>
      <c r="P320" s="1" t="str">
        <f ca="1">IF(ISNA(VLOOKUP(A320,Projects!B:B,1,FALSE)),"","Yes")</f>
        <v/>
      </c>
    </row>
    <row r="321" spans="1:16">
      <c r="A321" s="4" t="s">
        <v>253</v>
      </c>
      <c r="B321" s="5" t="s">
        <v>32</v>
      </c>
      <c r="C321" s="6" t="s">
        <v>48</v>
      </c>
      <c r="D321" s="11"/>
      <c r="F321" s="13" t="str">
        <f ca="1">VLOOKUP(LEFT(A321,IF(ISERROR(FIND(".",A321)),LEN(A321)+1,FIND(".",A321))-1),WorkList!A:C,3,FALSE)</f>
        <v xml:space="preserve">Shared application components </v>
      </c>
      <c r="G321" s="14" t="str">
        <f ca="1">VLOOKUP(CONCATENATE(A321),WorkList!A:C,3,FALSE)</f>
        <v>Add Exception Dialog with mail send option</v>
      </c>
      <c r="H321" s="13" t="str">
        <f ca="1">VLOOKUP(CONCATENATE(A321),WorkList!A:D,4,FALSE)</f>
        <v>Neil</v>
      </c>
      <c r="I321" s="15">
        <f ca="1">VLOOKUP(CONCATENATE(A321),WorkList!A:E,5,FALSE)</f>
        <v>39975</v>
      </c>
      <c r="J321" s="49">
        <f ca="1">VLOOKUP(CONCATENATE(A321),WorkList!A:F,6,FALSE)</f>
        <v>0</v>
      </c>
      <c r="K321" s="49">
        <f ca="1">VLOOKUP(CONCATENATE(A321),WorkList!A:G,7,FALSE)</f>
        <v>0</v>
      </c>
      <c r="L321" s="7" t="s">
        <v>13</v>
      </c>
      <c r="M321" s="16">
        <v>40008</v>
      </c>
      <c r="N321" s="60">
        <f ca="1">VALUE(LEFT(C321))</f>
        <v>0</v>
      </c>
      <c r="O321" s="61">
        <f ca="1">INT(IF(N321&gt;0,1+MAX(N321*N321-(IF(D321="",TODAY()+(5-N321)*15,D321)-TODAY())/4,N321),IF(TODAY()-M321&gt;10,0,1)))</f>
        <v>0</v>
      </c>
      <c r="P321" s="1" t="str">
        <f ca="1">IF(ISNA(VLOOKUP(A321,Projects!B:B,1,FALSE)),"","Yes")</f>
        <v/>
      </c>
    </row>
    <row r="322" spans="1:16">
      <c r="A322" s="4" t="s">
        <v>255</v>
      </c>
      <c r="B322" s="5" t="s">
        <v>29</v>
      </c>
      <c r="C322" s="6" t="s">
        <v>48</v>
      </c>
      <c r="D322" s="11"/>
      <c r="F322" s="13" t="str">
        <f ca="1">VLOOKUP(LEFT(A322,IF(ISERROR(FIND(".",A322)),LEN(A322)+1,FIND(".",A322))-1),WorkList!A:C,3,FALSE)</f>
        <v xml:space="preserve">Shared application components </v>
      </c>
      <c r="G322" s="14" t="str">
        <f ca="1">VLOOKUP(CONCATENATE(A322),WorkList!A:C,3,FALSE)</f>
        <v>Add generic charting component</v>
      </c>
      <c r="H322" s="13" t="str">
        <f ca="1">VLOOKUP(CONCATENATE(A322),WorkList!A:D,4,FALSE)</f>
        <v>Neil</v>
      </c>
      <c r="I322" s="15">
        <f ca="1">VLOOKUP(CONCATENATE(A322),WorkList!A:E,5,FALSE)</f>
        <v>39975</v>
      </c>
      <c r="J322" s="49">
        <f ca="1">VLOOKUP(CONCATENATE(A322),WorkList!A:F,6,FALSE)</f>
        <v>0</v>
      </c>
      <c r="K322" s="49">
        <f ca="1">VLOOKUP(CONCATENATE(A322),WorkList!A:G,7,FALSE)</f>
        <v>0</v>
      </c>
      <c r="L322" s="7" t="s">
        <v>13</v>
      </c>
      <c r="M322" s="16">
        <v>40025</v>
      </c>
      <c r="N322" s="60">
        <f ca="1">VALUE(LEFT(C322))</f>
        <v>0</v>
      </c>
      <c r="O322" s="61">
        <f ca="1">INT(IF(N322&gt;0,1+MAX(N322*N322-(IF(D322="",TODAY()+(5-N322)*15,D322)-TODAY())/4,N322),IF(TODAY()-M322&gt;10,0,1)))</f>
        <v>0</v>
      </c>
      <c r="P322" s="1" t="str">
        <f ca="1">IF(ISNA(VLOOKUP(A322,Projects!B:B,1,FALSE)),"","Yes")</f>
        <v/>
      </c>
    </row>
    <row r="323" spans="1:16">
      <c r="A323" s="4" t="s">
        <v>337</v>
      </c>
      <c r="B323" s="5" t="s">
        <v>29</v>
      </c>
      <c r="C323" s="6" t="s">
        <v>48</v>
      </c>
      <c r="D323" s="11"/>
      <c r="F323" s="13" t="str">
        <f ca="1">VLOOKUP(LEFT(A323,IF(ISERROR(FIND(".",A323)),LEN(A323)+1,FIND(".",A323))-1),WorkList!A:C,3,FALSE)</f>
        <v xml:space="preserve">Shared application components </v>
      </c>
      <c r="G323" s="14" t="str">
        <f ca="1">VLOOKUP(CONCATENATE(A323),WorkList!A:C,3,FALSE)</f>
        <v>Implement Plot Graph</v>
      </c>
      <c r="H323" s="13" t="str">
        <f ca="1">VLOOKUP(CONCATENATE(A323),WorkList!A:D,4,FALSE)</f>
        <v>Neil</v>
      </c>
      <c r="I323" s="15">
        <f ca="1">VLOOKUP(CONCATENATE(A323),WorkList!A:E,5,FALSE)</f>
        <v>40024</v>
      </c>
      <c r="J323" s="49">
        <f ca="1">VLOOKUP(CONCATENATE(A323),WorkList!A:F,6,FALSE)</f>
        <v>0</v>
      </c>
      <c r="K323" s="49">
        <f ca="1">VLOOKUP(CONCATENATE(A323),WorkList!A:G,7,FALSE)</f>
        <v>0</v>
      </c>
      <c r="L323" s="7" t="s">
        <v>13</v>
      </c>
      <c r="M323" s="16">
        <v>40025</v>
      </c>
      <c r="N323" s="60">
        <f ca="1">VALUE(LEFT(C323))</f>
        <v>0</v>
      </c>
      <c r="O323" s="61">
        <f ca="1">INT(IF(N323&gt;0,1+MAX(N323*N323-(IF(D323="",TODAY()+(5-N323)*15,D323)-TODAY())/4,N323),IF(TODAY()-M323&gt;10,0,1)))</f>
        <v>0</v>
      </c>
      <c r="P323" s="1" t="str">
        <f ca="1">IF(ISNA(VLOOKUP(A323,Projects!B:B,1,FALSE)),"","Yes")</f>
        <v/>
      </c>
    </row>
    <row r="324" spans="1:16">
      <c r="A324" s="4" t="s">
        <v>410</v>
      </c>
      <c r="B324" s="5" t="s">
        <v>29</v>
      </c>
      <c r="C324" s="6" t="s">
        <v>48</v>
      </c>
      <c r="D324" s="11"/>
      <c r="F324" s="13" t="str">
        <f ca="1">VLOOKUP(LEFT(A324,IF(ISERROR(FIND(".",A324)),LEN(A324)+1,FIND(".",A324))-1),WorkList!A:C,3,FALSE)</f>
        <v xml:space="preserve">Shared application components </v>
      </c>
      <c r="G324" s="14" t="str">
        <f ca="1">VLOOKUP(CONCATENATE(A324),WorkList!A:C,3,FALSE)</f>
        <v>Modifications to Plot Graph</v>
      </c>
      <c r="H324" s="13" t="str">
        <f ca="1">VLOOKUP(CONCATENATE(A324),WorkList!A:D,4,FALSE)</f>
        <v>Neil</v>
      </c>
      <c r="I324" s="15">
        <f ca="1">VLOOKUP(CONCATENATE(A324),WorkList!A:E,5,FALSE)</f>
        <v>40045</v>
      </c>
      <c r="J324" s="49">
        <f ca="1">VLOOKUP(CONCATENATE(A324),WorkList!A:F,6,FALSE)</f>
        <v>0</v>
      </c>
      <c r="K324" s="49">
        <f ca="1">VLOOKUP(CONCATENATE(A324),WorkList!A:G,7,FALSE)</f>
        <v>0</v>
      </c>
      <c r="L324" s="7" t="s">
        <v>13</v>
      </c>
      <c r="M324" s="16">
        <v>40053</v>
      </c>
      <c r="N324" s="60">
        <f ca="1">VALUE(LEFT(C324))</f>
        <v>0</v>
      </c>
      <c r="O324" s="61">
        <f ca="1">INT(IF(N324&gt;0,1+MAX(N324*N324-(IF(D324="",TODAY()+(5-N324)*15,D324)-TODAY())/4,N324),IF(TODAY()-M324&gt;10,0,1)))</f>
        <v>0</v>
      </c>
      <c r="P324" s="1" t="str">
        <f ca="1">IF(ISNA(VLOOKUP(A324,Projects!B:B,1,FALSE)),"","Yes")</f>
        <v/>
      </c>
    </row>
    <row r="325" spans="1:16" ht="25.5">
      <c r="A325" s="4" t="s">
        <v>1534</v>
      </c>
      <c r="B325" s="5" t="s">
        <v>21</v>
      </c>
      <c r="C325" s="7" t="s">
        <v>10</v>
      </c>
      <c r="F325" s="13" t="str">
        <f ca="1">VLOOKUP(LEFT(A325,IF(ISERROR(FIND(".",A325)),LEN(A325)+1,FIND(".",A325))-1),WorkList!A:C,3,FALSE)</f>
        <v xml:space="preserve">Shared application components </v>
      </c>
      <c r="G325" s="14" t="str">
        <f ca="1">VLOOKUP(CONCATENATE(A325),WorkList!A:C,3,FALSE)</f>
        <v>Developer a GUI 'attachments' element and add to  TradeBlotter and  ClientTracker</v>
      </c>
      <c r="H325" s="13" t="str">
        <f ca="1">VLOOKUP(CONCATENATE(A325),WorkList!A:D,4,FALSE)</f>
        <v>Neil</v>
      </c>
      <c r="I325" s="15">
        <f ca="1">VLOOKUP(CONCATENATE(A325),WorkList!A:E,5,FALSE)</f>
        <v>40438</v>
      </c>
      <c r="J325" s="49">
        <f ca="1">VLOOKUP(CONCATENATE(A325),WorkList!A:F,6,FALSE)</f>
        <v>3</v>
      </c>
      <c r="K325" s="49" t="str">
        <f ca="1">VLOOKUP(CONCATENATE(A325),WorkList!A:G,7,FALSE)</f>
        <v>Enhancement</v>
      </c>
      <c r="L325" s="7" t="s">
        <v>7</v>
      </c>
      <c r="M325" s="16">
        <v>40438</v>
      </c>
      <c r="N325" s="60">
        <f ca="1">VALUE(LEFT(C325))</f>
        <v>3</v>
      </c>
      <c r="O325" s="61">
        <f ca="1">INT(IF(N325&gt;0,1+MAX(N325*N325-(IF(D325="",TODAY()+(5-N325)*15,D325)-TODAY())/4,N325),IF(TODAY()-M325&gt;10,0,1)))</f>
        <v>4</v>
      </c>
      <c r="P325" s="1" t="str">
        <f ca="1">IF(ISNA(VLOOKUP(A325,Projects!B:B,1,FALSE)),"","Yes")</f>
        <v/>
      </c>
    </row>
    <row r="326" spans="1:16">
      <c r="A326" s="4" t="s">
        <v>704</v>
      </c>
      <c r="B326" s="5" t="s">
        <v>919</v>
      </c>
      <c r="C326" s="6" t="s">
        <v>48</v>
      </c>
      <c r="D326" s="11"/>
      <c r="F326" s="13" t="str">
        <f ca="1">VLOOKUP(LEFT(A326,IF(ISERROR(FIND(".",A326)),LEN(A326)+1,FIND(".",A326))-1),WorkList!A:C,3,FALSE)</f>
        <v xml:space="preserve">Shared application components </v>
      </c>
      <c r="G326" s="14" t="str">
        <f ca="1">VLOOKUP(CONCATENATE(A326),WorkList!A:C,3,FALSE)</f>
        <v>IntegrationService: Design integration mechanisms</v>
      </c>
      <c r="H326" s="13" t="str">
        <f ca="1">VLOOKUP(CONCATENATE(A326),WorkList!A:D,4,FALSE)</f>
        <v>Neil</v>
      </c>
      <c r="I326" s="15">
        <f ca="1">VLOOKUP(CONCATENATE(A326),WorkList!A:E,5,FALSE)</f>
        <v>40505</v>
      </c>
      <c r="J326" s="49">
        <f ca="1">VLOOKUP(CONCATENATE(A326),WorkList!A:F,6,FALSE)</f>
        <v>5</v>
      </c>
      <c r="K326" s="49" t="str">
        <f ca="1">VLOOKUP(CONCATENATE(A326),WorkList!A:G,7,FALSE)</f>
        <v>NewDevelopment</v>
      </c>
      <c r="L326" s="7" t="s">
        <v>13</v>
      </c>
      <c r="M326" s="16">
        <v>40394</v>
      </c>
      <c r="N326" s="60">
        <f ca="1">VALUE(LEFT(C326))</f>
        <v>0</v>
      </c>
      <c r="O326" s="61">
        <f ca="1">INT(IF(N326&gt;0,1+MAX(N326*N326-(IF(D326="",TODAY()+(5-N326)*15,D326)-TODAY())/4,N326),IF(TODAY()-M326&gt;10,0,1)))</f>
        <v>0</v>
      </c>
      <c r="P326" s="1" t="str">
        <f ca="1">IF(ISNA(VLOOKUP(A326,Projects!B:B,1,FALSE)),"","Yes")</f>
        <v>Yes</v>
      </c>
    </row>
    <row r="327" spans="1:16">
      <c r="A327" s="4" t="s">
        <v>705</v>
      </c>
      <c r="B327" s="5" t="s">
        <v>919</v>
      </c>
      <c r="C327" s="6" t="s">
        <v>48</v>
      </c>
      <c r="D327" s="11">
        <v>40431</v>
      </c>
      <c r="F327" s="13" t="str">
        <f ca="1">VLOOKUP(LEFT(A327,IF(ISERROR(FIND(".",A327)),LEN(A327)+1,FIND(".",A327))-1),WorkList!A:C,3,FALSE)</f>
        <v xml:space="preserve">Shared application components </v>
      </c>
      <c r="G327" s="14" t="str">
        <f ca="1">VLOOKUP(CONCATENATE(A327),WorkList!A:C,3,FALSE)</f>
        <v>IntegrationService:Build integration architecture</v>
      </c>
      <c r="H327" s="13" t="str">
        <f ca="1">VLOOKUP(CONCATENATE(A327),WorkList!A:D,4,FALSE)</f>
        <v>Sachin</v>
      </c>
      <c r="I327" s="15">
        <f ca="1">VLOOKUP(CONCATENATE(A327),WorkList!A:E,5,FALSE)</f>
        <v>40505</v>
      </c>
      <c r="J327" s="49">
        <f ca="1">VLOOKUP(CONCATENATE(A327),WorkList!A:F,6,FALSE)</f>
        <v>9</v>
      </c>
      <c r="K327" s="49" t="str">
        <f ca="1">VLOOKUP(CONCATENATE(A327),WorkList!A:G,7,FALSE)</f>
        <v>NewDevelopment</v>
      </c>
      <c r="L327" s="7" t="s">
        <v>13</v>
      </c>
      <c r="M327" s="16">
        <v>40483</v>
      </c>
      <c r="N327" s="60">
        <f ca="1">VALUE(LEFT(C327))</f>
        <v>0</v>
      </c>
      <c r="O327" s="61">
        <f ca="1">INT(IF(N327&gt;0,1+MAX(N327*N327-(IF(D327="",TODAY()+(5-N327)*15,D327)-TODAY())/4,N327),IF(TODAY()-M327&gt;10,0,1)))</f>
        <v>0</v>
      </c>
      <c r="P327" s="1" t="str">
        <f ca="1">IF(ISNA(VLOOKUP(A327,Projects!B:B,1,FALSE)),"","Yes")</f>
        <v>Yes</v>
      </c>
    </row>
    <row r="328" spans="1:16" ht="25.5">
      <c r="A328" s="4" t="s">
        <v>1397</v>
      </c>
      <c r="B328" s="5" t="s">
        <v>919</v>
      </c>
      <c r="C328" s="6" t="s">
        <v>48</v>
      </c>
      <c r="D328" s="11"/>
      <c r="F328" s="13" t="str">
        <f ca="1">VLOOKUP(LEFT(A328,IF(ISERROR(FIND(".",A328)),LEN(A328)+1,FIND(".",A328))-1),WorkList!A:C,3,FALSE)</f>
        <v xml:space="preserve">Shared application components </v>
      </c>
      <c r="G328" s="14" t="str">
        <f ca="1">VLOOKUP(CONCATENATE(A328),WorkList!A:C,3,FALSE)</f>
        <v>IntegrationService:Incorporate into Trade Blotter, CommentViewer and DealAnalyser</v>
      </c>
      <c r="H328" s="13" t="str">
        <f ca="1">VLOOKUP(CONCATENATE(A328),WorkList!A:D,4,FALSE)</f>
        <v>Neil</v>
      </c>
      <c r="I328" s="15">
        <f ca="1">VLOOKUP(CONCATENATE(A328),WorkList!A:E,5,FALSE)</f>
        <v>40505</v>
      </c>
      <c r="J328" s="49">
        <f ca="1">VLOOKUP(CONCATENATE(A328),WorkList!A:F,6,FALSE)</f>
        <v>2</v>
      </c>
      <c r="K328" s="49" t="str">
        <f ca="1">VLOOKUP(CONCATENATE(A328),WorkList!A:G,7,FALSE)</f>
        <v>NewDevelopment</v>
      </c>
      <c r="L328" s="7" t="s">
        <v>13</v>
      </c>
      <c r="M328" s="16">
        <v>40483</v>
      </c>
      <c r="N328" s="60">
        <f ca="1">VALUE(LEFT(C328))</f>
        <v>0</v>
      </c>
      <c r="O328" s="61">
        <f ca="1">INT(IF(N328&gt;0,1+MAX(N328*N328-(IF(D328="",TODAY()+(5-N328)*15,D328)-TODAY())/4,N328),IF(TODAY()-M328&gt;10,0,1)))</f>
        <v>0</v>
      </c>
      <c r="P328" s="1" t="str">
        <f ca="1">IF(ISNA(VLOOKUP(A328,Projects!B:B,1,FALSE)),"","Yes")</f>
        <v>Yes</v>
      </c>
    </row>
    <row r="329" spans="1:16">
      <c r="A329" s="4" t="s">
        <v>1398</v>
      </c>
      <c r="B329" s="5" t="s">
        <v>919</v>
      </c>
      <c r="C329" s="7" t="s">
        <v>12</v>
      </c>
      <c r="D329" s="11"/>
      <c r="F329" s="13" t="str">
        <f ca="1">VLOOKUP(LEFT(A329,IF(ISERROR(FIND(".",A329)),LEN(A329)+1,FIND(".",A329))-1),WorkList!A:C,3,FALSE)</f>
        <v xml:space="preserve">Shared application components </v>
      </c>
      <c r="G329" s="14" t="str">
        <f ca="1">VLOOKUP(CONCATENATE(A329),WorkList!A:C,3,FALSE)</f>
        <v>IntegrationService:Testing and UAT</v>
      </c>
      <c r="H329" s="13" t="str">
        <f ca="1">VLOOKUP(CONCATENATE(A329),WorkList!A:D,4,FALSE)</f>
        <v>Sachin</v>
      </c>
      <c r="I329" s="15">
        <f ca="1">VLOOKUP(CONCATENATE(A329),WorkList!A:E,5,FALSE)</f>
        <v>40505</v>
      </c>
      <c r="J329" s="49">
        <f ca="1">VLOOKUP(CONCATENATE(A329),WorkList!A:F,6,FALSE)</f>
        <v>2</v>
      </c>
      <c r="K329" s="49" t="str">
        <f ca="1">VLOOKUP(CONCATENATE(A329),WorkList!A:G,7,FALSE)</f>
        <v>NewDevelopment</v>
      </c>
      <c r="L329" s="7" t="s">
        <v>5</v>
      </c>
      <c r="M329" s="16">
        <v>40505</v>
      </c>
      <c r="N329" s="60">
        <f ca="1">VALUE(LEFT(C329))</f>
        <v>4</v>
      </c>
      <c r="O329" s="61">
        <f ca="1">INT(IF(N329&gt;0,1+MAX(N329*N329-(IF(D329="",TODAY()+(5-N329)*15,D329)-TODAY())/4,N329),IF(TODAY()-M329&gt;10,0,1)))</f>
        <v>13</v>
      </c>
      <c r="P329" s="1" t="str">
        <f ca="1">IF(ISNA(VLOOKUP(A329,Projects!B:B,1,FALSE)),"","Yes")</f>
        <v>Yes</v>
      </c>
    </row>
    <row r="330" spans="1:16">
      <c r="A330" s="4" t="s">
        <v>1399</v>
      </c>
      <c r="B330" s="5" t="s">
        <v>919</v>
      </c>
      <c r="C330" s="7" t="s">
        <v>12</v>
      </c>
      <c r="D330" s="11"/>
      <c r="F330" s="13" t="str">
        <f ca="1">VLOOKUP(LEFT(A330,IF(ISERROR(FIND(".",A330)),LEN(A330)+1,FIND(".",A330))-1),WorkList!A:C,3,FALSE)</f>
        <v xml:space="preserve">Shared application components </v>
      </c>
      <c r="G330" s="14" t="str">
        <f ca="1">VLOOKUP(CONCATENATE(A330),WorkList!A:C,3,FALSE)</f>
        <v>IntegrationService:Code review and resulting changes</v>
      </c>
      <c r="H330" s="13" t="str">
        <f ca="1">VLOOKUP(CONCATENATE(A330),WorkList!A:D,4,FALSE)</f>
        <v>Neil</v>
      </c>
      <c r="I330" s="15">
        <f ca="1">VLOOKUP(CONCATENATE(A330),WorkList!A:E,5,FALSE)</f>
        <v>40505</v>
      </c>
      <c r="J330" s="49">
        <f ca="1">VLOOKUP(CONCATENATE(A330),WorkList!A:F,6,FALSE)</f>
        <v>1</v>
      </c>
      <c r="K330" s="49" t="str">
        <f ca="1">VLOOKUP(CONCATENATE(A330),WorkList!A:G,7,FALSE)</f>
        <v>NewDevelopment</v>
      </c>
      <c r="L330" s="7" t="s">
        <v>7</v>
      </c>
      <c r="M330" s="16">
        <v>40505</v>
      </c>
      <c r="N330" s="60">
        <f ca="1">VALUE(LEFT(C330))</f>
        <v>4</v>
      </c>
      <c r="O330" s="61">
        <f ca="1">INT(IF(N330&gt;0,1+MAX(N330*N330-(IF(D330="",TODAY()+(5-N330)*15,D330)-TODAY())/4,N330),IF(TODAY()-M330&gt;10,0,1)))</f>
        <v>13</v>
      </c>
      <c r="P330" s="1" t="str">
        <f ca="1">IF(ISNA(VLOOKUP(A330,Projects!B:B,1,FALSE)),"","Yes")</f>
        <v>Yes</v>
      </c>
    </row>
    <row r="331" spans="1:16">
      <c r="A331" s="4" t="s">
        <v>1400</v>
      </c>
      <c r="B331" s="5" t="s">
        <v>919</v>
      </c>
      <c r="C331" s="7" t="s">
        <v>12</v>
      </c>
      <c r="D331" s="11"/>
      <c r="F331" s="13" t="str">
        <f ca="1">VLOOKUP(LEFT(A331,IF(ISERROR(FIND(".",A331)),LEN(A331)+1,FIND(".",A331))-1),WorkList!A:C,3,FALSE)</f>
        <v xml:space="preserve">Shared application components </v>
      </c>
      <c r="G331" s="14" t="str">
        <f ca="1">VLOOKUP(CONCATENATE(A331),WorkList!A:C,3,FALSE)</f>
        <v>IntegrationService:Release to production</v>
      </c>
      <c r="H331" s="13" t="str">
        <f ca="1">VLOOKUP(CONCATENATE(A331),WorkList!A:D,4,FALSE)</f>
        <v>Neil</v>
      </c>
      <c r="I331" s="15">
        <f ca="1">VLOOKUP(CONCATENATE(A331),WorkList!A:E,5,FALSE)</f>
        <v>40505</v>
      </c>
      <c r="J331" s="49">
        <f ca="1">VLOOKUP(CONCATENATE(A331),WorkList!A:F,6,FALSE)</f>
        <v>1</v>
      </c>
      <c r="K331" s="49" t="str">
        <f ca="1">VLOOKUP(CONCATENATE(A331),WorkList!A:G,7,FALSE)</f>
        <v>NewDevelopment</v>
      </c>
      <c r="L331" s="7" t="s">
        <v>7</v>
      </c>
      <c r="M331" s="16">
        <v>40505</v>
      </c>
      <c r="N331" s="60">
        <f ca="1">VALUE(LEFT(C331))</f>
        <v>4</v>
      </c>
      <c r="O331" s="61">
        <f ca="1">INT(IF(N331&gt;0,1+MAX(N331*N331-(IF(D331="",TODAY()+(5-N331)*15,D331)-TODAY())/4,N331),IF(TODAY()-M331&gt;10,0,1)))</f>
        <v>13</v>
      </c>
      <c r="P331" s="1" t="str">
        <f ca="1">IF(ISNA(VLOOKUP(A331,Projects!B:B,1,FALSE)),"","Yes")</f>
        <v>Yes</v>
      </c>
    </row>
    <row r="332" spans="1:16" ht="25.5">
      <c r="A332" s="4" t="s">
        <v>1058</v>
      </c>
      <c r="B332" s="5" t="s">
        <v>21</v>
      </c>
      <c r="C332" s="7" t="s">
        <v>48</v>
      </c>
      <c r="D332" s="11"/>
      <c r="F332" s="13" t="str">
        <f ca="1">VLOOKUP(LEFT(A332,IF(ISERROR(FIND(".",A332)),LEN(A332)+1,FIND(".",A332))-1),WorkList!A:C,3,FALSE)</f>
        <v xml:space="preserve">Shared application components </v>
      </c>
      <c r="G332" s="14" t="str">
        <f ca="1">VLOOKUP(CONCATENATE(A332),WorkList!A:C,3,FALSE)</f>
        <v>Consider putting boilerplate startup code in Common.Utilities.</v>
      </c>
      <c r="H332" s="13" t="str">
        <f ca="1">VLOOKUP(CONCATENATE(A332),WorkList!A:D,4,FALSE)</f>
        <v>Neil</v>
      </c>
      <c r="I332" s="15">
        <f ca="1">VLOOKUP(CONCATENATE(A332),WorkList!A:E,5,FALSE)</f>
        <v>40281</v>
      </c>
      <c r="J332" s="49">
        <f ca="1">VLOOKUP(CONCATENATE(A332),WorkList!A:F,6,FALSE)</f>
        <v>1</v>
      </c>
      <c r="K332" s="49" t="str">
        <f ca="1">VLOOKUP(CONCATENATE(A332),WorkList!A:G,7,FALSE)</f>
        <v>Enhancement</v>
      </c>
      <c r="L332" s="7" t="s">
        <v>13</v>
      </c>
      <c r="M332" s="16">
        <v>40457</v>
      </c>
      <c r="N332" s="60">
        <f ca="1">VALUE(LEFT(C332))</f>
        <v>0</v>
      </c>
      <c r="O332" s="61">
        <f ca="1">INT(IF(N332&gt;0,1+MAX(N332*N332-(IF(D332="",TODAY()+(5-N332)*15,D332)-TODAY())/4,N332),IF(TODAY()-M332&gt;10,0,1)))</f>
        <v>0</v>
      </c>
      <c r="P332" s="1" t="str">
        <f ca="1">IF(ISNA(VLOOKUP(A332,Projects!B:B,1,FALSE)),"","Yes")</f>
        <v/>
      </c>
    </row>
    <row r="333" spans="1:16" ht="38.25">
      <c r="A333" s="4" t="s">
        <v>1060</v>
      </c>
      <c r="B333" s="5" t="s">
        <v>11</v>
      </c>
      <c r="C333" s="7" t="s">
        <v>10</v>
      </c>
      <c r="D333" s="11"/>
      <c r="F333" s="13" t="str">
        <f ca="1">VLOOKUP(LEFT(A333,IF(ISERROR(FIND(".",A333)),LEN(A333)+1,FIND(".",A333))-1),WorkList!A:C,3,FALSE)</f>
        <v xml:space="preserve">Shared application components </v>
      </c>
      <c r="G333" s="14" t="str">
        <f ca="1">VLOOKUP(CONCATENATE(A333),WorkList!A:C,3,FALSE)</f>
        <v>Agree common terminology (and application level class/method names) for main application classes across all applications</v>
      </c>
      <c r="H333" s="13" t="str">
        <f ca="1">VLOOKUP(CONCATENATE(A333),WorkList!A:D,4,FALSE)</f>
        <v>Neil</v>
      </c>
      <c r="I333" s="15">
        <f ca="1">VLOOKUP(CONCATENATE(A333),WorkList!A:E,5,FALSE)</f>
        <v>40281</v>
      </c>
      <c r="J333" s="49">
        <f ca="1">VLOOKUP(CONCATENATE(A333),WorkList!A:F,6,FALSE)</f>
        <v>1</v>
      </c>
      <c r="K333" s="49" t="str">
        <f ca="1">VLOOKUP(CONCATENATE(A333),WorkList!A:G,7,FALSE)</f>
        <v>Enhancement</v>
      </c>
      <c r="L333" s="7" t="s">
        <v>7</v>
      </c>
      <c r="M333" s="16">
        <v>40308</v>
      </c>
      <c r="N333" s="60">
        <f ca="1">VALUE(LEFT(C333))</f>
        <v>3</v>
      </c>
      <c r="O333" s="61">
        <f ca="1">INT(IF(N333&gt;0,1+MAX(N333*N333-(IF(D333="",TODAY()+(5-N333)*15,D333)-TODAY())/4,N333),IF(TODAY()-M333&gt;10,0,1)))</f>
        <v>4</v>
      </c>
      <c r="P333" s="1" t="str">
        <f ca="1">IF(ISNA(VLOOKUP(A333,Projects!B:B,1,FALSE)),"","Yes")</f>
        <v/>
      </c>
    </row>
    <row r="334" spans="1:16" ht="25.5">
      <c r="A334" s="4" t="s">
        <v>1369</v>
      </c>
      <c r="B334" s="5" t="s">
        <v>21</v>
      </c>
      <c r="C334" s="7" t="s">
        <v>10</v>
      </c>
      <c r="F334" s="13" t="str">
        <f ca="1">VLOOKUP(LEFT(A334,IF(ISERROR(FIND(".",A334)),LEN(A334)+1,FIND(".",A334))-1),WorkList!A:C,3,FALSE)</f>
        <v xml:space="preserve">Shared application components </v>
      </c>
      <c r="G334" s="14" t="str">
        <f ca="1">VLOOKUP(CONCATENATE(A334),WorkList!A:C,3,FALSE)</f>
        <v>Implement a replacement for 'CommandLineParser' that is more robusts and logs the command line.</v>
      </c>
      <c r="H334" s="13" t="str">
        <f ca="1">VLOOKUP(CONCATENATE(A334),WorkList!A:D,4,FALSE)</f>
        <v>Neil</v>
      </c>
      <c r="I334" s="15">
        <f ca="1">VLOOKUP(CONCATENATE(A334),WorkList!A:E,5,FALSE)</f>
        <v>40387</v>
      </c>
      <c r="J334" s="49">
        <f ca="1">VLOOKUP(CONCATENATE(A334),WorkList!A:F,6,FALSE)</f>
        <v>1</v>
      </c>
      <c r="K334" s="49" t="str">
        <f ca="1">VLOOKUP(CONCATENATE(A334),WorkList!A:G,7,FALSE)</f>
        <v>Enhancement</v>
      </c>
      <c r="L334" s="7" t="s">
        <v>7</v>
      </c>
      <c r="M334" s="16">
        <v>40387</v>
      </c>
      <c r="N334" s="60">
        <f ca="1">VALUE(LEFT(C334))</f>
        <v>3</v>
      </c>
      <c r="O334" s="61">
        <f ca="1">INT(IF(N334&gt;0,1+MAX(N334*N334-(IF(D334="",TODAY()+(5-N334)*15,D334)-TODAY())/4,N334),IF(TODAY()-M334&gt;10,0,1)))</f>
        <v>4</v>
      </c>
      <c r="P334" s="1" t="str">
        <f ca="1">IF(ISNA(VLOOKUP(A334,Projects!B:B,1,FALSE)),"","Yes")</f>
        <v/>
      </c>
    </row>
    <row r="335" spans="1:16" ht="38.25">
      <c r="A335" s="4" t="s">
        <v>1712</v>
      </c>
      <c r="B335" s="5" t="s">
        <v>21</v>
      </c>
      <c r="C335" s="7" t="s">
        <v>12</v>
      </c>
      <c r="F335" s="13" t="str">
        <f ca="1">VLOOKUP(LEFT(A335,IF(ISERROR(FIND(".",A335)),LEN(A335)+1,FIND(".",A335))-1),WorkList!A:C,3,FALSE)</f>
        <v xml:space="preserve">Shared application components </v>
      </c>
      <c r="G335" s="14" t="str">
        <f ca="1">VLOOKUP(CONCATENATE(A335),WorkList!A:C,3,FALSE)</f>
        <v>Make an exception be thrown if databases from more than one server are accessed, except in special circumstances.</v>
      </c>
      <c r="H335" s="13" t="str">
        <f ca="1">VLOOKUP(CONCATENATE(A335),WorkList!A:D,4,FALSE)</f>
        <v>Neil</v>
      </c>
      <c r="I335" s="15">
        <f ca="1">VLOOKUP(CONCATENATE(A335),WorkList!A:E,5,FALSE)</f>
        <v>40505</v>
      </c>
      <c r="J335" s="49">
        <f ca="1">VLOOKUP(CONCATENATE(A335),WorkList!A:F,6,FALSE)</f>
        <v>1</v>
      </c>
      <c r="K335" s="49" t="str">
        <f ca="1">VLOOKUP(CONCATENATE(A335),WorkList!A:G,7,FALSE)</f>
        <v>Enhancement</v>
      </c>
      <c r="L335" s="7" t="s">
        <v>7</v>
      </c>
      <c r="M335" s="16">
        <v>40505</v>
      </c>
      <c r="N335" s="60">
        <f ca="1">VALUE(LEFT(C335))</f>
        <v>4</v>
      </c>
      <c r="O335" s="61">
        <f ca="1">INT(IF(N335&gt;0,1+MAX(N335*N335-(IF(D335="",TODAY()+(5-N335)*15,D335)-TODAY())/4,N335),IF(TODAY()-M335&gt;10,0,1)))</f>
        <v>13</v>
      </c>
      <c r="P335" s="1" t="str">
        <f ca="1">IF(ISNA(VLOOKUP(A335,Projects!B:B,1,FALSE)),"","Yes")</f>
        <v/>
      </c>
    </row>
    <row r="336" spans="1:16" ht="38.25">
      <c r="A336" s="4" t="s">
        <v>1714</v>
      </c>
      <c r="B336" s="5" t="s">
        <v>11</v>
      </c>
      <c r="C336" s="7" t="s">
        <v>48</v>
      </c>
      <c r="F336" s="13" t="str">
        <f ca="1">VLOOKUP(LEFT(A336,IF(ISERROR(FIND(".",A336)),LEN(A336)+1,FIND(".",A336))-1),WorkList!A:C,3,FALSE)</f>
        <v xml:space="preserve">Shared application components </v>
      </c>
      <c r="G336" s="14" t="str">
        <f ca="1">VLOOKUP(CONCATENATE(A336),WorkList!A:C,3,FALSE)</f>
        <v>Modify Environment Helper so that is returns an enum for the environment (throws if it is ambiguous), also a new method to return the EnvironmentDescription as a string.</v>
      </c>
      <c r="H336" s="13" t="str">
        <f ca="1">VLOOKUP(CONCATENATE(A336),WorkList!A:D,4,FALSE)</f>
        <v>Neil</v>
      </c>
      <c r="I336" s="15">
        <f ca="1">VLOOKUP(CONCATENATE(A336),WorkList!A:E,5,FALSE)</f>
        <v>40505</v>
      </c>
      <c r="J336" s="49">
        <f ca="1">VLOOKUP(CONCATENATE(A336),WorkList!A:F,6,FALSE)</f>
        <v>1</v>
      </c>
      <c r="K336" s="49" t="str">
        <f ca="1">VLOOKUP(CONCATENATE(A336),WorkList!A:G,7,FALSE)</f>
        <v>Enhancement</v>
      </c>
      <c r="L336" s="7" t="s">
        <v>13</v>
      </c>
      <c r="M336" s="16">
        <v>40505</v>
      </c>
      <c r="N336" s="60">
        <f ca="1">VALUE(LEFT(C336))</f>
        <v>0</v>
      </c>
      <c r="O336" s="61">
        <f ca="1">INT(IF(N336&gt;0,1+MAX(N336*N336-(IF(D336="",TODAY()+(5-N336)*15,D336)-TODAY())/4,N336),IF(TODAY()-M336&gt;10,0,1)))</f>
        <v>0</v>
      </c>
      <c r="P336" s="1" t="str">
        <f ca="1">IF(ISNA(VLOOKUP(A336,Projects!B:B,1,FALSE)),"","Yes")</f>
        <v/>
      </c>
    </row>
    <row r="337" spans="1:16" ht="25.5">
      <c r="A337" s="4" t="s">
        <v>1870</v>
      </c>
      <c r="B337" s="5" t="s">
        <v>11</v>
      </c>
      <c r="C337" s="7" t="s">
        <v>48</v>
      </c>
      <c r="F337" s="13" t="str">
        <f ca="1">VLOOKUP(LEFT(A337,IF(ISERROR(FIND(".",A337)),LEN(A337)+1,FIND(".",A337))-1),WorkList!A:C,3,FALSE)</f>
        <v xml:space="preserve">Shared application components </v>
      </c>
      <c r="G337" s="14" t="str">
        <f ca="1">VLOOKUP(CONCATENATE(A337),WorkList!A:C,3,FALSE)</f>
        <v>Find a way to determine the Current Business Date for batch jobs</v>
      </c>
      <c r="H337" s="13" t="str">
        <f ca="1">VLOOKUP(CONCATENATE(A337),WorkList!A:D,4,FALSE)</f>
        <v>Neil</v>
      </c>
      <c r="I337" s="15">
        <f ca="1">VLOOKUP(CONCATENATE(A337),WorkList!A:E,5,FALSE)</f>
        <v>40563</v>
      </c>
      <c r="J337" s="49">
        <f ca="1">VLOOKUP(CONCATENATE(A337),WorkList!A:F,6,FALSE)</f>
        <v>1</v>
      </c>
      <c r="K337" s="49" t="str">
        <f ca="1">VLOOKUP(CONCATENATE(A337),WorkList!A:G,7,FALSE)</f>
        <v>NewDevelopment</v>
      </c>
      <c r="L337" s="7" t="s">
        <v>13</v>
      </c>
      <c r="M337" s="16">
        <v>40589</v>
      </c>
      <c r="N337" s="60">
        <f ca="1">VALUE(LEFT(C337))</f>
        <v>0</v>
      </c>
      <c r="O337" s="61">
        <f ca="1">INT(IF(N337&gt;0,1+MAX(N337*N337-(IF(D337="",TODAY()+(5-N337)*15,D337)-TODAY())/4,N337),IF(TODAY()-M337&gt;10,0,1)))</f>
        <v>1</v>
      </c>
    </row>
    <row r="338" spans="1:16">
      <c r="A338" s="4" t="s">
        <v>1462</v>
      </c>
      <c r="B338" s="5" t="s">
        <v>11</v>
      </c>
      <c r="C338" s="6" t="s">
        <v>48</v>
      </c>
      <c r="D338" s="11"/>
      <c r="F338" s="13" t="str">
        <f ca="1">VLOOKUP(LEFT(A338,IF(ISERROR(FIND(".",A338)),LEN(A338)+1,FIND(".",A338))-1),WorkList!A:C,3,FALSE)</f>
        <v>Development Environment</v>
      </c>
      <c r="G338" s="14" t="str">
        <f ca="1">VLOOKUP(CONCATENATE(A338),WorkList!A:C,3,FALSE)</f>
        <v>Use, scripted, daily build mechanism for 'trunk'</v>
      </c>
      <c r="H338" s="13" t="str">
        <f ca="1">VLOOKUP(CONCATENATE(A338),WorkList!A:D,4,FALSE)</f>
        <v>Neil</v>
      </c>
      <c r="I338" s="15">
        <f ca="1">VLOOKUP(CONCATENATE(A338),WorkList!A:E,5,FALSE)</f>
        <v>40410</v>
      </c>
      <c r="J338" s="49">
        <f ca="1">VLOOKUP(CONCATENATE(A338),WorkList!A:F,6,FALSE)</f>
        <v>3</v>
      </c>
      <c r="K338" s="49" t="str">
        <f ca="1">VLOOKUP(CONCATENATE(A338),WorkList!A:G,7,FALSE)</f>
        <v>Enhancement</v>
      </c>
      <c r="L338" s="7" t="s">
        <v>13</v>
      </c>
      <c r="M338" s="16">
        <v>40520</v>
      </c>
      <c r="N338" s="60">
        <f ca="1">VALUE(LEFT(C338))</f>
        <v>0</v>
      </c>
      <c r="O338" s="61">
        <f ca="1">INT(IF(N338&gt;0,1+MAX(N338*N338-(IF(D338="",TODAY()+(5-N338)*15,D338)-TODAY())/4,N338),IF(TODAY()-M338&gt;10,0,1)))</f>
        <v>0</v>
      </c>
      <c r="P338" s="1" t="str">
        <f ca="1">IF(ISNA(VLOOKUP(A338,Projects!B:B,1,FALSE)),"","Yes")</f>
        <v/>
      </c>
    </row>
    <row r="339" spans="1:16">
      <c r="A339" s="4" t="s">
        <v>1463</v>
      </c>
      <c r="B339" s="5" t="s">
        <v>11</v>
      </c>
      <c r="C339" s="6" t="s">
        <v>48</v>
      </c>
      <c r="D339" s="11"/>
      <c r="F339" s="13" t="str">
        <f ca="1">VLOOKUP(LEFT(A339,IF(ISERROR(FIND(".",A339)),LEN(A339)+1,FIND(".",A339))-1),WorkList!A:C,3,FALSE)</f>
        <v>Development Environment</v>
      </c>
      <c r="G339" s="14" t="str">
        <f ca="1">VLOOKUP(CONCATENATE(A339),WorkList!A:C,3,FALSE)</f>
        <v>Gather dependancy information</v>
      </c>
      <c r="H339" s="13" t="str">
        <f ca="1">VLOOKUP(CONCATENATE(A339),WorkList!A:D,4,FALSE)</f>
        <v>Neil</v>
      </c>
      <c r="I339" s="15">
        <f ca="1">VLOOKUP(CONCATENATE(A339),WorkList!A:E,5,FALSE)</f>
        <v>40410</v>
      </c>
      <c r="J339" s="49">
        <f ca="1">VLOOKUP(CONCATENATE(A339),WorkList!A:F,6,FALSE)</f>
        <v>1</v>
      </c>
      <c r="K339" s="49" t="str">
        <f ca="1">VLOOKUP(CONCATENATE(A339),WorkList!A:G,7,FALSE)</f>
        <v>Enhancement</v>
      </c>
      <c r="L339" s="7" t="s">
        <v>13</v>
      </c>
      <c r="M339" s="16">
        <v>40438</v>
      </c>
      <c r="N339" s="60">
        <f ca="1">VALUE(LEFT(C339))</f>
        <v>0</v>
      </c>
      <c r="O339" s="61">
        <f ca="1">INT(IF(N339&gt;0,1+MAX(N339*N339-(IF(D339="",TODAY()+(5-N339)*15,D339)-TODAY())/4,N339),IF(TODAY()-M339&gt;10,0,1)))</f>
        <v>0</v>
      </c>
      <c r="P339" s="1" t="str">
        <f ca="1">IF(ISNA(VLOOKUP(A339,Projects!B:B,1,FALSE)),"","Yes")</f>
        <v/>
      </c>
    </row>
    <row r="340" spans="1:16">
      <c r="A340" s="4" t="s">
        <v>1752</v>
      </c>
      <c r="B340" s="5" t="s">
        <v>1159</v>
      </c>
      <c r="C340" s="7" t="s">
        <v>684</v>
      </c>
      <c r="F340" s="13" t="str">
        <f ca="1">VLOOKUP(LEFT(A340,IF(ISERROR(FIND(".",A340)),LEN(A340)+1,FIND(".",A340))-1),WorkList!A:C,3,FALSE)</f>
        <v>Development Environment</v>
      </c>
      <c r="G340" s="14" t="str">
        <f ca="1">VLOOKUP(CONCATENATE(A340),WorkList!A:C,3,FALSE)</f>
        <v>Make trunk build cleanly with CodeBaseChecker</v>
      </c>
      <c r="H340" s="13" t="str">
        <f ca="1">VLOOKUP(CONCATENATE(A340),WorkList!A:D,4,FALSE)</f>
        <v>Nei</v>
      </c>
      <c r="I340" s="15">
        <f ca="1">VLOOKUP(CONCATENATE(A340),WorkList!A:E,5,FALSE)</f>
        <v>40520</v>
      </c>
      <c r="J340" s="49">
        <f ca="1">VLOOKUP(CONCATENATE(A340),WorkList!A:F,6,FALSE)</f>
        <v>5</v>
      </c>
      <c r="K340" s="49" t="str">
        <f ca="1">VLOOKUP(CONCATENATE(A340),WorkList!A:G,7,FALSE)</f>
        <v>Maintenance</v>
      </c>
      <c r="L340" s="7" t="s">
        <v>5</v>
      </c>
      <c r="M340" s="16">
        <v>40553</v>
      </c>
      <c r="N340" s="60">
        <f ca="1">VALUE(LEFT(C340))</f>
        <v>5</v>
      </c>
      <c r="O340" s="61">
        <f ca="1">INT(IF(N340&gt;0,1+MAX(N340*N340-(IF(D340="",TODAY()+(5-N340)*15,D340)-TODAY())/4,N340),IF(TODAY()-M340&gt;10,0,1)))</f>
        <v>26</v>
      </c>
      <c r="P340" s="1" t="str">
        <f ca="1">IF(ISNA(VLOOKUP(A340,Projects!B:B,1,FALSE)),"","Yes")</f>
        <v/>
      </c>
    </row>
    <row r="341" spans="1:16">
      <c r="A341" s="4" t="s">
        <v>1940</v>
      </c>
      <c r="B341" s="5" t="s">
        <v>1159</v>
      </c>
      <c r="C341" s="7" t="s">
        <v>10</v>
      </c>
      <c r="F341" s="13" t="str">
        <f ca="1">VLOOKUP(LEFT(A341,IF(ISERROR(FIND(".",A341)),LEN(A341)+1,FIND(".",A341))-1),WorkList!A:C,3,FALSE)</f>
        <v>Development Environment</v>
      </c>
      <c r="G341" s="14" t="str">
        <f ca="1">VLOOKUP(CONCATENATE(A341),WorkList!A:C,3,FALSE)</f>
        <v>Move Code Base Checker to Stage</v>
      </c>
      <c r="H341" s="13" t="str">
        <f ca="1">VLOOKUP(CONCATENATE(A341),WorkList!A:D,4,FALSE)</f>
        <v>Neil</v>
      </c>
      <c r="I341" s="15">
        <f ca="1">VLOOKUP(CONCATENATE(A341),WorkList!A:E,5,FALSE)</f>
        <v>40590</v>
      </c>
      <c r="J341" s="49">
        <f ca="1">VLOOKUP(CONCATENATE(A341),WorkList!A:F,6,FALSE)</f>
        <v>1</v>
      </c>
      <c r="K341" s="49" t="str">
        <f ca="1">VLOOKUP(CONCATENATE(A341),WorkList!A:G,7,FALSE)</f>
        <v>Infrastructure</v>
      </c>
      <c r="L341" s="7" t="s">
        <v>5</v>
      </c>
      <c r="M341" s="16">
        <v>40590</v>
      </c>
      <c r="N341" s="60">
        <f ca="1">VALUE(LEFT(C341))</f>
        <v>3</v>
      </c>
      <c r="O341" s="61">
        <f ca="1">INT(IF(N341&gt;0,1+MAX(N341*N341-(IF(D341="",TODAY()+(5-N341)*15,D341)-TODAY())/4,N341),IF(TODAY()-M341&gt;10,0,1)))</f>
        <v>4</v>
      </c>
      <c r="P341" s="1" t="str">
        <f ca="1">IF(ISNA(VLOOKUP(A341,Projects!B:B,1,FALSE)),"","Yes")</f>
        <v/>
      </c>
    </row>
    <row r="342" spans="1:16">
      <c r="A342" s="4" t="s">
        <v>1325</v>
      </c>
      <c r="B342" s="5" t="s">
        <v>11</v>
      </c>
      <c r="C342" s="6" t="s">
        <v>48</v>
      </c>
      <c r="D342" s="11"/>
      <c r="F342" s="13" t="str">
        <f ca="1">VLOOKUP(LEFT(A342,IF(ISERROR(FIND(".",A342)),LEN(A342)+1,FIND(".",A342))-1),WorkList!A:C,3,FALSE)</f>
        <v>Development Environment</v>
      </c>
      <c r="G342" s="14" t="str">
        <f ca="1">VLOOKUP(CONCATENATE(A342),WorkList!A:C,3,FALSE)</f>
        <v>Schema save: Requirements</v>
      </c>
      <c r="H342" s="13" t="str">
        <f ca="1">VLOOKUP(CONCATENATE(A342),WorkList!A:D,4,FALSE)</f>
        <v>Neil</v>
      </c>
      <c r="I342" s="15">
        <f ca="1">VLOOKUP(CONCATENATE(A342),WorkList!A:E,5,FALSE)</f>
        <v>40361</v>
      </c>
      <c r="J342" s="49">
        <f ca="1">VLOOKUP(CONCATENATE(A342),WorkList!A:F,6,FALSE)</f>
        <v>2</v>
      </c>
      <c r="K342" s="49" t="str">
        <f ca="1">VLOOKUP(CONCATENATE(A342),WorkList!A:G,7,FALSE)</f>
        <v>Maintenance</v>
      </c>
      <c r="L342" s="7" t="s">
        <v>13</v>
      </c>
      <c r="M342" s="16">
        <v>39975</v>
      </c>
      <c r="N342" s="60">
        <f ca="1">VALUE(LEFT(C342))</f>
        <v>0</v>
      </c>
      <c r="O342" s="61">
        <f ca="1">INT(IF(N342&gt;0,1+MAX(N342*N342-(IF(D342="",TODAY()+(5-N342)*15,D342)-TODAY())/4,N342),IF(TODAY()-M342&gt;10,0,1)))</f>
        <v>0</v>
      </c>
      <c r="P342" s="1" t="str">
        <f ca="1">IF(ISNA(VLOOKUP(A342,Projects!B:B,1,FALSE)),"","Yes")</f>
        <v>Yes</v>
      </c>
    </row>
    <row r="343" spans="1:16">
      <c r="A343" s="4" t="s">
        <v>1326</v>
      </c>
      <c r="B343" s="5" t="s">
        <v>29</v>
      </c>
      <c r="C343" s="6" t="s">
        <v>48</v>
      </c>
      <c r="D343" s="11">
        <v>40411</v>
      </c>
      <c r="F343" s="13" t="str">
        <f ca="1">VLOOKUP(LEFT(A343,IF(ISERROR(FIND(".",A343)),LEN(A343)+1,FIND(".",A343))-1),WorkList!A:C,3,FALSE)</f>
        <v>Development Environment</v>
      </c>
      <c r="G343" s="14" t="str">
        <f ca="1">VLOOKUP(CONCATENATE(A343),WorkList!A:C,3,FALSE)</f>
        <v>Schema save: Build and test</v>
      </c>
      <c r="H343" s="13" t="str">
        <f ca="1">VLOOKUP(CONCATENATE(A343),WorkList!A:D,4,FALSE)</f>
        <v>Neil</v>
      </c>
      <c r="I343" s="15">
        <f ca="1">VLOOKUP(CONCATENATE(A343),WorkList!A:E,5,FALSE)</f>
        <v>40410</v>
      </c>
      <c r="J343" s="49">
        <f ca="1">VLOOKUP(CONCATENATE(A343),WorkList!A:F,6,FALSE)</f>
        <v>5</v>
      </c>
      <c r="K343" s="49" t="str">
        <f ca="1">VLOOKUP(CONCATENATE(A343),WorkList!A:G,7,FALSE)</f>
        <v>Maintenance</v>
      </c>
      <c r="L343" s="7" t="s">
        <v>13</v>
      </c>
      <c r="M343" s="16">
        <v>40417</v>
      </c>
      <c r="N343" s="60">
        <f ca="1">VALUE(LEFT(C343))</f>
        <v>0</v>
      </c>
      <c r="O343" s="61">
        <f ca="1">INT(IF(N343&gt;0,1+MAX(N343*N343-(IF(D343="",TODAY()+(5-N343)*15,D343)-TODAY())/4,N343),IF(TODAY()-M343&gt;10,0,1)))</f>
        <v>0</v>
      </c>
      <c r="P343" s="1" t="str">
        <f ca="1">IF(ISNA(VLOOKUP(A343,Projects!B:B,1,FALSE)),"","Yes")</f>
        <v>Yes</v>
      </c>
    </row>
    <row r="344" spans="1:16">
      <c r="A344" s="4" t="s">
        <v>1455</v>
      </c>
      <c r="B344" s="5" t="s">
        <v>29</v>
      </c>
      <c r="C344" s="6" t="s">
        <v>48</v>
      </c>
      <c r="D344" s="11">
        <v>40413</v>
      </c>
      <c r="F344" s="13" t="str">
        <f ca="1">VLOOKUP(LEFT(A344,IF(ISERROR(FIND(".",A344)),LEN(A344)+1,FIND(".",A344))-1),WorkList!A:C,3,FALSE)</f>
        <v>Development Environment</v>
      </c>
      <c r="G344" s="14" t="str">
        <f ca="1">VLOOKUP(CONCATENATE(A344),WorkList!A:C,3,FALSE)</f>
        <v>Schema save: Code review</v>
      </c>
      <c r="H344" s="13" t="str">
        <f ca="1">VLOOKUP(CONCATENATE(A344),WorkList!A:D,4,FALSE)</f>
        <v>Neil</v>
      </c>
      <c r="I344" s="15">
        <f ca="1">VLOOKUP(CONCATENATE(A344),WorkList!A:E,5,FALSE)</f>
        <v>40410</v>
      </c>
      <c r="J344" s="49">
        <f ca="1">VLOOKUP(CONCATENATE(A344),WorkList!A:F,6,FALSE)</f>
        <v>1</v>
      </c>
      <c r="K344" s="49" t="str">
        <f ca="1">VLOOKUP(CONCATENATE(A344),WorkList!A:G,7,FALSE)</f>
        <v>Maintenance</v>
      </c>
      <c r="L344" s="7" t="s">
        <v>13</v>
      </c>
      <c r="M344" s="16">
        <v>40532</v>
      </c>
      <c r="N344" s="60">
        <f ca="1">VALUE(LEFT(C344))</f>
        <v>0</v>
      </c>
      <c r="O344" s="61">
        <f ca="1">INT(IF(N344&gt;0,1+MAX(N344*N344-(IF(D344="",TODAY()+(5-N344)*15,D344)-TODAY())/4,N344),IF(TODAY()-M344&gt;10,0,1)))</f>
        <v>0</v>
      </c>
    </row>
    <row r="345" spans="1:16">
      <c r="A345" s="4" t="s">
        <v>1457</v>
      </c>
      <c r="B345" s="5" t="s">
        <v>29</v>
      </c>
      <c r="C345" s="6" t="s">
        <v>48</v>
      </c>
      <c r="D345" s="11">
        <v>40417</v>
      </c>
      <c r="F345" s="13" t="str">
        <f ca="1">VLOOKUP(LEFT(A345,IF(ISERROR(FIND(".",A345)),LEN(A345)+1,FIND(".",A345))-1),WorkList!A:C,3,FALSE)</f>
        <v>Development Environment</v>
      </c>
      <c r="G345" s="14" t="str">
        <f ca="1">VLOOKUP(CONCATENATE(A345),WorkList!A:C,3,FALSE)</f>
        <v>Schema save: Release</v>
      </c>
      <c r="H345" s="13" t="str">
        <f ca="1">VLOOKUP(CONCATENATE(A345),WorkList!A:D,4,FALSE)</f>
        <v>Neil</v>
      </c>
      <c r="I345" s="15">
        <f ca="1">VLOOKUP(CONCATENATE(A345),WorkList!A:E,5,FALSE)</f>
        <v>40410</v>
      </c>
      <c r="J345" s="49">
        <f ca="1">VLOOKUP(CONCATENATE(A345),WorkList!A:F,6,FALSE)</f>
        <v>1</v>
      </c>
      <c r="K345" s="49" t="str">
        <f ca="1">VLOOKUP(CONCATENATE(A345),WorkList!A:G,7,FALSE)</f>
        <v>Maintenance</v>
      </c>
      <c r="L345" s="7" t="s">
        <v>13</v>
      </c>
      <c r="M345" s="16">
        <v>40532</v>
      </c>
      <c r="N345" s="60">
        <f ca="1">VALUE(LEFT(C345))</f>
        <v>0</v>
      </c>
      <c r="O345" s="61">
        <f ca="1">INT(IF(N345&gt;0,1+MAX(N345*N345-(IF(D345="",TODAY()+(5-N345)*15,D345)-TODAY())/4,N345),IF(TODAY()-M345&gt;10,0,1)))</f>
        <v>0</v>
      </c>
    </row>
    <row r="346" spans="1:16" ht="38.25">
      <c r="A346" s="4" t="s">
        <v>1704</v>
      </c>
      <c r="B346" s="5" t="s">
        <v>29</v>
      </c>
      <c r="C346" s="7" t="s">
        <v>10</v>
      </c>
      <c r="F346" s="13" t="str">
        <f ca="1">VLOOKUP(LEFT(A346,IF(ISERROR(FIND(".",A346)),LEN(A346)+1,FIND(".",A346))-1),WorkList!A:C,3,FALSE)</f>
        <v>Development Environment</v>
      </c>
      <c r="G346" s="14" t="str">
        <f ca="1">VLOOKUP(CONCATENATE(A346),WorkList!A:C,3,FALSE)</f>
        <v>Make schema saver figure out it's own environment and only save the schema for the environment that it is running for,</v>
      </c>
      <c r="H346" s="13" t="str">
        <f ca="1">VLOOKUP(CONCATENATE(A346),WorkList!A:D,4,FALSE)</f>
        <v>Neil</v>
      </c>
      <c r="I346" s="15">
        <f ca="1">VLOOKUP(CONCATENATE(A346),WorkList!A:E,5,FALSE)</f>
        <v>40504</v>
      </c>
      <c r="J346" s="49">
        <f ca="1">VLOOKUP(CONCATENATE(A346),WorkList!A:F,6,FALSE)</f>
        <v>1</v>
      </c>
      <c r="K346" s="49" t="str">
        <f ca="1">VLOOKUP(CONCATENATE(A346),WorkList!A:G,7,FALSE)</f>
        <v>Enhancement</v>
      </c>
      <c r="L346" s="7" t="s">
        <v>7</v>
      </c>
      <c r="M346" s="16">
        <v>40505</v>
      </c>
      <c r="N346" s="60">
        <f ca="1">VALUE(LEFT(C346))</f>
        <v>3</v>
      </c>
      <c r="O346" s="61">
        <f ca="1">INT(IF(N346&gt;0,1+MAX(N346*N346-(IF(D346="",TODAY()+(5-N346)*15,D346)-TODAY())/4,N346),IF(TODAY()-M346&gt;10,0,1)))</f>
        <v>4</v>
      </c>
      <c r="P346" s="1" t="str">
        <f ca="1">IF(ISNA(VLOOKUP(A346,Projects!B:B,1,FALSE)),"","Yes")</f>
        <v/>
      </c>
    </row>
    <row r="347" spans="1:16" ht="25.5">
      <c r="A347" s="4" t="s">
        <v>1782</v>
      </c>
      <c r="B347" s="5" t="s">
        <v>29</v>
      </c>
      <c r="C347" s="7" t="s">
        <v>10</v>
      </c>
      <c r="F347" s="13" t="str">
        <f ca="1">VLOOKUP(LEFT(A347,IF(ISERROR(FIND(".",A347)),LEN(A347)+1,FIND(".",A347))-1),WorkList!A:C,3,FALSE)</f>
        <v>Development Environment</v>
      </c>
      <c r="G347" s="14" t="str">
        <f ca="1">VLOOKUP(CONCATENATE(A347),WorkList!A:C,3,FALSE)</f>
        <v>Make scripter produce SQL scripts that can be directly run on the server without modification.</v>
      </c>
      <c r="H347" s="13" t="str">
        <f ca="1">VLOOKUP(CONCATENATE(A347),WorkList!A:D,4,FALSE)</f>
        <v>Neil</v>
      </c>
      <c r="I347" s="15">
        <f ca="1">VLOOKUP(CONCATENATE(A347),WorkList!A:E,5,FALSE)</f>
        <v>40521</v>
      </c>
      <c r="J347" s="49">
        <f ca="1">VLOOKUP(CONCATENATE(A347),WorkList!A:F,6,FALSE)</f>
        <v>2</v>
      </c>
      <c r="K347" s="49" t="str">
        <f ca="1">VLOOKUP(CONCATENATE(A347),WorkList!A:G,7,FALSE)</f>
        <v>Enhancement</v>
      </c>
      <c r="L347" s="7" t="s">
        <v>5</v>
      </c>
      <c r="M347" s="16">
        <v>40246</v>
      </c>
      <c r="N347" s="60">
        <f ca="1">VALUE(LEFT(C347))</f>
        <v>3</v>
      </c>
      <c r="O347" s="61">
        <f ca="1">INT(IF(N347&gt;0,1+MAX(N347*N347-(IF(D347="",TODAY()+(5-N347)*15,D347)-TODAY())/4,N347),IF(TODAY()-M347&gt;10,0,1)))</f>
        <v>4</v>
      </c>
      <c r="P347" s="1" t="str">
        <f ca="1">IF(ISNA(VLOOKUP(A347,Projects!B:B,1,FALSE)),"","Yes")</f>
        <v/>
      </c>
    </row>
    <row r="348" spans="1:16">
      <c r="A348" s="4" t="s">
        <v>246</v>
      </c>
      <c r="B348" s="5" t="s">
        <v>52</v>
      </c>
      <c r="C348" s="7" t="s">
        <v>48</v>
      </c>
      <c r="D348" s="11"/>
      <c r="F348" s="13" t="str">
        <f ca="1">VLOOKUP(LEFT(A348,IF(ISERROR(FIND(".",A348)),LEN(A348)+1,FIND(".",A348))-1),WorkList!A:C,3,FALSE)</f>
        <v>Development Environment</v>
      </c>
      <c r="G348" s="14" t="str">
        <f ca="1">VLOOKUP(CONCATENATE(A348),WorkList!A:C,3,FALSE)</f>
        <v>Component One Licenses for Mumbai</v>
      </c>
      <c r="H348" s="13" t="str">
        <f ca="1">VLOOKUP(CONCATENATE(A348),WorkList!A:D,4,FALSE)</f>
        <v>Neil</v>
      </c>
      <c r="I348" s="15">
        <f ca="1">VLOOKUP(CONCATENATE(A348),WorkList!A:E,5,FALSE)</f>
        <v>39917</v>
      </c>
      <c r="J348" s="49">
        <f ca="1">VLOOKUP(CONCATENATE(A348),WorkList!A:F,6,FALSE)</f>
        <v>0</v>
      </c>
      <c r="K348" s="49">
        <f ca="1">VLOOKUP(CONCATENATE(A348),WorkList!A:G,7,FALSE)</f>
        <v>0</v>
      </c>
      <c r="L348" s="7" t="s">
        <v>13</v>
      </c>
      <c r="M348" s="16">
        <v>39932</v>
      </c>
      <c r="N348" s="60">
        <f ca="1">VALUE(LEFT(C348))</f>
        <v>0</v>
      </c>
      <c r="O348" s="61">
        <f ca="1">INT(IF(N348&gt;0,1+MAX(N348*N348-(IF(D348="",TODAY()+(5-N348)*15,D348)-TODAY())/4,N348),IF(TODAY()-M348&gt;10,0,1)))</f>
        <v>0</v>
      </c>
      <c r="P348" s="1" t="str">
        <f ca="1">IF(ISNA(VLOOKUP(A348,Projects!B:B,1,FALSE)),"","Yes")</f>
        <v/>
      </c>
    </row>
    <row r="349" spans="1:16">
      <c r="A349" s="4" t="s">
        <v>247</v>
      </c>
      <c r="B349" s="5" t="s">
        <v>32</v>
      </c>
      <c r="C349" s="6" t="s">
        <v>48</v>
      </c>
      <c r="D349" s="11"/>
      <c r="F349" s="13" t="str">
        <f ca="1">VLOOKUP(LEFT(A349,IF(ISERROR(FIND(".",A349)),LEN(A349)+1,FIND(".",A349))-1),WorkList!A:C,3,FALSE)</f>
        <v>Development Environment</v>
      </c>
      <c r="G349" s="14" t="str">
        <f ca="1">VLOOKUP(CONCATENATE(A349),WorkList!A:C,3,FALSE)</f>
        <v>Stop license warning box displaying</v>
      </c>
      <c r="H349" s="13" t="str">
        <f ca="1">VLOOKUP(CONCATENATE(A349),WorkList!A:D,4,FALSE)</f>
        <v>Neil</v>
      </c>
      <c r="I349" s="15">
        <f ca="1">VLOOKUP(CONCATENATE(A349),WorkList!A:E,5,FALSE)</f>
        <v>39975</v>
      </c>
      <c r="J349" s="49">
        <f ca="1">VLOOKUP(CONCATENATE(A349),WorkList!A:F,6,FALSE)</f>
        <v>0</v>
      </c>
      <c r="K349" s="49">
        <f ca="1">VLOOKUP(CONCATENATE(A349),WorkList!A:G,7,FALSE)</f>
        <v>0</v>
      </c>
      <c r="L349" s="7" t="s">
        <v>13</v>
      </c>
      <c r="M349" s="16">
        <v>39983</v>
      </c>
      <c r="N349" s="60">
        <f ca="1">VALUE(LEFT(C349))</f>
        <v>0</v>
      </c>
      <c r="O349" s="61">
        <f ca="1">INT(IF(N349&gt;0,1+MAX(N349*N349-(IF(D349="",TODAY()+(5-N349)*15,D349)-TODAY())/4,N349),IF(TODAY()-M349&gt;10,0,1)))</f>
        <v>0</v>
      </c>
      <c r="P349" s="1" t="str">
        <f ca="1">IF(ISNA(VLOOKUP(A349,Projects!B:B,1,FALSE)),"","Yes")</f>
        <v/>
      </c>
    </row>
    <row r="350" spans="1:16">
      <c r="A350" s="4" t="s">
        <v>959</v>
      </c>
      <c r="B350" s="5" t="s">
        <v>32</v>
      </c>
      <c r="C350" s="6" t="s">
        <v>48</v>
      </c>
      <c r="D350" s="11">
        <v>40257</v>
      </c>
      <c r="F350" s="13" t="str">
        <f ca="1">VLOOKUP(LEFT(A350,IF(ISERROR(FIND(".",A350)),LEN(A350)+1,FIND(".",A350))-1),WorkList!A:C,3,FALSE)</f>
        <v>Development Environment</v>
      </c>
      <c r="G350" s="14" t="str">
        <f ca="1">VLOOKUP(CONCATENATE(A350),WorkList!A:C,3,FALSE)</f>
        <v>Linq: determine appropriate usage and document</v>
      </c>
      <c r="H350" s="13" t="str">
        <f ca="1">VLOOKUP(CONCATENATE(A350),WorkList!A:D,4,FALSE)</f>
        <v>Neil</v>
      </c>
      <c r="I350" s="15">
        <f ca="1">VLOOKUP(CONCATENATE(A350),WorkList!A:E,5,FALSE)</f>
        <v>40283</v>
      </c>
      <c r="J350" s="49">
        <f ca="1">VLOOKUP(CONCATENATE(A350),WorkList!A:F,6,FALSE)</f>
        <v>1</v>
      </c>
      <c r="K350" s="49" t="str">
        <f ca="1">VLOOKUP(CONCATENATE(A350),WorkList!A:G,7,FALSE)</f>
        <v>Enhancement</v>
      </c>
      <c r="L350" s="7" t="s">
        <v>13</v>
      </c>
      <c r="M350" s="16">
        <v>40336</v>
      </c>
      <c r="N350" s="60">
        <f ca="1">VALUE(LEFT(C350))</f>
        <v>0</v>
      </c>
      <c r="O350" s="61">
        <f ca="1">INT(IF(N350&gt;0,1+MAX(N350*N350-(IF(D350="",TODAY()+(5-N350)*15,D350)-TODAY())/4,N350),IF(TODAY()-M350&gt;10,0,1)))</f>
        <v>0</v>
      </c>
      <c r="P350" s="1" t="str">
        <f ca="1">IF(ISNA(VLOOKUP(A350,Projects!B:B,1,FALSE)),"","Yes")</f>
        <v/>
      </c>
    </row>
    <row r="351" spans="1:16" ht="25.5">
      <c r="A351" s="4" t="s">
        <v>1028</v>
      </c>
      <c r="B351" s="5" t="s">
        <v>29</v>
      </c>
      <c r="C351" s="6" t="s">
        <v>48</v>
      </c>
      <c r="D351" s="11"/>
      <c r="F351" s="13" t="str">
        <f ca="1">VLOOKUP(LEFT(A351,IF(ISERROR(FIND(".",A351)),LEN(A351)+1,FIND(".",A351))-1),WorkList!A:C,3,FALSE)</f>
        <v>Development Environment</v>
      </c>
      <c r="G351" s="14" t="str">
        <f ca="1">VLOOKUP(CONCATENATE(A351),WorkList!A:C,3,FALSE)</f>
        <v>Figure out naming convention for WinForm controls and document</v>
      </c>
      <c r="H351" s="13" t="str">
        <f ca="1">VLOOKUP(CONCATENATE(A351),WorkList!A:D,4,FALSE)</f>
        <v>Neil</v>
      </c>
      <c r="I351" s="15">
        <f ca="1">VLOOKUP(CONCATENATE(A351),WorkList!A:E,5,FALSE)</f>
        <v>40283</v>
      </c>
      <c r="J351" s="49">
        <f ca="1">VLOOKUP(CONCATENATE(A351),WorkList!A:F,6,FALSE)</f>
        <v>0.5</v>
      </c>
      <c r="K351" s="49" t="str">
        <f ca="1">VLOOKUP(CONCATENATE(A351),WorkList!A:G,7,FALSE)</f>
        <v>Enhancement</v>
      </c>
      <c r="L351" s="7" t="s">
        <v>13</v>
      </c>
      <c r="M351" s="16">
        <v>40322</v>
      </c>
      <c r="N351" s="60">
        <f ca="1">VALUE(LEFT(C351))</f>
        <v>0</v>
      </c>
      <c r="O351" s="61">
        <f ca="1">INT(IF(N351&gt;0,1+MAX(N351*N351-(IF(D351="",TODAY()+(5-N351)*15,D351)-TODAY())/4,N351),IF(TODAY()-M351&gt;10,0,1)))</f>
        <v>0</v>
      </c>
      <c r="P351" s="1" t="str">
        <f ca="1">IF(ISNA(VLOOKUP(A351,Projects!B:B,1,FALSE)),"","Yes")</f>
        <v/>
      </c>
    </row>
    <row r="352" spans="1:16">
      <c r="A352" s="4" t="s">
        <v>1750</v>
      </c>
      <c r="B352" s="5" t="s">
        <v>11</v>
      </c>
      <c r="C352" s="6" t="s">
        <v>48</v>
      </c>
      <c r="F352" s="13" t="str">
        <f ca="1">VLOOKUP(LEFT(A352,IF(ISERROR(FIND(".",A352)),LEN(A352)+1,FIND(".",A352))-1),WorkList!A:C,3,FALSE)</f>
        <v>Development Environment</v>
      </c>
      <c r="G352" s="14" t="str">
        <f ca="1">VLOOKUP(CONCATENATE(A352),WorkList!A:C,3,FALSE)</f>
        <v>Get dataservers for QA and Stage</v>
      </c>
      <c r="H352" s="13" t="str">
        <f ca="1">VLOOKUP(CONCATENATE(A352),WorkList!A:D,4,FALSE)</f>
        <v>Neil</v>
      </c>
      <c r="I352" s="15">
        <f ca="1">VLOOKUP(CONCATENATE(A352),WorkList!A:E,5,FALSE)</f>
        <v>40520</v>
      </c>
      <c r="J352" s="49">
        <f ca="1">VLOOKUP(CONCATENATE(A352),WorkList!A:F,6,FALSE)</f>
        <v>1</v>
      </c>
      <c r="K352" s="49" t="str">
        <f ca="1">VLOOKUP(CONCATENATE(A352),WorkList!A:G,7,FALSE)</f>
        <v>Enhancement</v>
      </c>
      <c r="L352" s="7" t="s">
        <v>13</v>
      </c>
      <c r="M352" s="16">
        <v>39910</v>
      </c>
      <c r="N352" s="60">
        <f ca="1">VALUE(LEFT(C352))</f>
        <v>0</v>
      </c>
      <c r="O352" s="61">
        <f ca="1">INT(IF(N352&gt;0,1+MAX(N352*N352-(IF(D352="",TODAY()+(5-N352)*15,D352)-TODAY())/4,N352),IF(TODAY()-M352&gt;10,0,1)))</f>
        <v>0</v>
      </c>
      <c r="P352" s="1" t="str">
        <f ca="1">IF(ISNA(VLOOKUP(A352,Projects!B:B,1,FALSE)),"","Yes")</f>
        <v/>
      </c>
    </row>
    <row r="353" spans="1:16">
      <c r="A353" s="4" t="s">
        <v>1760</v>
      </c>
      <c r="B353" s="5" t="s">
        <v>32</v>
      </c>
      <c r="C353" s="6" t="s">
        <v>48</v>
      </c>
      <c r="F353" s="13" t="str">
        <f ca="1">VLOOKUP(LEFT(A353,IF(ISERROR(FIND(".",A353)),LEN(A353)+1,FIND(".",A353))-1),WorkList!A:C,3,FALSE)</f>
        <v>Development Environment</v>
      </c>
      <c r="G353" s="14" t="str">
        <f ca="1">VLOOKUP(CONCATENATE(A353),WorkList!A:C,3,FALSE)</f>
        <v>Get individual dev data server for Mumbai</v>
      </c>
      <c r="H353" s="13" t="str">
        <f ca="1">VLOOKUP(CONCATENATE(A353),WorkList!A:D,4,FALSE)</f>
        <v>Neil</v>
      </c>
      <c r="I353" s="15">
        <f ca="1">VLOOKUP(CONCATENATE(A353),WorkList!A:E,5,FALSE)</f>
        <v>40521</v>
      </c>
      <c r="J353" s="49">
        <f ca="1">VLOOKUP(CONCATENATE(A353),WorkList!A:F,6,FALSE)</f>
        <v>2</v>
      </c>
      <c r="K353" s="49" t="str">
        <f ca="1">VLOOKUP(CONCATENATE(A353),WorkList!A:G,7,FALSE)</f>
        <v>Other</v>
      </c>
      <c r="L353" s="7" t="s">
        <v>13</v>
      </c>
      <c r="M353" s="16">
        <v>40532</v>
      </c>
      <c r="N353" s="60">
        <f ca="1">VALUE(LEFT(C353))</f>
        <v>0</v>
      </c>
      <c r="O353" s="61">
        <f ca="1">INT(IF(N353&gt;0,1+MAX(N353*N353-(IF(D353="",TODAY()+(5-N353)*15,D353)-TODAY())/4,N353),IF(TODAY()-M353&gt;10,0,1)))</f>
        <v>0</v>
      </c>
      <c r="P353" s="1" t="str">
        <f ca="1">IF(ISNA(VLOOKUP(A353,Projects!B:B,1,FALSE)),"","Yes")</f>
        <v/>
      </c>
    </row>
    <row r="354" spans="1:16" ht="25.5">
      <c r="A354" s="4" t="s">
        <v>1778</v>
      </c>
      <c r="B354" s="5" t="s">
        <v>1159</v>
      </c>
      <c r="C354" s="6" t="s">
        <v>1087</v>
      </c>
      <c r="F354" s="13" t="str">
        <f ca="1">VLOOKUP(LEFT(A354,IF(ISERROR(FIND(".",A354)),LEN(A354)+1,FIND(".",A354))-1),WorkList!A:C,3,FALSE)</f>
        <v>Development Environment</v>
      </c>
      <c r="G354" s="14" t="str">
        <f ca="1">VLOOKUP(CONCATENATE(A354),WorkList!A:C,3,FALSE)</f>
        <v>Have permissions to run commands such as 'sp_who' and to kill processes</v>
      </c>
      <c r="H354" s="13" t="str">
        <f ca="1">VLOOKUP(CONCATENATE(A354),WorkList!A:D,4,FALSE)</f>
        <v>Neil</v>
      </c>
      <c r="I354" s="15">
        <f ca="1">VLOOKUP(CONCATENATE(A354),WorkList!A:E,5,FALSE)</f>
        <v>40521</v>
      </c>
      <c r="J354" s="49">
        <f ca="1">VLOOKUP(CONCATENATE(A354),WorkList!A:F,6,FALSE)</f>
        <v>1</v>
      </c>
      <c r="K354" s="49" t="str">
        <f ca="1">VLOOKUP(CONCATENATE(A354),WorkList!A:G,7,FALSE)</f>
        <v>Enhancement</v>
      </c>
      <c r="L354" s="7" t="s">
        <v>1096</v>
      </c>
      <c r="M354" s="16">
        <v>40526</v>
      </c>
      <c r="N354" s="60">
        <f ca="1">VALUE(LEFT(C354))</f>
        <v>0</v>
      </c>
      <c r="O354" s="61">
        <f ca="1">INT(IF(N354&gt;0,1+MAX(N354*N354-(IF(D354="",TODAY()+(5-N354)*15,D354)-TODAY())/4,N354),IF(TODAY()-M354&gt;10,0,1)))</f>
        <v>0</v>
      </c>
      <c r="P354" s="1" t="str">
        <f ca="1">IF(ISNA(VLOOKUP(A354,Projects!B:B,1,FALSE)),"","Yes")</f>
        <v/>
      </c>
    </row>
    <row r="355" spans="1:16">
      <c r="A355" s="4" t="s">
        <v>1780</v>
      </c>
      <c r="B355" s="5" t="s">
        <v>1159</v>
      </c>
      <c r="C355" s="7" t="s">
        <v>48</v>
      </c>
      <c r="F355" s="13" t="str">
        <f ca="1">VLOOKUP(LEFT(A355,IF(ISERROR(FIND(".",A355)),LEN(A355)+1,FIND(".",A355))-1),WorkList!A:C,3,FALSE)</f>
        <v>Development Environment</v>
      </c>
      <c r="G355" s="14" t="str">
        <f ca="1">VLOOKUP(CONCATENATE(A355),WorkList!A:C,3,FALSE)</f>
        <v>GetQuantify working</v>
      </c>
      <c r="H355" s="13" t="str">
        <f ca="1">VLOOKUP(CONCATENATE(A355),WorkList!A:D,4,FALSE)</f>
        <v>Neil</v>
      </c>
      <c r="I355" s="15">
        <f ca="1">VLOOKUP(CONCATENATE(A355),WorkList!A:E,5,FALSE)</f>
        <v>40521</v>
      </c>
      <c r="J355" s="49">
        <f ca="1">VLOOKUP(CONCATENATE(A355),WorkList!A:F,6,FALSE)</f>
        <v>0.5</v>
      </c>
      <c r="K355" s="49" t="str">
        <f ca="1">VLOOKUP(CONCATENATE(A355),WorkList!A:G,7,FALSE)</f>
        <v>Other</v>
      </c>
      <c r="L355" s="7" t="s">
        <v>13</v>
      </c>
      <c r="M355" s="16">
        <v>40563</v>
      </c>
      <c r="N355" s="60">
        <f ca="1">VALUE(LEFT(C355))</f>
        <v>0</v>
      </c>
      <c r="O355" s="61">
        <f ca="1">INT(IF(N355&gt;0,1+MAX(N355*N355-(IF(D355="",TODAY()+(5-N355)*15,D355)-TODAY())/4,N355),IF(TODAY()-M355&gt;10,0,1)))</f>
        <v>0</v>
      </c>
      <c r="P355" s="1" t="str">
        <f ca="1">IF(ISNA(VLOOKUP(A355,Projects!B:B,1,FALSE)),"","Yes")</f>
        <v/>
      </c>
    </row>
    <row r="356" spans="1:16">
      <c r="A356" s="4" t="s">
        <v>1784</v>
      </c>
      <c r="B356" s="5" t="s">
        <v>11</v>
      </c>
      <c r="C356" s="7" t="s">
        <v>38</v>
      </c>
      <c r="F356" s="13" t="str">
        <f ca="1">VLOOKUP(LEFT(A356,IF(ISERROR(FIND(".",A356)),LEN(A356)+1,FIND(".",A356))-1),WorkList!A:C,3,FALSE)</f>
        <v>Development Environment</v>
      </c>
      <c r="G356" s="14" t="str">
        <f ca="1">VLOOKUP(CONCATENATE(A356),WorkList!A:C,3,FALSE)</f>
        <v>Move to Firm SVN repository rather than Radial</v>
      </c>
      <c r="H356" s="13" t="str">
        <f ca="1">VLOOKUP(CONCATENATE(A356),WorkList!A:D,4,FALSE)</f>
        <v>Neil</v>
      </c>
      <c r="I356" s="15">
        <f ca="1">VLOOKUP(CONCATENATE(A356),WorkList!A:E,5,FALSE)</f>
        <v>40521</v>
      </c>
      <c r="J356" s="49">
        <f ca="1">VLOOKUP(CONCATENATE(A356),WorkList!A:F,6,FALSE)</f>
        <v>5</v>
      </c>
      <c r="K356" s="49" t="str">
        <f ca="1">VLOOKUP(CONCATENATE(A356),WorkList!A:G,7,FALSE)</f>
        <v>Maintenance</v>
      </c>
      <c r="L356" s="7" t="s">
        <v>7</v>
      </c>
      <c r="M356" s="16">
        <v>40246</v>
      </c>
      <c r="N356" s="60">
        <f ca="1">VALUE(LEFT(C356))</f>
        <v>2</v>
      </c>
      <c r="O356" s="61">
        <f ca="1">INT(IF(N356&gt;0,1+MAX(N356*N356-(IF(D356="",TODAY()+(5-N356)*15,D356)-TODAY())/4,N356),IF(TODAY()-M356&gt;10,0,1)))</f>
        <v>3</v>
      </c>
      <c r="P356" s="1" t="str">
        <f ca="1">IF(ISNA(VLOOKUP(A356,Projects!B:B,1,FALSE)),"","Yes")</f>
        <v/>
      </c>
    </row>
    <row r="357" spans="1:16">
      <c r="A357" s="4" t="s">
        <v>1029</v>
      </c>
      <c r="B357" s="5" t="s">
        <v>919</v>
      </c>
      <c r="C357" s="7" t="s">
        <v>12</v>
      </c>
      <c r="D357" s="11">
        <v>40276</v>
      </c>
      <c r="F357" s="13" t="str">
        <f ca="1">VLOOKUP(LEFT(A357,IF(ISERROR(FIND(".",A357)),LEN(A357)+1,FIND(".",A357))-1),WorkList!A:C,3,FALSE)</f>
        <v>Development Environment</v>
      </c>
      <c r="G357" s="14" t="str">
        <f ca="1">VLOOKUP(CONCATENATE(A357),WorkList!A:C,3,FALSE)</f>
        <v>Recommend Exception usage and document</v>
      </c>
      <c r="H357" s="13" t="str">
        <f ca="1">VLOOKUP(CONCATENATE(A357),WorkList!A:D,4,FALSE)</f>
        <v>Neil</v>
      </c>
      <c r="I357" s="15">
        <f ca="1">VLOOKUP(CONCATENATE(A357),WorkList!A:E,5,FALSE)</f>
        <v>40283</v>
      </c>
      <c r="J357" s="49">
        <f ca="1">VLOOKUP(CONCATENATE(A357),WorkList!A:F,6,FALSE)</f>
        <v>0.5</v>
      </c>
      <c r="K357" s="49" t="str">
        <f ca="1">VLOOKUP(CONCATENATE(A357),WorkList!A:G,7,FALSE)</f>
        <v>Enhancement</v>
      </c>
      <c r="L357" s="7" t="s">
        <v>7</v>
      </c>
      <c r="M357" s="16">
        <v>40291</v>
      </c>
      <c r="N357" s="60">
        <f ca="1">VALUE(LEFT(C357))</f>
        <v>4</v>
      </c>
      <c r="O357" s="61">
        <f ca="1">INT(IF(N357&gt;0,1+MAX(N357*N357-(IF(D357="",TODAY()+(5-N357)*15,D357)-TODAY())/4,N357),IF(TODAY()-M357&gt;10,0,1)))</f>
        <v>97</v>
      </c>
      <c r="P357" s="1" t="str">
        <f ca="1">IF(ISNA(VLOOKUP(A357,Projects!B:B,1,FALSE)),"","Yes")</f>
        <v/>
      </c>
    </row>
    <row r="358" spans="1:16">
      <c r="A358" s="4" t="s">
        <v>1078</v>
      </c>
      <c r="B358" s="5" t="s">
        <v>11</v>
      </c>
      <c r="C358" s="7" t="s">
        <v>48</v>
      </c>
      <c r="D358" s="11"/>
      <c r="F358" s="13" t="str">
        <f ca="1">VLOOKUP(LEFT(A358,IF(ISERROR(FIND(".",A358)),LEN(A358)+1,FIND(".",A358))-1),WorkList!A:C,3,FALSE)</f>
        <v>Development Environment</v>
      </c>
      <c r="G358" s="14" t="str">
        <f ca="1">VLOOKUP(CONCATENATE(A358),WorkList!A:C,3,FALSE)</f>
        <v>Review and acquire VS productivity tools</v>
      </c>
      <c r="H358" s="13" t="str">
        <f ca="1">VLOOKUP(CONCATENATE(A358),WorkList!A:D,4,FALSE)</f>
        <v>Pramendra</v>
      </c>
      <c r="I358" s="15">
        <f ca="1">VLOOKUP(CONCATENATE(A358),WorkList!A:E,5,FALSE)</f>
        <v>40287</v>
      </c>
      <c r="J358" s="49">
        <f ca="1">VLOOKUP(CONCATENATE(A358),WorkList!A:F,6,FALSE)</f>
        <v>1</v>
      </c>
      <c r="K358" s="49" t="str">
        <f ca="1">VLOOKUP(CONCATENATE(A358),WorkList!A:G,7,FALSE)</f>
        <v>Enhancement</v>
      </c>
      <c r="L358" s="7" t="s">
        <v>13</v>
      </c>
      <c r="M358" s="16">
        <v>40386</v>
      </c>
      <c r="N358" s="60">
        <f ca="1">VALUE(LEFT(C358))</f>
        <v>0</v>
      </c>
      <c r="O358" s="61">
        <f ca="1">INT(IF(N358&gt;0,1+MAX(N358*N358-(IF(D358="",TODAY()+(5-N358)*15,D358)-TODAY())/4,N358),IF(TODAY()-M358&gt;10,0,1)))</f>
        <v>0</v>
      </c>
      <c r="P358" s="1" t="str">
        <f ca="1">IF(ISNA(VLOOKUP(A358,Projects!B:B,1,FALSE)),"","Yes")</f>
        <v/>
      </c>
    </row>
    <row r="359" spans="1:16">
      <c r="A359" s="4" t="s">
        <v>1094</v>
      </c>
      <c r="B359" s="5" t="s">
        <v>11</v>
      </c>
      <c r="C359" s="7" t="s">
        <v>48</v>
      </c>
      <c r="D359" s="11">
        <v>40357</v>
      </c>
      <c r="F359" s="13" t="str">
        <f ca="1">VLOOKUP(LEFT(A359,IF(ISERROR(FIND(".",A359)),LEN(A359)+1,FIND(".",A359))-1),WorkList!A:C,3,FALSE)</f>
        <v>Development Environment</v>
      </c>
      <c r="G359" s="14" t="str">
        <f ca="1">VLOOKUP(CONCATENATE(A359),WorkList!A:C,3,FALSE)</f>
        <v>Find better way to tag libraries</v>
      </c>
      <c r="H359" s="13" t="str">
        <f ca="1">VLOOKUP(CONCATENATE(A359),WorkList!A:D,4,FALSE)</f>
        <v>Neil</v>
      </c>
      <c r="I359" s="15">
        <f ca="1">VLOOKUP(CONCATENATE(A359),WorkList!A:E,5,FALSE)</f>
        <v>40288</v>
      </c>
      <c r="J359" s="49">
        <f ca="1">VLOOKUP(CONCATENATE(A359),WorkList!A:F,6,FALSE)</f>
        <v>3</v>
      </c>
      <c r="K359" s="49" t="str">
        <f ca="1">VLOOKUP(CONCATENATE(A359),WorkList!A:G,7,FALSE)</f>
        <v>Enhancement</v>
      </c>
      <c r="L359" s="7" t="s">
        <v>13</v>
      </c>
      <c r="M359" s="16">
        <v>40360</v>
      </c>
      <c r="N359" s="60">
        <f ca="1">VALUE(LEFT(C359))</f>
        <v>0</v>
      </c>
      <c r="O359" s="61">
        <f ca="1">INT(IF(N359&gt;0,1+MAX(N359*N359-(IF(D359="",TODAY()+(5-N359)*15,D359)-TODAY())/4,N359),IF(TODAY()-M359&gt;10,0,1)))</f>
        <v>0</v>
      </c>
      <c r="P359" s="1" t="str">
        <f ca="1">IF(ISNA(VLOOKUP(A359,Projects!B:B,1,FALSE)),"","Yes")</f>
        <v>Yes</v>
      </c>
    </row>
    <row r="360" spans="1:16">
      <c r="A360" s="4" t="s">
        <v>1228</v>
      </c>
      <c r="B360" s="5" t="s">
        <v>1159</v>
      </c>
      <c r="C360" s="7" t="s">
        <v>48</v>
      </c>
      <c r="D360" s="7">
        <v>40354</v>
      </c>
      <c r="F360" s="13" t="str">
        <f ca="1">VLOOKUP(LEFT(A360,IF(ISERROR(FIND(".",A360)),LEN(A360)+1,FIND(".",A360))-1),WorkList!A:C,3,FALSE)</f>
        <v>Development Environment</v>
      </c>
      <c r="G360" s="14" t="str">
        <f ca="1">VLOOKUP(CONCATENATE(A360),WorkList!A:C,3,FALSE)</f>
        <v>Investigate applicability of WPF</v>
      </c>
      <c r="H360" s="13" t="str">
        <f ca="1">VLOOKUP(CONCATENATE(A360),WorkList!A:D,4,FALSE)</f>
        <v>Neil</v>
      </c>
      <c r="I360" s="15">
        <f ca="1">VLOOKUP(CONCATENATE(A360),WorkList!A:E,5,FALSE)</f>
        <v>40353</v>
      </c>
      <c r="J360" s="49">
        <f ca="1">VLOOKUP(CONCATENATE(A360),WorkList!A:F,6,FALSE)</f>
        <v>2</v>
      </c>
      <c r="K360" s="49" t="str">
        <f ca="1">VLOOKUP(CONCATENATE(A360),WorkList!A:G,7,FALSE)</f>
        <v>Other</v>
      </c>
      <c r="L360" s="7" t="s">
        <v>13</v>
      </c>
      <c r="M360" s="16">
        <v>40373</v>
      </c>
      <c r="N360" s="60">
        <f ca="1">VALUE(LEFT(C360))</f>
        <v>0</v>
      </c>
      <c r="O360" s="61">
        <f ca="1">INT(IF(N360&gt;0,1+MAX(N360*N360-(IF(D360="",TODAY()+(5-N360)*15,D360)-TODAY())/4,N360),IF(TODAY()-M360&gt;10,0,1)))</f>
        <v>0</v>
      </c>
      <c r="P360" s="1" t="str">
        <f ca="1">IF(ISNA(VLOOKUP(A360,Projects!B:B,1,FALSE)),"","Yes")</f>
        <v>Yes</v>
      </c>
    </row>
    <row r="361" spans="1:16">
      <c r="A361" s="4" t="s">
        <v>1367</v>
      </c>
      <c r="B361" s="5" t="s">
        <v>11</v>
      </c>
      <c r="C361" s="6" t="s">
        <v>48</v>
      </c>
      <c r="F361" s="13" t="str">
        <f ca="1">VLOOKUP(LEFT(A361,IF(ISERROR(FIND(".",A361)),LEN(A361)+1,FIND(".",A361))-1),WorkList!A:C,3,FALSE)</f>
        <v>Development Environment</v>
      </c>
      <c r="G361" s="14" t="str">
        <f ca="1">VLOOKUP(CONCATENATE(A361),WorkList!A:C,3,FALSE)</f>
        <v>Find a good way to patch applications reliably</v>
      </c>
      <c r="H361" s="13" t="str">
        <f ca="1">VLOOKUP(CONCATENATE(A361),WorkList!A:D,4,FALSE)</f>
        <v>Neil</v>
      </c>
      <c r="I361" s="15">
        <f ca="1">VLOOKUP(CONCATENATE(A361),WorkList!A:E,5,FALSE)</f>
        <v>40387</v>
      </c>
      <c r="J361" s="49">
        <f ca="1">VLOOKUP(CONCATENATE(A361),WorkList!A:F,6,FALSE)</f>
        <v>2</v>
      </c>
      <c r="K361" s="49" t="str">
        <f ca="1">VLOOKUP(CONCATENATE(A361),WorkList!A:G,7,FALSE)</f>
        <v>Enhancement</v>
      </c>
      <c r="L361" s="7" t="s">
        <v>13</v>
      </c>
      <c r="M361" s="16">
        <v>40410</v>
      </c>
      <c r="N361" s="60">
        <f ca="1">VALUE(LEFT(C361))</f>
        <v>0</v>
      </c>
      <c r="O361" s="61">
        <f ca="1">INT(IF(N361&gt;0,1+MAX(N361*N361-(IF(D361="",TODAY()+(5-N361)*15,D361)-TODAY())/4,N361),IF(TODAY()-M361&gt;10,0,1)))</f>
        <v>0</v>
      </c>
      <c r="P361" s="1" t="str">
        <f ca="1">IF(ISNA(VLOOKUP(A361,Projects!B:B,1,FALSE)),"","Yes")</f>
        <v/>
      </c>
    </row>
    <row r="362" spans="1:16">
      <c r="A362" s="4" t="s">
        <v>1547</v>
      </c>
      <c r="B362" s="5" t="s">
        <v>11</v>
      </c>
      <c r="C362" s="7" t="s">
        <v>1087</v>
      </c>
      <c r="F362" s="13" t="str">
        <f ca="1">VLOOKUP(LEFT(A362,IF(ISERROR(FIND(".",A362)),LEN(A362)+1,FIND(".",A362))-1),WorkList!A:C,3,FALSE)</f>
        <v>Development Environment</v>
      </c>
      <c r="G362" s="14" t="str">
        <f ca="1">VLOOKUP(CONCATENATE(A362),WorkList!A:C,3,FALSE)</f>
        <v>Extend Release Manager for Review branches</v>
      </c>
      <c r="H362" s="13" t="str">
        <f ca="1">VLOOKUP(CONCATENATE(A362),WorkList!A:D,4,FALSE)</f>
        <v>Neil</v>
      </c>
      <c r="I362" s="15">
        <f ca="1">VLOOKUP(CONCATENATE(A362),WorkList!A:E,5,FALSE)</f>
        <v>40452</v>
      </c>
      <c r="J362" s="49">
        <f ca="1">VLOOKUP(CONCATENATE(A362),WorkList!A:F,6,FALSE)</f>
        <v>2</v>
      </c>
      <c r="K362" s="49" t="str">
        <f ca="1">VLOOKUP(CONCATENATE(A362),WorkList!A:G,7,FALSE)</f>
        <v>Enhancement</v>
      </c>
      <c r="L362" s="7" t="s">
        <v>1096</v>
      </c>
      <c r="M362" s="16">
        <v>40520</v>
      </c>
      <c r="N362" s="60">
        <f ca="1">VALUE(LEFT(C362))</f>
        <v>0</v>
      </c>
      <c r="O362" s="61">
        <f ca="1">INT(IF(N362&gt;0,1+MAX(N362*N362-(IF(D362="",TODAY()+(5-N362)*15,D362)-TODAY())/4,N362),IF(TODAY()-M362&gt;10,0,1)))</f>
        <v>0</v>
      </c>
      <c r="P362" s="1" t="str">
        <f ca="1">IF(ISNA(VLOOKUP(A362,Projects!B:B,1,FALSE)),"","Yes")</f>
        <v/>
      </c>
    </row>
    <row r="363" spans="1:16">
      <c r="A363" s="4" t="s">
        <v>1571</v>
      </c>
      <c r="B363" s="5" t="s">
        <v>32</v>
      </c>
      <c r="C363" s="6" t="s">
        <v>48</v>
      </c>
      <c r="F363" s="13" t="str">
        <f ca="1">VLOOKUP(LEFT(A363,IF(ISERROR(FIND(".",A363)),LEN(A363)+1,FIND(".",A363))-1),WorkList!A:C,3,FALSE)</f>
        <v>Development Environment</v>
      </c>
      <c r="G363" s="14" t="str">
        <f ca="1">VLOOKUP(CONCATENATE(A363),WorkList!A:C,3,FALSE)</f>
        <v>Determine correct usage for task branches</v>
      </c>
      <c r="H363" s="13" t="str">
        <f ca="1">VLOOKUP(CONCATENATE(A363),WorkList!A:D,4,FALSE)</f>
        <v>Neil</v>
      </c>
      <c r="I363" s="15">
        <f ca="1">VLOOKUP(CONCATENATE(A363),WorkList!A:E,5,FALSE)</f>
        <v>40452</v>
      </c>
      <c r="J363" s="49">
        <f ca="1">VLOOKUP(CONCATENATE(A363),WorkList!A:F,6,FALSE)</f>
        <v>1</v>
      </c>
      <c r="K363" s="49" t="str">
        <f ca="1">VLOOKUP(CONCATENATE(A363),WorkList!A:G,7,FALSE)</f>
        <v>Enhancement</v>
      </c>
      <c r="L363" s="7" t="s">
        <v>13</v>
      </c>
      <c r="M363" s="16">
        <v>40498</v>
      </c>
      <c r="N363" s="60">
        <f ca="1">VALUE(LEFT(C363))</f>
        <v>0</v>
      </c>
      <c r="O363" s="61">
        <f ca="1">INT(IF(N363&gt;0,1+MAX(N363*N363-(IF(D363="",TODAY()+(5-N363)*15,D363)-TODAY())/4,N363),IF(TODAY()-M363&gt;10,0,1)))</f>
        <v>0</v>
      </c>
      <c r="P363" s="1" t="str">
        <f ca="1">IF(ISNA(VLOOKUP(A363,Projects!B:B,1,FALSE)),"","Yes")</f>
        <v/>
      </c>
    </row>
    <row r="364" spans="1:16">
      <c r="A364" s="4" t="s">
        <v>1860</v>
      </c>
      <c r="B364" s="5" t="s">
        <v>11</v>
      </c>
      <c r="C364" s="7" t="s">
        <v>10</v>
      </c>
      <c r="F364" s="13" t="str">
        <f ca="1">VLOOKUP(LEFT(A364,IF(ISERROR(FIND(".",A364)),LEN(A364)+1,FIND(".",A364))-1),WorkList!A:C,3,FALSE)</f>
        <v>Development Environment</v>
      </c>
      <c r="G364" s="14" t="str">
        <f ca="1">VLOOKUP(CONCATENATE(A364),WorkList!A:C,3,FALSE)</f>
        <v>Get Weekly copy of Prod to Stage DB in place</v>
      </c>
      <c r="H364" s="13" t="str">
        <f ca="1">VLOOKUP(CONCATENATE(A364),WorkList!A:D,4,FALSE)</f>
        <v>Neil</v>
      </c>
      <c r="I364" s="15">
        <f ca="1">VLOOKUP(CONCATENATE(A364),WorkList!A:E,5,FALSE)</f>
        <v>40563</v>
      </c>
      <c r="J364" s="49">
        <f ca="1">VLOOKUP(CONCATENATE(A364),WorkList!A:F,6,FALSE)</f>
        <v>2</v>
      </c>
      <c r="K364" s="49" t="str">
        <f ca="1">VLOOKUP(CONCATENATE(A364),WorkList!A:G,7,FALSE)</f>
        <v>Infrastructure</v>
      </c>
      <c r="L364" s="7" t="s">
        <v>5</v>
      </c>
      <c r="M364" s="16">
        <v>40563</v>
      </c>
      <c r="N364" s="60">
        <f ca="1">VALUE(LEFT(C364))</f>
        <v>3</v>
      </c>
      <c r="O364" s="61">
        <f ca="1">INT(IF(N364&gt;0,1+MAX(N364*N364-(IF(D364="",TODAY()+(5-N364)*15,D364)-TODAY())/4,N364),IF(TODAY()-M364&gt;10,0,1)))</f>
        <v>4</v>
      </c>
      <c r="P364" s="1" t="str">
        <f ca="1">IF(ISNA(VLOOKUP(A364,Projects!B:B,1,FALSE)),"","Yes")</f>
        <v/>
      </c>
    </row>
    <row r="365" spans="1:16">
      <c r="A365" s="4" t="s">
        <v>1862</v>
      </c>
      <c r="B365" s="5" t="s">
        <v>11</v>
      </c>
      <c r="C365" s="7" t="s">
        <v>10</v>
      </c>
      <c r="F365" s="13" t="str">
        <f ca="1">VLOOKUP(LEFT(A365,IF(ISERROR(FIND(".",A365)),LEN(A365)+1,FIND(".",A365))-1),WorkList!A:C,3,FALSE)</f>
        <v>Development Environment</v>
      </c>
      <c r="G365" s="14" t="str">
        <f ca="1">VLOOKUP(CONCATENATE(A365),WorkList!A:C,3,FALSE)</f>
        <v>Get easy way to copy Prod to QA + DEV on demand</v>
      </c>
      <c r="H365" s="13" t="str">
        <f ca="1">VLOOKUP(CONCATENATE(A365),WorkList!A:D,4,FALSE)</f>
        <v>Neil</v>
      </c>
      <c r="I365" s="15">
        <f ca="1">VLOOKUP(CONCATENATE(A365),WorkList!A:E,5,FALSE)</f>
        <v>40563</v>
      </c>
      <c r="J365" s="49">
        <f ca="1">VLOOKUP(CONCATENATE(A365),WorkList!A:F,6,FALSE)</f>
        <v>2</v>
      </c>
      <c r="K365" s="49" t="str">
        <f ca="1">VLOOKUP(CONCATENATE(A365),WorkList!A:G,7,FALSE)</f>
        <v>Infrastructure</v>
      </c>
      <c r="L365" s="7" t="s">
        <v>5</v>
      </c>
      <c r="M365" s="16">
        <v>40563</v>
      </c>
      <c r="N365" s="60">
        <f ca="1">VALUE(LEFT(C365))</f>
        <v>3</v>
      </c>
      <c r="O365" s="61">
        <f ca="1">INT(IF(N365&gt;0,1+MAX(N365*N365-(IF(D365="",TODAY()+(5-N365)*15,D365)-TODAY())/4,N365),IF(TODAY()-M365&gt;10,0,1)))</f>
        <v>4</v>
      </c>
      <c r="P365" s="1" t="str">
        <f ca="1">IF(ISNA(VLOOKUP(A365,Projects!B:B,1,FALSE)),"","Yes")</f>
        <v/>
      </c>
    </row>
    <row r="366" spans="1:16">
      <c r="A366" s="4" t="s">
        <v>588</v>
      </c>
      <c r="B366" s="5" t="s">
        <v>11</v>
      </c>
      <c r="C366" s="6" t="s">
        <v>48</v>
      </c>
      <c r="D366" s="11"/>
      <c r="F366" s="13" t="str">
        <f ca="1">VLOOKUP(LEFT(A366,IF(ISERROR(FIND(".",A366)),LEN(A366)+1,FIND(".",A366))-1),WorkList!A:C,3,FALSE)</f>
        <v>Production Environment</v>
      </c>
      <c r="G366" s="14" t="str">
        <f ca="1">VLOOKUP(CONCATENATE(A366),WorkList!A:C,3,FALSE)</f>
        <v>Get SAS Installed</v>
      </c>
      <c r="H366" s="13" t="str">
        <f ca="1">VLOOKUP(CONCATENATE(A366),WorkList!A:D,4,FALSE)</f>
        <v>David Covey</v>
      </c>
      <c r="I366" s="15">
        <f ca="1">VLOOKUP(CONCATENATE(A366),WorkList!A:E,5,FALSE)</f>
        <v>39917</v>
      </c>
      <c r="J366" s="49">
        <f ca="1">VLOOKUP(CONCATENATE(A366),WorkList!A:F,6,FALSE)</f>
        <v>0</v>
      </c>
      <c r="K366" s="49">
        <f ca="1">VLOOKUP(CONCATENATE(A366),WorkList!A:G,7,FALSE)</f>
        <v>0</v>
      </c>
      <c r="L366" s="7" t="s">
        <v>13</v>
      </c>
      <c r="M366" s="16">
        <v>40011</v>
      </c>
      <c r="N366" s="60">
        <f ca="1">VALUE(LEFT(C366))</f>
        <v>0</v>
      </c>
      <c r="O366" s="61">
        <f ca="1">INT(IF(N366&gt;0,1+MAX(N366*N366-(IF(D366="",TODAY()+(5-N366)*15,D366)-TODAY())/4,N366),IF(TODAY()-M366&gt;10,0,1)))</f>
        <v>0</v>
      </c>
      <c r="P366" s="1" t="str">
        <f ca="1">IF(ISNA(VLOOKUP(A366,Projects!B:B,1,FALSE)),"","Yes")</f>
        <v/>
      </c>
    </row>
    <row r="367" spans="1:16">
      <c r="A367" s="4" t="s">
        <v>589</v>
      </c>
      <c r="B367" s="5" t="s">
        <v>11</v>
      </c>
      <c r="C367" s="6" t="s">
        <v>48</v>
      </c>
      <c r="D367" s="11"/>
      <c r="F367" s="13" t="str">
        <f ca="1">VLOOKUP(LEFT(A367,IF(ISERROR(FIND(".",A367)),LEN(A367)+1,FIND(".",A367))-1),WorkList!A:C,3,FALSE)</f>
        <v>Production Environment</v>
      </c>
      <c r="G367" s="14" t="str">
        <f ca="1">VLOOKUP(CONCATENATE(A367),WorkList!A:C,3,FALSE)</f>
        <v>Get SAS Package Released</v>
      </c>
      <c r="H367" s="13" t="str">
        <f ca="1">VLOOKUP(CONCATENATE(A367),WorkList!A:D,4,FALSE)</f>
        <v>Neil</v>
      </c>
      <c r="I367" s="15">
        <f ca="1">VLOOKUP(CONCATENATE(A367),WorkList!A:E,5,FALSE)</f>
        <v>39979</v>
      </c>
      <c r="J367" s="49">
        <f ca="1">VLOOKUP(CONCATENATE(A367),WorkList!A:F,6,FALSE)</f>
        <v>0</v>
      </c>
      <c r="K367" s="49">
        <f ca="1">VLOOKUP(CONCATENATE(A367),WorkList!A:G,7,FALSE)</f>
        <v>0</v>
      </c>
      <c r="L367" s="7" t="s">
        <v>13</v>
      </c>
      <c r="M367" s="16">
        <v>39997</v>
      </c>
      <c r="N367" s="60">
        <f ca="1">VALUE(LEFT(C367))</f>
        <v>0</v>
      </c>
      <c r="O367" s="61">
        <f ca="1">INT(IF(N367&gt;0,1+MAX(N367*N367-(IF(D367="",TODAY()+(5-N367)*15,D367)-TODAY())/4,N367),IF(TODAY()-M367&gt;10,0,1)))</f>
        <v>0</v>
      </c>
      <c r="P367" s="1" t="str">
        <f ca="1">IF(ISNA(VLOOKUP(A367,Projects!B:B,1,FALSE)),"","Yes")</f>
        <v/>
      </c>
    </row>
    <row r="368" spans="1:16">
      <c r="A368" s="4" t="s">
        <v>590</v>
      </c>
      <c r="B368" s="5" t="s">
        <v>11</v>
      </c>
      <c r="C368" s="6" t="s">
        <v>48</v>
      </c>
      <c r="D368" s="11"/>
      <c r="F368" s="13" t="str">
        <f ca="1">VLOOKUP(LEFT(A368,IF(ISERROR(FIND(".",A368)),LEN(A368)+1,FIND(".",A368))-1),WorkList!A:C,3,FALSE)</f>
        <v>Production Environment</v>
      </c>
      <c r="G368" s="14" t="str">
        <f ca="1">VLOOKUP(CONCATENATE(A368),WorkList!A:C,3,FALSE)</f>
        <v>Get ODBC Drivers purchased</v>
      </c>
      <c r="H368" s="13" t="str">
        <f ca="1">VLOOKUP(CONCATENATE(A368),WorkList!A:D,4,FALSE)</f>
        <v>Neil</v>
      </c>
      <c r="I368" s="15">
        <f ca="1">VLOOKUP(CONCATENATE(A368),WorkList!A:E,5,FALSE)</f>
        <v>39979</v>
      </c>
      <c r="J368" s="49">
        <f ca="1">VLOOKUP(CONCATENATE(A368),WorkList!A:F,6,FALSE)</f>
        <v>0</v>
      </c>
      <c r="K368" s="49">
        <f ca="1">VLOOKUP(CONCATENATE(A368),WorkList!A:G,7,FALSE)</f>
        <v>0</v>
      </c>
      <c r="L368" s="7" t="s">
        <v>13</v>
      </c>
      <c r="M368" s="16">
        <v>40011</v>
      </c>
      <c r="N368" s="60">
        <f ca="1">VALUE(LEFT(C368))</f>
        <v>0</v>
      </c>
      <c r="O368" s="61">
        <f ca="1">INT(IF(N368&gt;0,1+MAX(N368*N368-(IF(D368="",TODAY()+(5-N368)*15,D368)-TODAY())/4,N368),IF(TODAY()-M368&gt;10,0,1)))</f>
        <v>0</v>
      </c>
      <c r="P368" s="1" t="str">
        <f ca="1">IF(ISNA(VLOOKUP(A368,Projects!B:B,1,FALSE)),"","Yes")</f>
        <v/>
      </c>
    </row>
    <row r="369" spans="1:16">
      <c r="A369" s="4" t="s">
        <v>591</v>
      </c>
      <c r="B369" s="5" t="s">
        <v>11</v>
      </c>
      <c r="C369" s="6" t="s">
        <v>48</v>
      </c>
      <c r="D369" s="11"/>
      <c r="F369" s="13" t="str">
        <f ca="1">VLOOKUP(LEFT(A369,IF(ISERROR(FIND(".",A369)),LEN(A369)+1,FIND(".",A369))-1),WorkList!A:C,3,FALSE)</f>
        <v>Production Environment</v>
      </c>
      <c r="G369" s="14" t="str">
        <f ca="1">VLOOKUP(CONCATENATE(A369),WorkList!A:C,3,FALSE)</f>
        <v>Get SAS Insight/JMP installed</v>
      </c>
      <c r="H369" s="13" t="str">
        <f ca="1">VLOOKUP(CONCATENATE(A369),WorkList!A:D,4,FALSE)</f>
        <v>Danny</v>
      </c>
      <c r="I369" s="15">
        <f ca="1">VLOOKUP(CONCATENATE(A369),WorkList!A:E,5,FALSE)</f>
        <v>40071</v>
      </c>
      <c r="J369" s="49">
        <f ca="1">VLOOKUP(CONCATENATE(A369),WorkList!A:F,6,FALSE)</f>
        <v>0</v>
      </c>
      <c r="K369" s="49">
        <f ca="1">VLOOKUP(CONCATENATE(A369),WorkList!A:G,7,FALSE)</f>
        <v>0</v>
      </c>
      <c r="L369" s="7" t="s">
        <v>13</v>
      </c>
      <c r="M369" s="16">
        <v>40107</v>
      </c>
      <c r="N369" s="60">
        <f ca="1">VALUE(LEFT(C369))</f>
        <v>0</v>
      </c>
      <c r="O369" s="61">
        <f ca="1">INT(IF(N369&gt;0,1+MAX(N369*N369-(IF(D369="",TODAY()+(5-N369)*15,D369)-TODAY())/4,N369),IF(TODAY()-M369&gt;10,0,1)))</f>
        <v>0</v>
      </c>
      <c r="P369" s="1" t="str">
        <f ca="1">IF(ISNA(VLOOKUP(A369,Projects!B:B,1,FALSE)),"","Yes")</f>
        <v/>
      </c>
    </row>
    <row r="370" spans="1:16">
      <c r="A370" s="4" t="s">
        <v>592</v>
      </c>
      <c r="B370" s="5" t="s">
        <v>11</v>
      </c>
      <c r="C370" s="6" t="s">
        <v>48</v>
      </c>
      <c r="D370" s="11"/>
      <c r="F370" s="13" t="str">
        <f ca="1">VLOOKUP(LEFT(A370,IF(ISERROR(FIND(".",A370)),LEN(A370)+1,FIND(".",A370))-1),WorkList!A:C,3,FALSE)</f>
        <v>Production Environment</v>
      </c>
      <c r="G370" s="14" t="str">
        <f ca="1">VLOOKUP(CONCATENATE(A370),WorkList!A:C,3,FALSE)</f>
        <v>Get SAS ETS installed.</v>
      </c>
      <c r="H370" s="13" t="str">
        <f ca="1">VLOOKUP(CONCATENATE(A370),WorkList!A:D,4,FALSE)</f>
        <v>Danny</v>
      </c>
      <c r="I370" s="15">
        <f ca="1">VLOOKUP(CONCATENATE(A370),WorkList!A:E,5,FALSE)</f>
        <v>40099</v>
      </c>
      <c r="J370" s="49">
        <f ca="1">VLOOKUP(CONCATENATE(A370),WorkList!A:F,6,FALSE)</f>
        <v>1</v>
      </c>
      <c r="K370" s="49">
        <f ca="1">VLOOKUP(CONCATENATE(A370),WorkList!A:G,7,FALSE)</f>
        <v>0</v>
      </c>
      <c r="L370" s="7" t="s">
        <v>13</v>
      </c>
      <c r="M370" s="16">
        <v>40196</v>
      </c>
      <c r="N370" s="60">
        <f ca="1">VALUE(LEFT(C370))</f>
        <v>0</v>
      </c>
      <c r="O370" s="61">
        <f ca="1">INT(IF(N370&gt;0,1+MAX(N370*N370-(IF(D370="",TODAY()+(5-N370)*15,D370)-TODAY())/4,N370),IF(TODAY()-M370&gt;10,0,1)))</f>
        <v>0</v>
      </c>
      <c r="P370" s="1" t="str">
        <f ca="1">IF(ISNA(VLOOKUP(A370,Projects!B:B,1,FALSE)),"","Yes")</f>
        <v/>
      </c>
    </row>
    <row r="371" spans="1:16">
      <c r="A371" s="4" t="s">
        <v>1222</v>
      </c>
      <c r="B371" s="5" t="s">
        <v>366</v>
      </c>
      <c r="C371" s="6" t="s">
        <v>48</v>
      </c>
      <c r="D371" s="11">
        <v>40369</v>
      </c>
      <c r="F371" s="13" t="str">
        <f ca="1">VLOOKUP(LEFT(A371,IF(ISERROR(FIND(".",A371)),LEN(A371)+1,FIND(".",A371))-1),WorkList!A:C,3,FALSE)</f>
        <v>Production Environment</v>
      </c>
      <c r="G371" s="14" t="str">
        <f ca="1">VLOOKUP(CONCATENATE(A371),WorkList!A:C,3,FALSE)</f>
        <v>Better SAS Tools</v>
      </c>
      <c r="H371" s="13" t="str">
        <f ca="1">VLOOKUP(CONCATENATE(A371),WorkList!A:D,4,FALSE)</f>
        <v>Danny</v>
      </c>
      <c r="I371" s="15">
        <f ca="1">VLOOKUP(CONCATENATE(A371),WorkList!A:E,5,FALSE)</f>
        <v>40352</v>
      </c>
      <c r="J371" s="49">
        <f ca="1">VLOOKUP(CONCATENATE(A371),WorkList!A:F,6,FALSE)</f>
        <v>0.5</v>
      </c>
      <c r="K371" s="49" t="str">
        <f ca="1">VLOOKUP(CONCATENATE(A371),WorkList!A:G,7,FALSE)</f>
        <v>Enhancement</v>
      </c>
      <c r="L371" s="7" t="s">
        <v>13</v>
      </c>
      <c r="M371" s="16">
        <v>40406</v>
      </c>
      <c r="N371" s="60">
        <f ca="1">VALUE(LEFT(C371))</f>
        <v>0</v>
      </c>
      <c r="O371" s="61">
        <f ca="1">INT(IF(N371&gt;0,1+MAX(N371*N371-(IF(D371="",TODAY()+(5-N371)*15,D371)-TODAY())/4,N371),IF(TODAY()-M371&gt;10,0,1)))</f>
        <v>0</v>
      </c>
      <c r="P371" s="1" t="str">
        <f ca="1">IF(ISNA(VLOOKUP(A371,Projects!B:B,1,FALSE)),"","Yes")</f>
        <v/>
      </c>
    </row>
    <row r="372" spans="1:16">
      <c r="A372" s="4" t="s">
        <v>1746</v>
      </c>
      <c r="B372" s="5" t="s">
        <v>11</v>
      </c>
      <c r="C372" s="7" t="s">
        <v>684</v>
      </c>
      <c r="E372" s="12">
        <v>1</v>
      </c>
      <c r="F372" s="13" t="str">
        <f ca="1">VLOOKUP(LEFT(A372,IF(ISERROR(FIND(".",A372)),LEN(A372)+1,FIND(".",A372))-1),WorkList!A:C,3,FALSE)</f>
        <v>Production Environment</v>
      </c>
      <c r="G372" s="14" t="str">
        <f ca="1">VLOOKUP(CONCATENATE(A372),WorkList!A:C,3,FALSE)</f>
        <v>SAS EG looses connections for Danny</v>
      </c>
      <c r="H372" s="13" t="str">
        <f ca="1">VLOOKUP(CONCATENATE(A372),WorkList!A:D,4,FALSE)</f>
        <v>Danny</v>
      </c>
      <c r="I372" s="15">
        <f ca="1">VLOOKUP(CONCATENATE(A372),WorkList!A:E,5,FALSE)</f>
        <v>40520</v>
      </c>
      <c r="J372" s="49">
        <f ca="1">VLOOKUP(CONCATENATE(A372),WorkList!A:F,6,FALSE)</f>
        <v>1</v>
      </c>
      <c r="K372" s="49" t="str">
        <f ca="1">VLOOKUP(CONCATENATE(A372),WorkList!A:G,7,FALSE)</f>
        <v>Support</v>
      </c>
      <c r="L372" s="7" t="s">
        <v>5</v>
      </c>
      <c r="M372" s="16">
        <v>40526</v>
      </c>
      <c r="N372" s="60">
        <f ca="1">VALUE(LEFT(C372))</f>
        <v>5</v>
      </c>
      <c r="O372" s="61">
        <f ca="1">INT(IF(N372&gt;0,1+MAX(N372*N372-(IF(D372="",TODAY()+(5-N372)*15,D372)-TODAY())/4,N372),IF(TODAY()-M372&gt;10,0,1)))</f>
        <v>26</v>
      </c>
    </row>
    <row r="373" spans="1:16">
      <c r="A373" s="4" t="s">
        <v>1887</v>
      </c>
      <c r="B373" s="5" t="s">
        <v>11</v>
      </c>
      <c r="C373" s="7" t="s">
        <v>12</v>
      </c>
      <c r="F373" s="13" t="str">
        <f ca="1">VLOOKUP(LEFT(A373,IF(ISERROR(FIND(".",A373)),LEN(A373)+1,FIND(".",A373))-1),WorkList!A:C,3,FALSE)</f>
        <v>Production Environment</v>
      </c>
      <c r="G373" s="14" t="str">
        <f ca="1">VLOOKUP(CONCATENATE(A373),WorkList!A:C,3,FALSE)</f>
        <v>Investigate JMP upgrade</v>
      </c>
      <c r="H373" s="13" t="str">
        <f ca="1">VLOOKUP(CONCATENATE(A373),WorkList!A:D,4,FALSE)</f>
        <v>Danny</v>
      </c>
      <c r="I373" s="15">
        <f ca="1">VLOOKUP(CONCATENATE(A373),WorkList!A:E,5,FALSE)</f>
        <v>40564</v>
      </c>
      <c r="J373" s="49">
        <f ca="1">VLOOKUP(CONCATENATE(A373),WorkList!A:F,6,FALSE)</f>
        <v>1</v>
      </c>
      <c r="K373" s="49" t="str">
        <f ca="1">VLOOKUP(CONCATENATE(A373),WorkList!A:G,7,FALSE)</f>
        <v>Support</v>
      </c>
      <c r="L373" s="7" t="s">
        <v>5</v>
      </c>
      <c r="M373" s="16">
        <v>40564</v>
      </c>
      <c r="N373" s="60">
        <f ca="1">VALUE(LEFT(C373))</f>
        <v>4</v>
      </c>
      <c r="O373" s="61">
        <f ca="1">INT(IF(N373&gt;0,1+MAX(N373*N373-(IF(D373="",TODAY()+(5-N373)*15,D373)-TODAY())/4,N373),IF(TODAY()-M373&gt;10,0,1)))</f>
        <v>13</v>
      </c>
      <c r="P373" s="1" t="str">
        <f ca="1">IF(ISNA(VLOOKUP(A373,Projects!B:B,1,FALSE)),"","Yes")</f>
        <v/>
      </c>
    </row>
    <row r="374" spans="1:16">
      <c r="A374" s="4" t="s">
        <v>593</v>
      </c>
      <c r="B374" s="5" t="s">
        <v>11</v>
      </c>
      <c r="C374" s="7" t="s">
        <v>48</v>
      </c>
      <c r="D374" s="11"/>
      <c r="F374" s="13" t="str">
        <f ca="1">VLOOKUP(LEFT(A374,IF(ISERROR(FIND(".",A374)),LEN(A374)+1,FIND(".",A374))-1),WorkList!A:C,3,FALSE)</f>
        <v>Production Environment</v>
      </c>
      <c r="G374" s="14" t="str">
        <f ca="1">VLOOKUP(CONCATENATE(A374),WorkList!A:C,3,FALSE)</f>
        <v>Get Ajay's team set up with the Deals DB</v>
      </c>
      <c r="H374" s="13" t="str">
        <f ca="1">VLOOKUP(CONCATENATE(A374),WorkList!A:D,4,FALSE)</f>
        <v>David Covey</v>
      </c>
      <c r="I374" s="15">
        <f ca="1">VLOOKUP(CONCATENATE(A374),WorkList!A:E,5,FALSE)</f>
        <v>40590</v>
      </c>
      <c r="J374" s="49">
        <f ca="1">VLOOKUP(CONCATENATE(A374),WorkList!A:F,6,FALSE)</f>
        <v>0</v>
      </c>
      <c r="K374" s="49">
        <f ca="1">VLOOKUP(CONCATENATE(A374),WorkList!A:G,7,FALSE)</f>
        <v>0</v>
      </c>
      <c r="L374" s="7" t="s">
        <v>13</v>
      </c>
      <c r="M374" s="16">
        <v>39932</v>
      </c>
      <c r="N374" s="60">
        <f ca="1">VALUE(LEFT(C374))</f>
        <v>0</v>
      </c>
      <c r="O374" s="61">
        <f ca="1">INT(IF(N374&gt;0,1+MAX(N374*N374-(IF(D374="",TODAY()+(5-N374)*15,D374)-TODAY())/4,N374),IF(TODAY()-M374&gt;10,0,1)))</f>
        <v>0</v>
      </c>
      <c r="P374" s="1" t="str">
        <f ca="1">IF(ISNA(VLOOKUP(A374,Projects!B:B,1,FALSE)),"","Yes")</f>
        <v/>
      </c>
    </row>
    <row r="375" spans="1:16">
      <c r="A375" s="4" t="s">
        <v>594</v>
      </c>
      <c r="B375" s="5" t="s">
        <v>55</v>
      </c>
      <c r="C375" s="7" t="s">
        <v>48</v>
      </c>
      <c r="D375" s="11"/>
      <c r="F375" s="13" t="str">
        <f ca="1">VLOOKUP(LEFT(A375,IF(ISERROR(FIND(".",A375)),LEN(A375)+1,FIND(".",A375))-1),WorkList!A:C,3,FALSE)</f>
        <v>Production Environment</v>
      </c>
      <c r="G375" s="14" t="str">
        <f ca="1">VLOOKUP(CONCATENATE(A375),WorkList!A:C,3,FALSE)</f>
        <v>Get AMS calendar fixed to add Ascension Day</v>
      </c>
      <c r="H375" s="13" t="str">
        <f ca="1">VLOOKUP(CONCATENATE(A375),WorkList!A:D,4,FALSE)</f>
        <v>Neil</v>
      </c>
      <c r="I375" s="15">
        <f ca="1">VLOOKUP(CONCATENATE(A375),WorkList!A:E,5,FALSE)</f>
        <v>39917</v>
      </c>
      <c r="J375" s="49">
        <f ca="1">VLOOKUP(CONCATENATE(A375),WorkList!A:F,6,FALSE)</f>
        <v>0</v>
      </c>
      <c r="K375" s="49">
        <f ca="1">VLOOKUP(CONCATENATE(A375),WorkList!A:G,7,FALSE)</f>
        <v>0</v>
      </c>
      <c r="L375" s="7" t="s">
        <v>13</v>
      </c>
      <c r="M375" s="16">
        <v>39938</v>
      </c>
      <c r="N375" s="60">
        <f ca="1">VALUE(LEFT(C375))</f>
        <v>0</v>
      </c>
      <c r="O375" s="61">
        <f ca="1">INT(IF(N375&gt;0,1+MAX(N375*N375-(IF(D375="",TODAY()+(5-N375)*15,D375)-TODAY())/4,N375),IF(TODAY()-M375&gt;10,0,1)))</f>
        <v>0</v>
      </c>
      <c r="P375" s="1" t="str">
        <f ca="1">IF(ISNA(VLOOKUP(A375,Projects!B:B,1,FALSE)),"","Yes")</f>
        <v/>
      </c>
    </row>
    <row r="376" spans="1:16">
      <c r="A376" s="4" t="s">
        <v>595</v>
      </c>
      <c r="B376" s="5" t="s">
        <v>32</v>
      </c>
      <c r="C376" s="6" t="s">
        <v>48</v>
      </c>
      <c r="D376" s="11"/>
      <c r="F376" s="13" t="str">
        <f ca="1">VLOOKUP(LEFT(A376,IF(ISERROR(FIND(".",A376)),LEN(A376)+1,FIND(".",A376))-1),WorkList!A:C,3,FALSE)</f>
        <v>Production Environment</v>
      </c>
      <c r="G376" s="14" t="str">
        <f ca="1">VLOOKUP(CONCATENATE(A376),WorkList!A:C,3,FALSE)</f>
        <v>Get Job Scheduling working on QA machine</v>
      </c>
      <c r="H376" s="13" t="str">
        <f ca="1">VLOOKUP(CONCATENATE(A376),WorkList!A:D,4,FALSE)</f>
        <v>Neil</v>
      </c>
      <c r="I376" s="15">
        <f ca="1">VLOOKUP(CONCATENATE(A376),WorkList!A:E,5,FALSE)</f>
        <v>39939</v>
      </c>
      <c r="J376" s="49">
        <f ca="1">VLOOKUP(CONCATENATE(A376),WorkList!A:F,6,FALSE)</f>
        <v>0</v>
      </c>
      <c r="K376" s="49">
        <f ca="1">VLOOKUP(CONCATENATE(A376),WorkList!A:G,7,FALSE)</f>
        <v>0</v>
      </c>
      <c r="L376" s="7" t="s">
        <v>13</v>
      </c>
      <c r="M376" s="16">
        <v>39997</v>
      </c>
      <c r="N376" s="60">
        <f ca="1">VALUE(LEFT(C376))</f>
        <v>0</v>
      </c>
      <c r="O376" s="61">
        <f ca="1">INT(IF(N376&gt;0,1+MAX(N376*N376-(IF(D376="",TODAY()+(5-N376)*15,D376)-TODAY())/4,N376),IF(TODAY()-M376&gt;10,0,1)))</f>
        <v>0</v>
      </c>
      <c r="P376" s="1" t="str">
        <f ca="1">IF(ISNA(VLOOKUP(A376,Projects!B:B,1,FALSE)),"","Yes")</f>
        <v/>
      </c>
    </row>
    <row r="377" spans="1:16">
      <c r="A377" s="4" t="s">
        <v>602</v>
      </c>
      <c r="B377" s="5" t="s">
        <v>11</v>
      </c>
      <c r="C377" s="6" t="s">
        <v>48</v>
      </c>
      <c r="D377" s="11"/>
      <c r="F377" s="13" t="str">
        <f ca="1">VLOOKUP(LEFT(A377,IF(ISERROR(FIND(".",A377)),LEN(A377)+1,FIND(".",A377))-1),WorkList!A:C,3,FALSE)</f>
        <v>Production Environment</v>
      </c>
      <c r="G377" s="14" t="str">
        <f ca="1">VLOOKUP(CONCATENATE(A377),WorkList!A:C,3,FALSE)</f>
        <v>Get a global writeable shared area for logs</v>
      </c>
      <c r="H377" s="13" t="str">
        <f ca="1">VLOOKUP(CONCATENATE(A377),WorkList!A:D,4,FALSE)</f>
        <v>Neil</v>
      </c>
      <c r="I377" s="15">
        <f ca="1">VLOOKUP(CONCATENATE(A377),WorkList!A:E,5,FALSE)</f>
        <v>39960</v>
      </c>
      <c r="J377" s="49">
        <f ca="1">VLOOKUP(CONCATENATE(A377),WorkList!A:F,6,FALSE)</f>
        <v>0</v>
      </c>
      <c r="K377" s="49">
        <f ca="1">VLOOKUP(CONCATENATE(A377),WorkList!A:G,7,FALSE)</f>
        <v>0</v>
      </c>
      <c r="L377" s="7" t="s">
        <v>13</v>
      </c>
      <c r="M377" s="16">
        <v>40011</v>
      </c>
      <c r="N377" s="60">
        <f ca="1">VALUE(LEFT(C377))</f>
        <v>0</v>
      </c>
      <c r="O377" s="61">
        <f ca="1">INT(IF(N377&gt;0,1+MAX(N377*N377-(IF(D377="",TODAY()+(5-N377)*15,D377)-TODAY())/4,N377),IF(TODAY()-M377&gt;10,0,1)))</f>
        <v>0</v>
      </c>
      <c r="P377" s="1" t="str">
        <f ca="1">IF(ISNA(VLOOKUP(A377,Projects!B:B,1,FALSE)),"","Yes")</f>
        <v/>
      </c>
    </row>
    <row r="378" spans="1:16">
      <c r="A378" s="4" t="s">
        <v>603</v>
      </c>
      <c r="B378" s="5" t="s">
        <v>21</v>
      </c>
      <c r="C378" s="7" t="s">
        <v>197</v>
      </c>
      <c r="D378" s="11"/>
      <c r="F378" s="13" t="str">
        <f ca="1">VLOOKUP(LEFT(A378,IF(ISERROR(FIND(".",A378)),LEN(A378)+1,FIND(".",A378))-1),WorkList!A:C,3,FALSE)</f>
        <v>Production Environment</v>
      </c>
      <c r="G378" s="14" t="str">
        <f ca="1">VLOOKUP(CONCATENATE(A378),WorkList!A:C,3,FALSE)</f>
        <v>Application to perform daily data quality checks</v>
      </c>
      <c r="H378" s="13" t="str">
        <f ca="1">VLOOKUP(CONCATENATE(A378),WorkList!A:D,4,FALSE)</f>
        <v>Neil</v>
      </c>
      <c r="I378" s="15">
        <f ca="1">VLOOKUP(CONCATENATE(A378),WorkList!A:E,5,FALSE)</f>
        <v>39962</v>
      </c>
      <c r="J378" s="49">
        <f ca="1">VLOOKUP(CONCATENATE(A378),WorkList!A:F,6,FALSE)</f>
        <v>5</v>
      </c>
      <c r="K378" s="49" t="str">
        <f ca="1">VLOOKUP(CONCATENATE(A378),WorkList!A:G,7,FALSE)</f>
        <v>Enhancement</v>
      </c>
      <c r="L378" s="7" t="s">
        <v>7</v>
      </c>
      <c r="M378" s="16">
        <v>40283</v>
      </c>
      <c r="N378" s="60">
        <f ca="1">VALUE(LEFT(C378))</f>
        <v>1</v>
      </c>
      <c r="O378" s="61">
        <f ca="1">INT(IF(N378&gt;0,1+MAX(N378*N378-(IF(D378="",TODAY()+(5-N378)*15,D378)-TODAY())/4,N378),IF(TODAY()-M378&gt;10,0,1)))</f>
        <v>2</v>
      </c>
      <c r="P378" s="1" t="str">
        <f ca="1">IF(ISNA(VLOOKUP(A378,Projects!B:B,1,FALSE)),"","Yes")</f>
        <v/>
      </c>
    </row>
    <row r="379" spans="1:16">
      <c r="A379" s="4" t="s">
        <v>596</v>
      </c>
      <c r="B379" s="5" t="s">
        <v>11</v>
      </c>
      <c r="C379" s="6" t="s">
        <v>48</v>
      </c>
      <c r="D379" s="11"/>
      <c r="F379" s="13" t="str">
        <f ca="1">VLOOKUP(LEFT(A379,IF(ISERROR(FIND(".",A379)),LEN(A379)+1,FIND(".",A379))-1),WorkList!A:C,3,FALSE)</f>
        <v>Production Environment</v>
      </c>
      <c r="G379" s="14" t="str">
        <f ca="1">VLOOKUP(CONCATENATE(A379),WorkList!A:C,3,FALSE)</f>
        <v>Get eabs_p1/q1 set up for email and Fingal share access</v>
      </c>
      <c r="H379" s="13" t="str">
        <f ca="1">VLOOKUP(CONCATENATE(A379),WorkList!A:D,4,FALSE)</f>
        <v>Neil</v>
      </c>
      <c r="I379" s="15">
        <f ca="1">VLOOKUP(CONCATENATE(A379),WorkList!A:E,5,FALSE)</f>
        <v>39975</v>
      </c>
      <c r="J379" s="49">
        <f ca="1">VLOOKUP(CONCATENATE(A379),WorkList!A:F,6,FALSE)</f>
        <v>0</v>
      </c>
      <c r="K379" s="49">
        <f ca="1">VLOOKUP(CONCATENATE(A379),WorkList!A:G,7,FALSE)</f>
        <v>0</v>
      </c>
      <c r="L379" s="7" t="s">
        <v>13</v>
      </c>
      <c r="M379" s="16">
        <v>40002</v>
      </c>
      <c r="N379" s="60">
        <f ca="1">VALUE(LEFT(C379))</f>
        <v>0</v>
      </c>
      <c r="O379" s="61">
        <f ca="1">INT(IF(N379&gt;0,1+MAX(N379*N379-(IF(D379="",TODAY()+(5-N379)*15,D379)-TODAY())/4,N379),IF(TODAY()-M379&gt;10,0,1)))</f>
        <v>0</v>
      </c>
      <c r="P379" s="1" t="str">
        <f ca="1">IF(ISNA(VLOOKUP(A379,Projects!B:B,1,FALSE)),"","Yes")</f>
        <v/>
      </c>
    </row>
    <row r="380" spans="1:16">
      <c r="A380" s="4" t="s">
        <v>1963</v>
      </c>
      <c r="B380" s="5" t="s">
        <v>11</v>
      </c>
      <c r="C380" s="6" t="s">
        <v>48</v>
      </c>
      <c r="D380" s="11"/>
      <c r="F380" s="13" t="str">
        <f ca="1">VLOOKUP(LEFT(A380,IF(ISERROR(FIND(".",A380)),LEN(A380)+1,FIND(".",A380))-1),WorkList!A:C,3,FALSE)</f>
        <v>Production Environment</v>
      </c>
      <c r="G380" s="14" t="str">
        <f ca="1">VLOOKUP(CONCATENATE(A380),WorkList!A:C,3,FALSE)</f>
        <v>Get eabs_p1/q1 set up for Internet</v>
      </c>
      <c r="H380" s="13" t="str">
        <f ca="1">VLOOKUP(CONCATENATE(A380),WorkList!A:D,4,FALSE)</f>
        <v>Pramendra</v>
      </c>
      <c r="I380" s="15">
        <f ca="1">VLOOKUP(CONCATENATE(A380),WorkList!A:E,5,FALSE)</f>
        <v>40049</v>
      </c>
      <c r="J380" s="49">
        <f ca="1">VLOOKUP(CONCATENATE(A380),WorkList!A:F,6,FALSE)</f>
        <v>0</v>
      </c>
      <c r="K380" s="49">
        <f ca="1">VLOOKUP(CONCATENATE(A380),WorkList!A:G,7,FALSE)</f>
        <v>0</v>
      </c>
      <c r="L380" s="7" t="s">
        <v>13</v>
      </c>
      <c r="M380" s="16">
        <v>40045</v>
      </c>
      <c r="N380" s="60">
        <f ca="1">VALUE(LEFT(C380))</f>
        <v>0</v>
      </c>
      <c r="O380" s="61">
        <f ca="1">INT(IF(N380&gt;0,1+MAX(N380*N380-(IF(D380="",TODAY()+(5-N380)*15,D380)-TODAY())/4,N380),IF(TODAY()-M380&gt;10,0,1)))</f>
        <v>0</v>
      </c>
      <c r="P380" s="1" t="str">
        <f ca="1">IF(ISNA(VLOOKUP(A380,Projects!B:B,1,FALSE)),"","Yes")</f>
        <v/>
      </c>
    </row>
    <row r="381" spans="1:16">
      <c r="A381" s="4" t="s">
        <v>597</v>
      </c>
      <c r="B381" s="5" t="s">
        <v>37</v>
      </c>
      <c r="C381" s="6" t="s">
        <v>48</v>
      </c>
      <c r="D381" s="11"/>
      <c r="F381" s="13" t="str">
        <f ca="1">VLOOKUP(LEFT(A381,IF(ISERROR(FIND(".",A381)),LEN(A381)+1,FIND(".",A381))-1),WorkList!A:C,3,FALSE)</f>
        <v>Production Environment</v>
      </c>
      <c r="G381" s="14" t="str">
        <f ca="1">VLOOKUP(CONCATENATE(A381),WorkList!A:C,3,FALSE)</f>
        <v>Get familiar with ABSNetDataLoader</v>
      </c>
      <c r="H381" s="13" t="str">
        <f ca="1">VLOOKUP(CONCATENATE(A381),WorkList!A:D,4,FALSE)</f>
        <v>Neil</v>
      </c>
      <c r="I381" s="15">
        <f ca="1">VLOOKUP(CONCATENATE(A381),WorkList!A:E,5,FALSE)</f>
        <v>39993</v>
      </c>
      <c r="J381" s="49">
        <f ca="1">VLOOKUP(CONCATENATE(A381),WorkList!A:F,6,FALSE)</f>
        <v>0</v>
      </c>
      <c r="K381" s="49">
        <f ca="1">VLOOKUP(CONCATENATE(A381),WorkList!A:G,7,FALSE)</f>
        <v>0</v>
      </c>
      <c r="L381" s="7" t="s">
        <v>13</v>
      </c>
      <c r="M381" s="16">
        <v>40008</v>
      </c>
      <c r="N381" s="60">
        <f ca="1">VALUE(LEFT(C381))</f>
        <v>0</v>
      </c>
      <c r="O381" s="61">
        <f ca="1">INT(IF(N381&gt;0,1+MAX(N381*N381-(IF(D381="",TODAY()+(5-N381)*15,D381)-TODAY())/4,N381),IF(TODAY()-M381&gt;10,0,1)))</f>
        <v>0</v>
      </c>
      <c r="P381" s="1" t="str">
        <f ca="1">IF(ISNA(VLOOKUP(A381,Projects!B:B,1,FALSE)),"","Yes")</f>
        <v/>
      </c>
    </row>
    <row r="382" spans="1:16">
      <c r="A382" s="4" t="s">
        <v>1775</v>
      </c>
      <c r="B382" s="5" t="s">
        <v>1159</v>
      </c>
      <c r="C382" s="7" t="s">
        <v>48</v>
      </c>
      <c r="F382" s="13" t="str">
        <f ca="1">VLOOKUP(LEFT(A382,IF(ISERROR(FIND(".",A382)),LEN(A382)+1,FIND(".",A382))-1),WorkList!A:C,3,FALSE)</f>
        <v>Production Environment</v>
      </c>
      <c r="G382" s="14" t="str">
        <f ca="1">VLOOKUP(CONCATENATE(A382),WorkList!A:C,3,FALSE)</f>
        <v>Have permissions to run commands such as 'sp_who'</v>
      </c>
      <c r="H382" s="13" t="str">
        <f ca="1">VLOOKUP(CONCATENATE(A382),WorkList!A:D,4,FALSE)</f>
        <v>Neil</v>
      </c>
      <c r="I382" s="15">
        <f ca="1">VLOOKUP(CONCATENATE(A382),WorkList!A:E,5,FALSE)</f>
        <v>40521</v>
      </c>
      <c r="J382" s="49">
        <f ca="1">VLOOKUP(CONCATENATE(A382),WorkList!A:F,6,FALSE)</f>
        <v>1</v>
      </c>
      <c r="K382" s="49" t="str">
        <f ca="1">VLOOKUP(CONCATENATE(A382),WorkList!A:G,7,FALSE)</f>
        <v>Enhancement</v>
      </c>
      <c r="L382" s="7" t="s">
        <v>13</v>
      </c>
      <c r="M382" s="16">
        <v>40526</v>
      </c>
      <c r="N382" s="60">
        <f ca="1">VALUE(LEFT(C382))</f>
        <v>0</v>
      </c>
      <c r="O382" s="61">
        <f ca="1">INT(IF(N382&gt;0,1+MAX(N382*N382-(IF(D382="",TODAY()+(5-N382)*15,D382)-TODAY())/4,N382),IF(TODAY()-M382&gt;10,0,1)))</f>
        <v>0</v>
      </c>
      <c r="P382" s="1" t="str">
        <f ca="1">IF(ISNA(VLOOKUP(A382,Projects!B:B,1,FALSE)),"","Yes")</f>
        <v/>
      </c>
    </row>
    <row r="383" spans="1:16" ht="25.5">
      <c r="A383" s="4" t="s">
        <v>1779</v>
      </c>
      <c r="B383" s="5" t="s">
        <v>11</v>
      </c>
      <c r="C383" s="7" t="s">
        <v>12</v>
      </c>
      <c r="F383" s="13" t="str">
        <f ca="1">VLOOKUP(LEFT(A383,IF(ISERROR(FIND(".",A383)),LEN(A383)+1,FIND(".",A383))-1),WorkList!A:C,3,FALSE)</f>
        <v>Production Environment</v>
      </c>
      <c r="G383" s="14" t="str">
        <f ca="1">VLOOKUP(CONCATENATE(A383),WorkList!A:C,3,FALSE)</f>
        <v>Figure out a better support approach for production support</v>
      </c>
      <c r="H383" s="13" t="str">
        <f ca="1">VLOOKUP(CONCATENATE(A383),WorkList!A:D,4,FALSE)</f>
        <v>Neil</v>
      </c>
      <c r="I383" s="15">
        <f ca="1">VLOOKUP(CONCATENATE(A383),WorkList!A:E,5,FALSE)</f>
        <v>40563</v>
      </c>
      <c r="J383" s="49">
        <f ca="1">VLOOKUP(CONCATENATE(A383),WorkList!A:F,6,FALSE)</f>
        <v>1</v>
      </c>
      <c r="K383" s="49" t="str">
        <f ca="1">VLOOKUP(CONCATENATE(A383),WorkList!A:G,7,FALSE)</f>
        <v>Enhancement</v>
      </c>
      <c r="L383" s="7" t="s">
        <v>7</v>
      </c>
      <c r="M383" s="16">
        <v>40521</v>
      </c>
      <c r="N383" s="60">
        <f ca="1">VALUE(LEFT(C383))</f>
        <v>4</v>
      </c>
      <c r="O383" s="61">
        <f ca="1">INT(IF(N383&gt;0,1+MAX(N383*N383-(IF(D383="",TODAY()+(5-N383)*15,D383)-TODAY())/4,N383),IF(TODAY()-M383&gt;10,0,1)))</f>
        <v>13</v>
      </c>
      <c r="P383" s="1" t="str">
        <f ca="1">IF(ISNA(VLOOKUP(A383,Projects!B:B,1,FALSE)),"","Yes")</f>
        <v/>
      </c>
    </row>
    <row r="384" spans="1:16">
      <c r="A384" s="4" t="s">
        <v>1791</v>
      </c>
      <c r="B384" s="5" t="s">
        <v>11</v>
      </c>
      <c r="C384" s="6" t="s">
        <v>684</v>
      </c>
      <c r="D384" s="11"/>
      <c r="F384" s="13" t="str">
        <f ca="1">VLOOKUP(LEFT(A384,IF(ISERROR(FIND(".",A384)),LEN(A384)+1,FIND(".",A384))-1),WorkList!A:C,3,FALSE)</f>
        <v>Production Environment</v>
      </c>
      <c r="G384" s="14" t="str">
        <f ca="1">VLOOKUP(CONCATENATE(A384),WorkList!A:C,3,FALSE)</f>
        <v>SAS loses connections to database</v>
      </c>
      <c r="H384" s="13" t="str">
        <f ca="1">VLOOKUP(CONCATENATE(A384),WorkList!A:D,4,FALSE)</f>
        <v>Danny</v>
      </c>
      <c r="I384" s="15">
        <f ca="1">VLOOKUP(CONCATENATE(A384),WorkList!A:E,5,FALSE)</f>
        <v>40532</v>
      </c>
      <c r="J384" s="49">
        <f ca="1">VLOOKUP(CONCATENATE(A384),WorkList!A:F,6,FALSE)</f>
        <v>1</v>
      </c>
      <c r="K384" s="49" t="str">
        <f ca="1">VLOOKUP(CONCATENATE(A384),WorkList!A:G,7,FALSE)</f>
        <v>Support</v>
      </c>
      <c r="L384" s="7" t="s">
        <v>5</v>
      </c>
      <c r="M384" s="16">
        <v>40008</v>
      </c>
      <c r="N384" s="60">
        <f ca="1">VALUE(LEFT(C384))</f>
        <v>5</v>
      </c>
      <c r="O384" s="61">
        <f ca="1">INT(IF(N384&gt;0,1+MAX(N384*N384-(IF(D384="",TODAY()+(5-N384)*15,D384)-TODAY())/4,N384),IF(TODAY()-M384&gt;10,0,1)))</f>
        <v>26</v>
      </c>
    </row>
    <row r="385" spans="1:16">
      <c r="A385" s="4" t="s">
        <v>1794</v>
      </c>
      <c r="B385" s="5" t="s">
        <v>32</v>
      </c>
      <c r="C385" s="6" t="s">
        <v>10</v>
      </c>
      <c r="D385" s="11"/>
      <c r="F385" s="13" t="str">
        <f ca="1">VLOOKUP(LEFT(A385,IF(ISERROR(FIND(".",A385)),LEN(A385)+1,FIND(".",A385))-1),WorkList!A:C,3,FALSE)</f>
        <v>Production Environment</v>
      </c>
      <c r="G385" s="14" t="str">
        <f ca="1">VLOOKUP(CONCATENATE(A385),WorkList!A:C,3,FALSE)</f>
        <v>Get Support Rota working</v>
      </c>
      <c r="H385" s="13" t="str">
        <f ca="1">VLOOKUP(CONCATENATE(A385),WorkList!A:D,4,FALSE)</f>
        <v>Parmendra</v>
      </c>
      <c r="I385" s="15">
        <f ca="1">VLOOKUP(CONCATENATE(A385),WorkList!A:E,5,FALSE)</f>
        <v>40532</v>
      </c>
      <c r="J385" s="49">
        <f ca="1">VLOOKUP(CONCATENATE(A385),WorkList!A:F,6,FALSE)</f>
        <v>1</v>
      </c>
      <c r="K385" s="49" t="str">
        <f ca="1">VLOOKUP(CONCATENATE(A385),WorkList!A:G,7,FALSE)</f>
        <v>Enhancement</v>
      </c>
      <c r="L385" s="7" t="s">
        <v>5</v>
      </c>
      <c r="M385" s="16">
        <v>40532</v>
      </c>
      <c r="N385" s="60">
        <f ca="1">VALUE(LEFT(C385))</f>
        <v>3</v>
      </c>
      <c r="O385" s="61">
        <f ca="1">INT(IF(N385&gt;0,1+MAX(N385*N385-(IF(D385="",TODAY()+(5-N385)*15,D385)-TODAY())/4,N385),IF(TODAY()-M385&gt;10,0,1)))</f>
        <v>4</v>
      </c>
    </row>
    <row r="386" spans="1:16">
      <c r="A386" s="4" t="s">
        <v>598</v>
      </c>
      <c r="B386" s="5" t="s">
        <v>11</v>
      </c>
      <c r="C386" s="6" t="s">
        <v>48</v>
      </c>
      <c r="D386" s="11"/>
      <c r="F386" s="13" t="str">
        <f ca="1">VLOOKUP(LEFT(A386,IF(ISERROR(FIND(".",A386)),LEN(A386)+1,FIND(".",A386))-1),WorkList!A:C,3,FALSE)</f>
        <v>Production Environment</v>
      </c>
      <c r="G386" s="14" t="str">
        <f ca="1">VLOOKUP(CONCATENATE(A386),WorkList!A:C,3,FALSE)</f>
        <v>Get New DB for Nomura Now set up</v>
      </c>
      <c r="H386" s="13" t="str">
        <f ca="1">VLOOKUP(CONCATENATE(A386),WorkList!A:D,4,FALSE)</f>
        <v>Neil</v>
      </c>
      <c r="I386" s="15">
        <f ca="1">VLOOKUP(CONCATENATE(A386),WorkList!A:E,5,FALSE)</f>
        <v>40060</v>
      </c>
      <c r="J386" s="49">
        <f ca="1">VLOOKUP(CONCATENATE(A386),WorkList!A:F,6,FALSE)</f>
        <v>0</v>
      </c>
      <c r="K386" s="49">
        <f ca="1">VLOOKUP(CONCATENATE(A386),WorkList!A:G,7,FALSE)</f>
        <v>0</v>
      </c>
      <c r="L386" s="7" t="s">
        <v>13</v>
      </c>
      <c r="M386" s="16">
        <v>40071</v>
      </c>
      <c r="N386" s="60">
        <f ca="1">VALUE(LEFT(C386))</f>
        <v>0</v>
      </c>
      <c r="O386" s="61">
        <f ca="1">INT(IF(N386&gt;0,1+MAX(N386*N386-(IF(D386="",TODAY()+(5-N386)*15,D386)-TODAY())/4,N386),IF(TODAY()-M386&gt;10,0,1)))</f>
        <v>0</v>
      </c>
      <c r="P386" s="1" t="str">
        <f ca="1">IF(ISNA(VLOOKUP(A386,Projects!B:B,1,FALSE)),"","Yes")</f>
        <v/>
      </c>
    </row>
    <row r="387" spans="1:16">
      <c r="A387" s="4" t="s">
        <v>599</v>
      </c>
      <c r="B387" s="5" t="s">
        <v>11</v>
      </c>
      <c r="C387" s="6" t="s">
        <v>48</v>
      </c>
      <c r="D387" s="11"/>
      <c r="F387" s="13" t="str">
        <f ca="1">VLOOKUP(LEFT(A387,IF(ISERROR(FIND(".",A387)),LEN(A387)+1,FIND(".",A387))-1),WorkList!A:C,3,FALSE)</f>
        <v>Production Environment</v>
      </c>
      <c r="G387" s="14" t="str">
        <f ca="1">VLOOKUP(CONCATENATE(A387),WorkList!A:C,3,FALSE)</f>
        <v>Get Support permissions on DB set up</v>
      </c>
      <c r="H387" s="13" t="str">
        <f ca="1">VLOOKUP(CONCATENATE(A387),WorkList!A:D,4,FALSE)</f>
        <v>Neil</v>
      </c>
      <c r="I387" s="15">
        <f ca="1">VLOOKUP(CONCATENATE(A387),WorkList!A:E,5,FALSE)</f>
        <v>40074</v>
      </c>
      <c r="J387" s="49">
        <f ca="1">VLOOKUP(CONCATENATE(A387),WorkList!A:F,6,FALSE)</f>
        <v>0</v>
      </c>
      <c r="K387" s="49">
        <f ca="1">VLOOKUP(CONCATENATE(A387),WorkList!A:G,7,FALSE)</f>
        <v>0</v>
      </c>
      <c r="L387" s="7" t="s">
        <v>13</v>
      </c>
      <c r="M387" s="16">
        <v>40085</v>
      </c>
      <c r="N387" s="60">
        <f ca="1">VALUE(LEFT(C387))</f>
        <v>0</v>
      </c>
      <c r="O387" s="61">
        <f ca="1">INT(IF(N387&gt;0,1+MAX(N387*N387-(IF(D387="",TODAY()+(5-N387)*15,D387)-TODAY())/4,N387),IF(TODAY()-M387&gt;10,0,1)))</f>
        <v>0</v>
      </c>
      <c r="P387" s="1" t="str">
        <f ca="1">IF(ISNA(VLOOKUP(A387,Projects!B:B,1,FALSE)),"","Yes")</f>
        <v/>
      </c>
    </row>
    <row r="388" spans="1:16">
      <c r="A388" s="4" t="s">
        <v>600</v>
      </c>
      <c r="B388" s="5" t="s">
        <v>21</v>
      </c>
      <c r="C388" s="7" t="s">
        <v>10</v>
      </c>
      <c r="D388" s="11"/>
      <c r="F388" s="13" t="str">
        <f ca="1">VLOOKUP(LEFT(A388,IF(ISERROR(FIND(".",A388)),LEN(A388)+1,FIND(".",A388))-1),WorkList!A:C,3,FALSE)</f>
        <v>Production Environment</v>
      </c>
      <c r="G388" s="14" t="str">
        <f ca="1">VLOOKUP(CONCATENATE(A388),WorkList!A:C,3,FALSE)</f>
        <v>Get NT Groups set up for Database access</v>
      </c>
      <c r="H388" s="13" t="str">
        <f ca="1">VLOOKUP(CONCATENATE(A388),WorkList!A:D,4,FALSE)</f>
        <v>Neil</v>
      </c>
      <c r="I388" s="15">
        <f ca="1">VLOOKUP(CONCATENATE(A388),WorkList!A:E,5,FALSE)</f>
        <v>40074</v>
      </c>
      <c r="J388" s="49">
        <f ca="1">VLOOKUP(CONCATENATE(A388),WorkList!A:F,6,FALSE)</f>
        <v>3</v>
      </c>
      <c r="K388" s="49" t="str">
        <f ca="1">VLOOKUP(CONCATENATE(A388),WorkList!A:G,7,FALSE)</f>
        <v>Enhancement</v>
      </c>
      <c r="L388" s="7" t="s">
        <v>7</v>
      </c>
      <c r="M388" s="16">
        <v>40283</v>
      </c>
      <c r="N388" s="60">
        <f ca="1">VALUE(LEFT(C388))</f>
        <v>3</v>
      </c>
      <c r="O388" s="61">
        <f ca="1">INT(IF(N388&gt;0,1+MAX(N388*N388-(IF(D388="",TODAY()+(5-N388)*15,D388)-TODAY())/4,N388),IF(TODAY()-M388&gt;10,0,1)))</f>
        <v>4</v>
      </c>
      <c r="P388" s="1" t="str">
        <f ca="1">IF(ISNA(VLOOKUP(A388,Projects!B:B,1,FALSE)),"","Yes")</f>
        <v/>
      </c>
    </row>
    <row r="389" spans="1:16">
      <c r="A389" s="4" t="s">
        <v>1520</v>
      </c>
      <c r="B389" s="5" t="s">
        <v>11</v>
      </c>
      <c r="C389" s="7" t="s">
        <v>12</v>
      </c>
      <c r="F389" s="13" t="str">
        <f ca="1">VLOOKUP(LEFT(A389,IF(ISERROR(FIND(".",A389)),LEN(A389)+1,FIND(".",A389))-1),WorkList!A:C,3,FALSE)</f>
        <v>Production Environment</v>
      </c>
      <c r="G389" s="14" t="str">
        <f ca="1">VLOOKUP(CONCATENATE(A389),WorkList!A:C,3,FALSE)</f>
        <v>Get EasySoft ODBC drivers renewed</v>
      </c>
      <c r="H389" s="13" t="str">
        <f ca="1">VLOOKUP(CONCATENATE(A389),WorkList!A:D,4,FALSE)</f>
        <v>Neil</v>
      </c>
      <c r="I389" s="15">
        <f ca="1">VLOOKUP(CONCATENATE(A389),WorkList!A:E,5,FALSE)</f>
        <v>40438</v>
      </c>
      <c r="J389" s="49">
        <f ca="1">VLOOKUP(CONCATENATE(A389),WorkList!A:F,6,FALSE)</f>
        <v>1</v>
      </c>
      <c r="K389" s="49" t="str">
        <f ca="1">VLOOKUP(CONCATENATE(A389),WorkList!A:G,7,FALSE)</f>
        <v>Support</v>
      </c>
      <c r="L389" s="7" t="s">
        <v>5</v>
      </c>
      <c r="M389" s="16">
        <v>40438</v>
      </c>
      <c r="N389" s="60">
        <f ca="1">VALUE(LEFT(C389))</f>
        <v>4</v>
      </c>
      <c r="O389" s="61">
        <f ca="1">INT(IF(N389&gt;0,1+MAX(N389*N389-(IF(D389="",TODAY()+(5-N389)*15,D389)-TODAY())/4,N389),IF(TODAY()-M389&gt;10,0,1)))</f>
        <v>13</v>
      </c>
      <c r="P389" s="1" t="str">
        <f ca="1">IF(ISNA(VLOOKUP(A389,Projects!B:B,1,FALSE)),"","Yes")</f>
        <v/>
      </c>
    </row>
    <row r="390" spans="1:16">
      <c r="A390" s="4" t="s">
        <v>448</v>
      </c>
      <c r="B390" s="5" t="s">
        <v>1607</v>
      </c>
      <c r="C390" s="6" t="s">
        <v>48</v>
      </c>
      <c r="D390" s="11"/>
      <c r="F390" s="13" t="str">
        <f ca="1">VLOOKUP(LEFT(A390,IF(ISERROR(FIND(".",A390)),LEN(A390)+1,FIND(".",A390))-1),WorkList!A:C,3,FALSE)</f>
        <v>Production Environment</v>
      </c>
      <c r="G390" s="14" t="str">
        <f ca="1">VLOOKUP(CONCATENATE(A390),WorkList!A:C,3,FALSE)</f>
        <v>Investigate Autosys feasibility on DEV</v>
      </c>
      <c r="H390" s="13" t="str">
        <f ca="1">VLOOKUP(CONCATENATE(A390),WorkList!A:D,4,FALSE)</f>
        <v>Neil</v>
      </c>
      <c r="I390" s="15">
        <f ca="1">VLOOKUP(CONCATENATE(A390),WorkList!A:E,5,FALSE)</f>
        <v>40060</v>
      </c>
      <c r="J390" s="49">
        <f ca="1">VLOOKUP(CONCATENATE(A390),WorkList!A:F,6,FALSE)</f>
        <v>2</v>
      </c>
      <c r="K390" s="49" t="str">
        <f ca="1">VLOOKUP(CONCATENATE(A390),WorkList!A:G,7,FALSE)</f>
        <v>Enhancement</v>
      </c>
      <c r="L390" s="7" t="s">
        <v>13</v>
      </c>
      <c r="M390" s="16">
        <v>40567</v>
      </c>
      <c r="N390" s="60">
        <f ca="1">VALUE(LEFT(C390))</f>
        <v>0</v>
      </c>
      <c r="O390" s="61">
        <f ca="1">INT(IF(N390&gt;0,1+MAX(N390*N390-(IF(D390="",TODAY()+(5-N390)*15,D390)-TODAY())/4,N390),IF(TODAY()-M390&gt;10,0,1)))</f>
        <v>0</v>
      </c>
      <c r="P390" s="1" t="str">
        <f ca="1">IF(ISNA(VLOOKUP(A390,Projects!B:B,1,FALSE)),"","Yes")</f>
        <v/>
      </c>
    </row>
    <row r="391" spans="1:16">
      <c r="A391" s="4" t="s">
        <v>1889</v>
      </c>
      <c r="B391" s="5" t="s">
        <v>32</v>
      </c>
      <c r="C391" s="7" t="s">
        <v>38</v>
      </c>
      <c r="D391" s="11"/>
      <c r="E391" s="12">
        <v>1</v>
      </c>
      <c r="F391" s="13" t="str">
        <f ca="1">VLOOKUP(LEFT(A391,IF(ISERROR(FIND(".",A391)),LEN(A391)+1,FIND(".",A391))-1),WorkList!A:C,3,FALSE)</f>
        <v>Production Environment</v>
      </c>
      <c r="G391" s="14" t="str">
        <f ca="1">VLOOKUP(CONCATENATE(A391),WorkList!A:C,3,FALSE)</f>
        <v>Coordinate moving jobs to Autosys</v>
      </c>
      <c r="H391" s="13" t="str">
        <f ca="1">VLOOKUP(CONCATENATE(A391),WorkList!A:D,4,FALSE)</f>
        <v>Neil</v>
      </c>
      <c r="I391" s="15">
        <f ca="1">VLOOKUP(CONCATENATE(A391),WorkList!A:E,5,FALSE)</f>
        <v>40520</v>
      </c>
      <c r="J391" s="49">
        <f ca="1">VLOOKUP(CONCATENATE(A391),WorkList!A:F,6,FALSE)</f>
        <v>3</v>
      </c>
      <c r="K391" s="49" t="str">
        <f ca="1">VLOOKUP(CONCATENATE(A391),WorkList!A:G,7,FALSE)</f>
        <v>Enhancement</v>
      </c>
      <c r="L391" s="7" t="s">
        <v>5</v>
      </c>
      <c r="M391" s="16">
        <v>40568</v>
      </c>
      <c r="N391" s="60">
        <f ca="1">VALUE(LEFT(C391))</f>
        <v>2</v>
      </c>
      <c r="O391" s="61">
        <f ca="1">INT(IF(N391&gt;0,1+MAX(N391*N391-(IF(D391="",TODAY()+(5-N391)*15,D391)-TODAY())/4,N391),IF(TODAY()-M391&gt;10,0,1)))</f>
        <v>3</v>
      </c>
      <c r="P391" s="1" t="str">
        <f ca="1">IF(ISNA(VLOOKUP(A391,Projects!B:B,1,FALSE)),"","Yes")</f>
        <v/>
      </c>
    </row>
    <row r="392" spans="1:16">
      <c r="A392" s="4" t="s">
        <v>1890</v>
      </c>
      <c r="B392" s="5" t="s">
        <v>11</v>
      </c>
      <c r="C392" s="7" t="s">
        <v>12</v>
      </c>
      <c r="D392" s="11"/>
      <c r="E392" s="12">
        <v>1</v>
      </c>
      <c r="F392" s="13" t="str">
        <f ca="1">VLOOKUP(LEFT(A392,IF(ISERROR(FIND(".",A392)),LEN(A392)+1,FIND(".",A392))-1),WorkList!A:C,3,FALSE)</f>
        <v>Production Environment</v>
      </c>
      <c r="G392" s="14" t="str">
        <f ca="1">VLOOKUP(CONCATENATE(A392),WorkList!A:C,3,FALSE)</f>
        <v>Coordinate moving jobs to Autosys</v>
      </c>
      <c r="H392" s="13" t="str">
        <f ca="1">VLOOKUP(CONCATENATE(A392),WorkList!A:D,4,FALSE)</f>
        <v>Neil</v>
      </c>
      <c r="I392" s="15">
        <f ca="1">VLOOKUP(CONCATENATE(A392),WorkList!A:E,5,FALSE)</f>
        <v>40567</v>
      </c>
      <c r="J392" s="49">
        <f ca="1">VLOOKUP(CONCATENATE(A392),WorkList!A:F,6,FALSE)</f>
        <v>3</v>
      </c>
      <c r="K392" s="49" t="str">
        <f ca="1">VLOOKUP(CONCATENATE(A392),WorkList!A:G,7,FALSE)</f>
        <v>Enhancement</v>
      </c>
      <c r="L392" s="7" t="s">
        <v>5</v>
      </c>
      <c r="M392" s="16">
        <v>40532</v>
      </c>
      <c r="N392" s="60">
        <f ca="1">VALUE(LEFT(C392))</f>
        <v>4</v>
      </c>
      <c r="O392" s="61">
        <f ca="1">INT(IF(N392&gt;0,1+MAX(N392*N392-(IF(D392="",TODAY()+(5-N392)*15,D392)-TODAY())/4,N392),IF(TODAY()-M392&gt;10,0,1)))</f>
        <v>13</v>
      </c>
      <c r="P392" s="1" t="str">
        <f ca="1">IF(ISNA(VLOOKUP(A392,Projects!B:B,1,FALSE)),"","Yes")</f>
        <v/>
      </c>
    </row>
    <row r="393" spans="1:16">
      <c r="A393" s="4" t="s">
        <v>1891</v>
      </c>
      <c r="B393" s="5" t="s">
        <v>1607</v>
      </c>
      <c r="C393" s="7" t="s">
        <v>12</v>
      </c>
      <c r="D393" s="11"/>
      <c r="E393" s="12">
        <v>1</v>
      </c>
      <c r="F393" s="13" t="str">
        <f ca="1">VLOOKUP(LEFT(A393,IF(ISERROR(FIND(".",A393)),LEN(A393)+1,FIND(".",A393))-1),WorkList!A:C,3,FALSE)</f>
        <v>Production Environment</v>
      </c>
      <c r="G393" s="14" t="str">
        <f ca="1">VLOOKUP(CONCATENATE(A393),WorkList!A:C,3,FALSE)</f>
        <v>Coordinate moving jobs to Autosys</v>
      </c>
      <c r="H393" s="13" t="str">
        <f ca="1">VLOOKUP(CONCATENATE(A393),WorkList!A:D,4,FALSE)</f>
        <v>Neil</v>
      </c>
      <c r="I393" s="15">
        <f ca="1">VLOOKUP(CONCATENATE(A393),WorkList!A:E,5,FALSE)</f>
        <v>40567</v>
      </c>
      <c r="J393" s="49">
        <f ca="1">VLOOKUP(CONCATENATE(A393),WorkList!A:F,6,FALSE)</f>
        <v>3</v>
      </c>
      <c r="K393" s="49" t="str">
        <f ca="1">VLOOKUP(CONCATENATE(A393),WorkList!A:G,7,FALSE)</f>
        <v>Enhancement</v>
      </c>
      <c r="L393" s="7" t="s">
        <v>5</v>
      </c>
      <c r="M393" s="16">
        <v>40532</v>
      </c>
      <c r="N393" s="60">
        <f ca="1">VALUE(LEFT(C393))</f>
        <v>4</v>
      </c>
      <c r="O393" s="61">
        <f ca="1">INT(IF(N393&gt;0,1+MAX(N393*N393-(IF(D393="",TODAY()+(5-N393)*15,D393)-TODAY())/4,N393),IF(TODAY()-M393&gt;10,0,1)))</f>
        <v>13</v>
      </c>
      <c r="P393" s="1" t="str">
        <f ca="1">IF(ISNA(VLOOKUP(A393,Projects!B:B,1,FALSE)),"","Yes")</f>
        <v/>
      </c>
    </row>
    <row r="394" spans="1:16">
      <c r="A394" s="4" t="s">
        <v>1793</v>
      </c>
      <c r="B394" s="5" t="s">
        <v>1607</v>
      </c>
      <c r="C394" s="6" t="s">
        <v>684</v>
      </c>
      <c r="D394" s="11"/>
      <c r="F394" s="13" t="str">
        <f ca="1">VLOOKUP(LEFT(A394,IF(ISERROR(FIND(".",A394)),LEN(A394)+1,FIND(".",A394))-1),WorkList!A:C,3,FALSE)</f>
        <v>Production Environment</v>
      </c>
      <c r="G394" s="14" t="str">
        <f ca="1">VLOOKUP(CONCATENATE(A394),WorkList!A:C,3,FALSE)</f>
        <v>Set up autosys accounts</v>
      </c>
      <c r="H394" s="13" t="str">
        <f ca="1">VLOOKUP(CONCATENATE(A394),WorkList!A:D,4,FALSE)</f>
        <v>Pramendra</v>
      </c>
      <c r="I394" s="15">
        <f ca="1">VLOOKUP(CONCATENATE(A394),WorkList!A:E,5,FALSE)</f>
        <v>40598</v>
      </c>
      <c r="J394" s="49">
        <f ca="1">VLOOKUP(CONCATENATE(A394),WorkList!A:F,6,FALSE)</f>
        <v>2</v>
      </c>
      <c r="K394" s="49" t="str">
        <f ca="1">VLOOKUP(CONCATENATE(A394),WorkList!A:G,7,FALSE)</f>
        <v>Enhancement</v>
      </c>
      <c r="L394" s="7" t="s">
        <v>5</v>
      </c>
      <c r="M394" s="16">
        <v>40598</v>
      </c>
      <c r="N394" s="60">
        <f ca="1">VALUE(LEFT(C394))</f>
        <v>5</v>
      </c>
      <c r="O394" s="61">
        <f ca="1">INT(IF(N394&gt;0,1+MAX(N394*N394-(IF(D394="",TODAY()+(5-N394)*15,D394)-TODAY())/4,N394),IF(TODAY()-M394&gt;10,0,1)))</f>
        <v>26</v>
      </c>
      <c r="P394" s="1" t="str">
        <f ca="1">IF(ISNA(VLOOKUP(A394,Projects!B:B,1,FALSE)),"","Yes")</f>
        <v/>
      </c>
    </row>
    <row r="395" spans="1:16">
      <c r="A395" s="4" t="s">
        <v>1864</v>
      </c>
      <c r="B395" s="5" t="s">
        <v>11</v>
      </c>
      <c r="C395" s="7" t="s">
        <v>10</v>
      </c>
      <c r="F395" s="13" t="str">
        <f ca="1">VLOOKUP(LEFT(A395,IF(ISERROR(FIND(".",A395)),LEN(A395)+1,FIND(".",A395))-1),WorkList!A:C,3,FALSE)</f>
        <v>Production Environment</v>
      </c>
      <c r="G395" s="14" t="str">
        <f ca="1">VLOOKUP(CONCATENATE(A395),WorkList!A:C,3,FALSE)</f>
        <v>Review Autosys setup</v>
      </c>
      <c r="H395" s="13" t="str">
        <f ca="1">VLOOKUP(CONCATENATE(A395),WorkList!A:D,4,FALSE)</f>
        <v>Neil</v>
      </c>
      <c r="I395" s="15">
        <f ca="1">VLOOKUP(CONCATENATE(A395),WorkList!A:E,5,FALSE)</f>
        <v>40563</v>
      </c>
      <c r="J395" s="49">
        <f ca="1">VLOOKUP(CONCATENATE(A395),WorkList!A:F,6,FALSE)</f>
        <v>2</v>
      </c>
      <c r="K395" s="49" t="str">
        <f ca="1">VLOOKUP(CONCATENATE(A395),WorkList!A:G,7,FALSE)</f>
        <v>Enhancement</v>
      </c>
      <c r="L395" s="7" t="s">
        <v>5</v>
      </c>
      <c r="M395" s="16">
        <v>40563</v>
      </c>
      <c r="N395" s="60">
        <f ca="1">VALUE(LEFT(C395))</f>
        <v>3</v>
      </c>
      <c r="O395" s="61">
        <f ca="1">INT(IF(N395&gt;0,1+MAX(N395*N395-(IF(D395="",TODAY()+(5-N395)*15,D395)-TODAY())/4,N395),IF(TODAY()-M395&gt;10,0,1)))</f>
        <v>4</v>
      </c>
      <c r="P395" s="1" t="str">
        <f ca="1">IF(ISNA(VLOOKUP(A395,Projects!B:B,1,FALSE)),"","Yes")</f>
        <v/>
      </c>
    </row>
    <row r="396" spans="1:16">
      <c r="A396" s="4" t="s">
        <v>1898</v>
      </c>
      <c r="B396" s="5" t="s">
        <v>32</v>
      </c>
      <c r="C396" s="7" t="s">
        <v>10</v>
      </c>
      <c r="F396" s="13" t="str">
        <f ca="1">VLOOKUP(LEFT(A396,IF(ISERROR(FIND(".",A396)),LEN(A396)+1,FIND(".",A396))-1),WorkList!A:C,3,FALSE)</f>
        <v>Production Environment</v>
      </c>
      <c r="G396" s="14" t="str">
        <f ca="1">VLOOKUP(CONCATENATE(A396),WorkList!A:C,3,FALSE)</f>
        <v>Figure out how Autosys scripts can be placed into SVN</v>
      </c>
      <c r="H396" s="13" t="str">
        <f ca="1">VLOOKUP(CONCATENATE(A396),WorkList!A:D,4,FALSE)</f>
        <v>Neil</v>
      </c>
      <c r="I396" s="15">
        <f ca="1">VLOOKUP(CONCATENATE(A396),WorkList!A:E,5,FALSE)</f>
        <v>40588</v>
      </c>
      <c r="J396" s="49">
        <f ca="1">VLOOKUP(CONCATENATE(A396),WorkList!A:F,6,FALSE)</f>
        <v>1</v>
      </c>
      <c r="K396" s="49" t="str">
        <f ca="1">VLOOKUP(CONCATENATE(A396),WorkList!A:G,7,FALSE)</f>
        <v>NewDevelopment</v>
      </c>
      <c r="L396" s="7" t="s">
        <v>7</v>
      </c>
      <c r="M396" s="16">
        <v>40588</v>
      </c>
      <c r="N396" s="60">
        <f ca="1">VALUE(LEFT(C396))</f>
        <v>3</v>
      </c>
      <c r="O396" s="61">
        <f ca="1">INT(IF(N396&gt;0,1+MAX(N396*N396-(IF(D396="",TODAY()+(5-N396)*15,D396)-TODAY())/4,N396),IF(TODAY()-M396&gt;10,0,1)))</f>
        <v>4</v>
      </c>
      <c r="P396" s="1" t="str">
        <f ca="1">IF(ISNA(VLOOKUP(A396,Projects!B:B,1,FALSE)),"","Yes")</f>
        <v/>
      </c>
    </row>
    <row r="397" spans="1:16">
      <c r="A397" s="4" t="s">
        <v>1949</v>
      </c>
      <c r="B397" s="5" t="s">
        <v>11</v>
      </c>
      <c r="C397" s="7" t="s">
        <v>10</v>
      </c>
      <c r="F397" s="13" t="str">
        <f ca="1">VLOOKUP(LEFT(A397,IF(ISERROR(FIND(".",A397)),LEN(A397)+1,FIND(".",A397))-1),WorkList!A:C,3,FALSE)</f>
        <v>Production Environment</v>
      </c>
      <c r="G397" s="14" t="str">
        <f ca="1">VLOOKUP(CONCATENATE(A397),WorkList!A:C,3,FALSE)</f>
        <v>Make Autosys Stage deployment more streamlined</v>
      </c>
      <c r="H397" s="13" t="str">
        <f ca="1">VLOOKUP(CONCATENATE(A397),WorkList!A:D,4,FALSE)</f>
        <v>Neil</v>
      </c>
      <c r="I397" s="15">
        <f ca="1">VLOOKUP(CONCATENATE(A397),WorkList!A:E,5,FALSE)</f>
        <v>40590</v>
      </c>
      <c r="J397" s="49">
        <f ca="1">VLOOKUP(CONCATENATE(A397),WorkList!A:F,6,FALSE)</f>
        <v>1</v>
      </c>
      <c r="K397" s="49" t="str">
        <f ca="1">VLOOKUP(CONCATENATE(A397),WorkList!A:G,7,FALSE)</f>
        <v>Other</v>
      </c>
      <c r="L397" s="7" t="s">
        <v>7</v>
      </c>
      <c r="M397" s="16">
        <v>40590</v>
      </c>
      <c r="N397" s="60">
        <f ca="1">VALUE(LEFT(C397))</f>
        <v>3</v>
      </c>
      <c r="O397" s="61">
        <f ca="1">INT(IF(N397&gt;0,1+MAX(N397*N397-(IF(D397="",TODAY()+(5-N397)*15,D397)-TODAY())/4,N397),IF(TODAY()-M397&gt;10,0,1)))</f>
        <v>4</v>
      </c>
      <c r="P397" s="1" t="str">
        <f ca="1">IF(ISNA(VLOOKUP(A397,Projects!B:B,1,FALSE)),"","Yes")</f>
        <v/>
      </c>
    </row>
    <row r="398" spans="1:16">
      <c r="A398" s="4" t="s">
        <v>484</v>
      </c>
      <c r="B398" s="5" t="s">
        <v>21</v>
      </c>
      <c r="C398" s="6" t="s">
        <v>38</v>
      </c>
      <c r="D398" s="11"/>
      <c r="F398" s="13" t="str">
        <f ca="1">VLOOKUP(LEFT(A398,IF(ISERROR(FIND(".",A398)),LEN(A398)+1,FIND(".",A398))-1),WorkList!A:C,3,FALSE)</f>
        <v>Production Environment</v>
      </c>
      <c r="G398" s="14" t="str">
        <f ca="1">VLOOKUP(CONCATENATE(A398),WorkList!A:C,3,FALSE)</f>
        <v>Figure out appropriate access controls for Server and DB</v>
      </c>
      <c r="H398" s="13" t="str">
        <f ca="1">VLOOKUP(CONCATENATE(A398),WorkList!A:D,4,FALSE)</f>
        <v>Neil</v>
      </c>
      <c r="I398" s="15">
        <f ca="1">VLOOKUP(CONCATENATE(A398),WorkList!A:E,5,FALSE)</f>
        <v>40074</v>
      </c>
      <c r="J398" s="49">
        <f ca="1">VLOOKUP(CONCATENATE(A398),WorkList!A:F,6,FALSE)</f>
        <v>1</v>
      </c>
      <c r="K398" s="49" t="str">
        <f ca="1">VLOOKUP(CONCATENATE(A398),WorkList!A:G,7,FALSE)</f>
        <v>Enhancement</v>
      </c>
      <c r="L398" s="7" t="s">
        <v>7</v>
      </c>
      <c r="M398" s="16">
        <v>40155</v>
      </c>
      <c r="N398" s="60">
        <f ca="1">VALUE(LEFT(C398))</f>
        <v>2</v>
      </c>
      <c r="O398" s="61">
        <f ca="1">INT(IF(N398&gt;0,1+MAX(N398*N398-(IF(D398="",TODAY()+(5-N398)*15,D398)-TODAY())/4,N398),IF(TODAY()-M398&gt;10,0,1)))</f>
        <v>3</v>
      </c>
      <c r="P398" s="1" t="str">
        <f ca="1">IF(ISNA(VLOOKUP(A398,Projects!B:B,1,FALSE)),"","Yes")</f>
        <v/>
      </c>
    </row>
    <row r="399" spans="1:16">
      <c r="A399" s="4" t="s">
        <v>876</v>
      </c>
      <c r="B399" s="5" t="s">
        <v>11</v>
      </c>
      <c r="C399" s="6" t="s">
        <v>48</v>
      </c>
      <c r="D399" s="11"/>
      <c r="F399" s="13" t="str">
        <f ca="1">VLOOKUP(LEFT(A399,IF(ISERROR(FIND(".",A399)),LEN(A399)+1,FIND(".",A399))-1),WorkList!A:C,3,FALSE)</f>
        <v>Production Environment</v>
      </c>
      <c r="G399" s="14" t="str">
        <f ca="1">VLOOKUP(CONCATENATE(A399),WorkList!A:C,3,FALSE)</f>
        <v>Calyon: Figure out a suitable data delivery method</v>
      </c>
      <c r="H399" s="13" t="str">
        <f ca="1">VLOOKUP(CONCATENATE(A399),WorkList!A:D,4,FALSE)</f>
        <v>David</v>
      </c>
      <c r="I399" s="15">
        <f ca="1">VLOOKUP(CONCATENATE(A399),WorkList!A:E,5,FALSE)</f>
        <v>40211</v>
      </c>
      <c r="J399" s="49">
        <f ca="1">VLOOKUP(CONCATENATE(A399),WorkList!A:F,6,FALSE)</f>
        <v>2</v>
      </c>
      <c r="K399" s="49">
        <f ca="1">VLOOKUP(CONCATENATE(A399),WorkList!A:G,7,FALSE)</f>
        <v>0</v>
      </c>
      <c r="L399" s="7" t="s">
        <v>13</v>
      </c>
      <c r="M399" s="16">
        <v>40262</v>
      </c>
      <c r="N399" s="60">
        <f ca="1">VALUE(LEFT(C399))</f>
        <v>0</v>
      </c>
      <c r="O399" s="61">
        <f ca="1">INT(IF(N399&gt;0,1+MAX(N399*N399-(IF(D399="",TODAY()+(5-N399)*15,D399)-TODAY())/4,N399),IF(TODAY()-M399&gt;10,0,1)))</f>
        <v>0</v>
      </c>
      <c r="P399" s="1" t="str">
        <f ca="1">IF(ISNA(VLOOKUP(A399,Projects!B:B,1,FALSE)),"","Yes")</f>
        <v/>
      </c>
    </row>
    <row r="400" spans="1:16">
      <c r="A400" s="4" t="s">
        <v>877</v>
      </c>
      <c r="B400" s="5" t="s">
        <v>11</v>
      </c>
      <c r="C400" s="6" t="s">
        <v>48</v>
      </c>
      <c r="D400" s="11"/>
      <c r="F400" s="13" t="str">
        <f ca="1">VLOOKUP(LEFT(A400,IF(ISERROR(FIND(".",A400)),LEN(A400)+1,FIND(".",A400))-1),WorkList!A:C,3,FALSE)</f>
        <v>Production Environment</v>
      </c>
      <c r="G400" s="14" t="str">
        <f ca="1">VLOOKUP(CONCATENATE(A400),WorkList!A:C,3,FALSE)</f>
        <v>Calyon: Modify loan rule process for Calyon specific tables</v>
      </c>
      <c r="H400" s="13" t="str">
        <f ca="1">VLOOKUP(CONCATENATE(A400),WorkList!A:D,4,FALSE)</f>
        <v>David</v>
      </c>
      <c r="I400" s="15">
        <f ca="1">VLOOKUP(CONCATENATE(A400),WorkList!A:E,5,FALSE)</f>
        <v>40211</v>
      </c>
      <c r="J400" s="49">
        <f ca="1">VLOOKUP(CONCATENATE(A400),WorkList!A:F,6,FALSE)</f>
        <v>5</v>
      </c>
      <c r="K400" s="49">
        <f ca="1">VLOOKUP(CONCATENATE(A400),WorkList!A:G,7,FALSE)</f>
        <v>0</v>
      </c>
      <c r="L400" s="7" t="s">
        <v>13</v>
      </c>
      <c r="M400" s="16">
        <v>40233</v>
      </c>
      <c r="N400" s="60">
        <f ca="1">VALUE(LEFT(C400))</f>
        <v>0</v>
      </c>
      <c r="O400" s="61">
        <f ca="1">INT(IF(N400&gt;0,1+MAX(N400*N400-(IF(D400="",TODAY()+(5-N400)*15,D400)-TODAY())/4,N400),IF(TODAY()-M400&gt;10,0,1)))</f>
        <v>0</v>
      </c>
      <c r="P400" s="1" t="str">
        <f ca="1">IF(ISNA(VLOOKUP(A400,Projects!B:B,1,FALSE)),"","Yes")</f>
        <v/>
      </c>
    </row>
    <row r="401" spans="1:16">
      <c r="A401" s="4" t="s">
        <v>944</v>
      </c>
      <c r="B401" s="5" t="s">
        <v>11</v>
      </c>
      <c r="C401" s="7" t="s">
        <v>48</v>
      </c>
      <c r="D401" s="11"/>
      <c r="F401" s="13" t="str">
        <f ca="1">VLOOKUP(LEFT(A401,IF(ISERROR(FIND(".",A401)),LEN(A401)+1,FIND(".",A401))-1),WorkList!A:C,3,FALSE)</f>
        <v>Production Environment</v>
      </c>
      <c r="G401" s="14" t="str">
        <f ca="1">VLOOKUP(CONCATENATE(A401),WorkList!A:C,3,FALSE)</f>
        <v>Implement regular Calyon download</v>
      </c>
      <c r="H401" s="13" t="str">
        <f ca="1">VLOOKUP(CONCATENATE(A401),WorkList!A:D,4,FALSE)</f>
        <v>Neil</v>
      </c>
      <c r="I401" s="15">
        <f ca="1">VLOOKUP(CONCATENATE(A401),WorkList!A:E,5,FALSE)</f>
        <v>40239</v>
      </c>
      <c r="J401" s="49">
        <f ca="1">VLOOKUP(CONCATENATE(A401),WorkList!A:F,6,FALSE)</f>
        <v>2</v>
      </c>
      <c r="K401" s="49">
        <f ca="1">VLOOKUP(CONCATENATE(A401),WorkList!A:G,7,FALSE)</f>
        <v>0</v>
      </c>
      <c r="L401" s="7" t="s">
        <v>13</v>
      </c>
      <c r="M401" s="16">
        <v>40283</v>
      </c>
      <c r="N401" s="60">
        <f ca="1">VALUE(LEFT(C401))</f>
        <v>0</v>
      </c>
      <c r="O401" s="61">
        <f ca="1">INT(IF(N401&gt;0,1+MAX(N401*N401-(IF(D401="",TODAY()+(5-N401)*15,D401)-TODAY())/4,N401),IF(TODAY()-M401&gt;10,0,1)))</f>
        <v>0</v>
      </c>
      <c r="P401" s="1" t="str">
        <f ca="1">IF(ISNA(VLOOKUP(A401,Projects!B:B,1,FALSE)),"","Yes")</f>
        <v/>
      </c>
    </row>
    <row r="402" spans="1:16">
      <c r="A402" s="4" t="s">
        <v>953</v>
      </c>
      <c r="B402" s="5" t="s">
        <v>11</v>
      </c>
      <c r="C402" s="7" t="s">
        <v>48</v>
      </c>
      <c r="D402" s="11"/>
      <c r="F402" s="13" t="str">
        <f ca="1">VLOOKUP(LEFT(A402,IF(ISERROR(FIND(".",A402)),LEN(A402)+1,FIND(".",A402))-1),WorkList!A:C,3,FALSE)</f>
        <v>Production Environment</v>
      </c>
      <c r="G402" s="14" t="str">
        <f ca="1">VLOOKUP(CONCATENATE(A402),WorkList!A:C,3,FALSE)</f>
        <v>Calyon: Ensure Kennsington data is loaded</v>
      </c>
      <c r="H402" s="13" t="str">
        <f ca="1">VLOOKUP(CONCATENATE(A402),WorkList!A:D,4,FALSE)</f>
        <v>David</v>
      </c>
      <c r="I402" s="15">
        <f ca="1">VLOOKUP(CONCATENATE(A402),WorkList!A:E,5,FALSE)</f>
        <v>40240</v>
      </c>
      <c r="J402" s="49">
        <f ca="1">VLOOKUP(CONCATENATE(A402),WorkList!A:F,6,FALSE)</f>
        <v>1</v>
      </c>
      <c r="K402" s="49">
        <f ca="1">VLOOKUP(CONCATENATE(A402),WorkList!A:G,7,FALSE)</f>
        <v>0</v>
      </c>
      <c r="L402" s="7" t="s">
        <v>13</v>
      </c>
      <c r="M402" s="16">
        <v>40268</v>
      </c>
      <c r="N402" s="60">
        <f ca="1">VALUE(LEFT(C402))</f>
        <v>0</v>
      </c>
      <c r="O402" s="61">
        <f ca="1">INT(IF(N402&gt;0,1+MAX(N402*N402-(IF(D402="",TODAY()+(5-N402)*15,D402)-TODAY())/4,N402),IF(TODAY()-M402&gt;10,0,1)))</f>
        <v>0</v>
      </c>
      <c r="P402" s="1" t="str">
        <f ca="1">IF(ISNA(VLOOKUP(A402,Projects!B:B,1,FALSE)),"","Yes")</f>
        <v/>
      </c>
    </row>
    <row r="403" spans="1:16">
      <c r="A403" s="4" t="s">
        <v>1595</v>
      </c>
      <c r="B403" s="5" t="s">
        <v>1607</v>
      </c>
      <c r="C403" s="7" t="s">
        <v>10</v>
      </c>
      <c r="F403" s="13" t="str">
        <f ca="1">VLOOKUP(LEFT(A403,IF(ISERROR(FIND(".",A403)),LEN(A403)+1,FIND(".",A403))-1),WorkList!A:C,3,FALSE)</f>
        <v>Production Environment</v>
      </c>
      <c r="G403" s="14" t="str">
        <f ca="1">VLOOKUP(CONCATENATE(A403),WorkList!A:C,3,FALSE)</f>
        <v>Daily maintainance of Indices and permissions and others</v>
      </c>
      <c r="H403" s="13" t="str">
        <f ca="1">VLOOKUP(CONCATENATE(A403),WorkList!A:D,4,FALSE)</f>
        <v>Neil</v>
      </c>
      <c r="I403" s="15">
        <f ca="1">VLOOKUP(CONCATENATE(A403),WorkList!A:E,5,FALSE)</f>
        <v>40590</v>
      </c>
      <c r="J403" s="49">
        <f ca="1">VLOOKUP(CONCATENATE(A403),WorkList!A:F,6,FALSE)</f>
        <v>2</v>
      </c>
      <c r="K403" s="49" t="str">
        <f ca="1">VLOOKUP(CONCATENATE(A403),WorkList!A:G,7,FALSE)</f>
        <v>Enhancement</v>
      </c>
      <c r="L403" s="7" t="s">
        <v>7</v>
      </c>
      <c r="M403" s="16">
        <v>40458</v>
      </c>
      <c r="N403" s="60">
        <f ca="1">VALUE(LEFT(C403))</f>
        <v>3</v>
      </c>
      <c r="O403" s="61">
        <f ca="1">INT(IF(N403&gt;0,1+MAX(N403*N403-(IF(D403="",TODAY()+(5-N403)*15,D403)-TODAY())/4,N403),IF(TODAY()-M403&gt;10,0,1)))</f>
        <v>4</v>
      </c>
      <c r="P403" s="1" t="str">
        <f ca="1">IF(ISNA(VLOOKUP(A403,Projects!B:B,1,FALSE)),"","Yes")</f>
        <v/>
      </c>
    </row>
    <row r="404" spans="1:16">
      <c r="A404" s="4" t="s">
        <v>1923</v>
      </c>
      <c r="B404" s="5" t="s">
        <v>11</v>
      </c>
      <c r="C404" s="7" t="s">
        <v>10</v>
      </c>
      <c r="F404" s="13" t="str">
        <f ca="1">VLOOKUP(LEFT(A404,IF(ISERROR(FIND(".",A404)),LEN(A404)+1,FIND(".",A404))-1),WorkList!A:C,3,FALSE)</f>
        <v>Production Environment</v>
      </c>
      <c r="G404" s="14" t="str">
        <f ca="1">VLOOKUP(CONCATENATE(A404),WorkList!A:C,3,FALSE)</f>
        <v>Remove old DB connection strings from Config DB</v>
      </c>
      <c r="H404" s="13" t="str">
        <f ca="1">VLOOKUP(CONCATENATE(A404),WorkList!A:D,4,FALSE)</f>
        <v>Neil</v>
      </c>
      <c r="I404" s="15">
        <f ca="1">VLOOKUP(CONCATENATE(A404),WorkList!A:E,5,FALSE)</f>
        <v>40590</v>
      </c>
      <c r="J404" s="49">
        <f ca="1">VLOOKUP(CONCATENATE(A404),WorkList!A:F,6,FALSE)</f>
        <v>1</v>
      </c>
      <c r="K404" s="49" t="str">
        <f ca="1">VLOOKUP(CONCATENATE(A404),WorkList!A:G,7,FALSE)</f>
        <v>Maintenance</v>
      </c>
      <c r="L404" s="7" t="s">
        <v>7</v>
      </c>
      <c r="M404" s="16">
        <v>40590</v>
      </c>
      <c r="N404" s="60">
        <f ca="1">VALUE(LEFT(C404))</f>
        <v>3</v>
      </c>
      <c r="O404" s="61">
        <f ca="1">INT(IF(N404&gt;0,1+MAX(N404*N404-(IF(D404="",TODAY()+(5-N404)*15,D404)-TODAY())/4,N404),IF(TODAY()-M404&gt;10,0,1)))</f>
        <v>4</v>
      </c>
    </row>
    <row r="405" spans="1:16">
      <c r="A405" s="4" t="s">
        <v>1947</v>
      </c>
      <c r="B405" s="5" t="s">
        <v>11</v>
      </c>
      <c r="C405" s="7" t="s">
        <v>10</v>
      </c>
      <c r="F405" s="13" t="str">
        <f ca="1">VLOOKUP(LEFT(A405,IF(ISERROR(FIND(".",A405)),LEN(A405)+1,FIND(".",A405))-1),WorkList!A:C,3,FALSE)</f>
        <v>Production Environment</v>
      </c>
      <c r="G405" s="14" t="str">
        <f ca="1">VLOOKUP(CONCATENATE(A405),WorkList!A:C,3,FALSE)</f>
        <v>Remove all environment specific data from Config DB</v>
      </c>
      <c r="H405" s="13" t="str">
        <f ca="1">VLOOKUP(CONCATENATE(A405),WorkList!A:D,4,FALSE)</f>
        <v>Neil</v>
      </c>
      <c r="I405" s="15">
        <f ca="1">VLOOKUP(CONCATENATE(A405),WorkList!A:E,5,FALSE)</f>
        <v>40590</v>
      </c>
      <c r="J405" s="49">
        <f ca="1">VLOOKUP(CONCATENATE(A405),WorkList!A:F,6,FALSE)</f>
        <v>1</v>
      </c>
      <c r="K405" s="49" t="str">
        <f ca="1">VLOOKUP(CONCATENATE(A405),WorkList!A:G,7,FALSE)</f>
        <v>Maintenance</v>
      </c>
      <c r="L405" s="7" t="s">
        <v>7</v>
      </c>
      <c r="M405" s="16">
        <v>40590</v>
      </c>
      <c r="N405" s="60">
        <f ca="1">VALUE(LEFT(C405))</f>
        <v>3</v>
      </c>
      <c r="O405" s="61">
        <f ca="1">INT(IF(N405&gt;0,1+MAX(N405*N405-(IF(D405="",TODAY()+(5-N405)*15,D405)-TODAY())/4,N405),IF(TODAY()-M405&gt;10,0,1)))</f>
        <v>4</v>
      </c>
      <c r="P405" s="1" t="str">
        <f ca="1">IF(ISNA(VLOOKUP(A405,Projects!B:B,1,FALSE)),"","Yes")</f>
        <v/>
      </c>
    </row>
    <row r="406" spans="1:16">
      <c r="A406" s="4" t="s">
        <v>1623</v>
      </c>
      <c r="B406" s="5" t="s">
        <v>32</v>
      </c>
      <c r="C406" s="7" t="s">
        <v>38</v>
      </c>
      <c r="F406" s="13" t="str">
        <f ca="1">VLOOKUP(LEFT(A406,IF(ISERROR(FIND(".",A406)),LEN(A406)+1,FIND(".",A406))-1),WorkList!A:C,3,FALSE)</f>
        <v>Production Environment</v>
      </c>
      <c r="G406" s="14" t="str">
        <f ca="1">VLOOKUP(CONCATENATE(A406),WorkList!A:C,3,FALSE)</f>
        <v>Slow Mumbai network issue</v>
      </c>
      <c r="H406" s="13" t="str">
        <f ca="1">VLOOKUP(CONCATENATE(A406),WorkList!A:D,4,FALSE)</f>
        <v>Ajay</v>
      </c>
      <c r="I406" s="15">
        <f ca="1">VLOOKUP(CONCATENATE(A406),WorkList!A:E,5,FALSE)</f>
        <v>40477</v>
      </c>
      <c r="J406" s="49">
        <f ca="1">VLOOKUP(CONCATENATE(A406),WorkList!A:F,6,FALSE)</f>
        <v>2</v>
      </c>
      <c r="K406" s="49" t="str">
        <f ca="1">VLOOKUP(CONCATENATE(A406),WorkList!A:G,7,FALSE)</f>
        <v>Enhancement</v>
      </c>
      <c r="L406" s="7" t="s">
        <v>5</v>
      </c>
      <c r="M406" s="16">
        <v>40505</v>
      </c>
      <c r="N406" s="60">
        <f ca="1">VALUE(LEFT(C406))</f>
        <v>2</v>
      </c>
      <c r="O406" s="61">
        <f ca="1">INT(IF(N406&gt;0,1+MAX(N406*N406-(IF(D406="",TODAY()+(5-N406)*15,D406)-TODAY())/4,N406),IF(TODAY()-M406&gt;10,0,1)))</f>
        <v>3</v>
      </c>
    </row>
    <row r="407" spans="1:16" ht="25.5">
      <c r="A407" s="4" t="s">
        <v>1710</v>
      </c>
      <c r="B407" s="5" t="s">
        <v>21</v>
      </c>
      <c r="C407" s="7" t="s">
        <v>12</v>
      </c>
      <c r="F407" s="13" t="str">
        <f ca="1">VLOOKUP(LEFT(A407,IF(ISERROR(FIND(".",A407)),LEN(A407)+1,FIND(".",A407))-1),WorkList!A:C,3,FALSE)</f>
        <v>Production Environment</v>
      </c>
      <c r="G407" s="14" t="str">
        <f ca="1">VLOOKUP(CONCATENATE(A407),WorkList!A:C,3,FALSE)</f>
        <v>Remove all mention of specific environments from the registry/environment variables.</v>
      </c>
      <c r="H407" s="13" t="str">
        <f ca="1">VLOOKUP(CONCATENATE(A407),WorkList!A:D,4,FALSE)</f>
        <v>Neil</v>
      </c>
      <c r="I407" s="15">
        <f ca="1">VLOOKUP(CONCATENATE(A407),WorkList!A:E,5,FALSE)</f>
        <v>40505</v>
      </c>
      <c r="J407" s="49">
        <f ca="1">VLOOKUP(CONCATENATE(A407),WorkList!A:F,6,FALSE)</f>
        <v>1</v>
      </c>
      <c r="K407" s="49" t="str">
        <f ca="1">VLOOKUP(CONCATENATE(A407),WorkList!A:G,7,FALSE)</f>
        <v>Maintenance</v>
      </c>
      <c r="L407" s="7" t="s">
        <v>7</v>
      </c>
      <c r="M407" s="16">
        <v>40505</v>
      </c>
      <c r="N407" s="60">
        <f ca="1">VALUE(LEFT(C407))</f>
        <v>4</v>
      </c>
      <c r="O407" s="61">
        <f ca="1">INT(IF(N407&gt;0,1+MAX(N407*N407-(IF(D407="",TODAY()+(5-N407)*15,D407)-TODAY())/4,N407),IF(TODAY()-M407&gt;10,0,1)))</f>
        <v>13</v>
      </c>
      <c r="P407" s="1" t="str">
        <f ca="1">IF(ISNA(VLOOKUP(A407,Projects!B:B,1,FALSE)),"","Yes")</f>
        <v/>
      </c>
    </row>
    <row r="408" spans="1:16">
      <c r="A408" s="4" t="s">
        <v>607</v>
      </c>
      <c r="B408" s="5" t="s">
        <v>11</v>
      </c>
      <c r="C408" s="6" t="s">
        <v>48</v>
      </c>
      <c r="D408" s="11"/>
      <c r="F408" s="13" t="str">
        <f ca="1">VLOOKUP(LEFT(A408,IF(ISERROR(FIND(".",A408)),LEN(A408)+1,FIND(".",A408))-1),WorkList!A:C,3,FALSE)</f>
        <v>Nomura Now</v>
      </c>
      <c r="G408" s="14" t="str">
        <f ca="1">VLOOKUP(CONCATENATE(A408),WorkList!A:C,3,FALSE)</f>
        <v>Agree interface with Duncan</v>
      </c>
      <c r="H408" s="13" t="str">
        <f ca="1">VLOOKUP(CONCATENATE(A408),WorkList!A:D,4,FALSE)</f>
        <v>David Covey</v>
      </c>
      <c r="I408" s="15">
        <f ca="1">VLOOKUP(CONCATENATE(A408),WorkList!A:E,5,FALSE)</f>
        <v>39925</v>
      </c>
      <c r="J408" s="49">
        <f ca="1">VLOOKUP(CONCATENATE(A408),WorkList!A:F,6,FALSE)</f>
        <v>0</v>
      </c>
      <c r="K408" s="49">
        <f ca="1">VLOOKUP(CONCATENATE(A408),WorkList!A:G,7,FALSE)</f>
        <v>0</v>
      </c>
      <c r="L408" s="7" t="s">
        <v>13</v>
      </c>
      <c r="M408" s="16">
        <v>39932</v>
      </c>
      <c r="N408" s="60">
        <f ca="1">VALUE(LEFT(C408))</f>
        <v>0</v>
      </c>
      <c r="O408" s="61">
        <f ca="1">INT(IF(N408&gt;0,1+MAX(N408*N408-(IF(D408="",TODAY()+(5-N408)*15,D408)-TODAY())/4,N408),IF(TODAY()-M408&gt;10,0,1)))</f>
        <v>0</v>
      </c>
      <c r="P408" s="1" t="str">
        <f ca="1">IF(ISNA(VLOOKUP(A408,Projects!B:B,1,FALSE)),"","Yes")</f>
        <v/>
      </c>
    </row>
    <row r="409" spans="1:16">
      <c r="A409" s="4" t="s">
        <v>608</v>
      </c>
      <c r="B409" s="5" t="s">
        <v>11</v>
      </c>
      <c r="C409" s="6" t="s">
        <v>48</v>
      </c>
      <c r="D409" s="11"/>
      <c r="F409" s="13" t="str">
        <f ca="1">VLOOKUP(LEFT(A409,IF(ISERROR(FIND(".",A409)),LEN(A409)+1,FIND(".",A409))-1),WorkList!A:C,3,FALSE)</f>
        <v>Nomura Now</v>
      </c>
      <c r="G409" s="14" t="str">
        <f ca="1">VLOOKUP(CONCATENATE(A409),WorkList!A:C,3,FALSE)</f>
        <v>Implement interface in dev</v>
      </c>
      <c r="H409" s="13" t="str">
        <f ca="1">VLOOKUP(CONCATENATE(A409),WorkList!A:D,4,FALSE)</f>
        <v>David Covey</v>
      </c>
      <c r="I409" s="15">
        <f ca="1">VLOOKUP(CONCATENATE(A409),WorkList!A:E,5,FALSE)</f>
        <v>39925</v>
      </c>
      <c r="J409" s="49">
        <f ca="1">VLOOKUP(CONCATENATE(A409),WorkList!A:F,6,FALSE)</f>
        <v>0</v>
      </c>
      <c r="K409" s="49">
        <f ca="1">VLOOKUP(CONCATENATE(A409),WorkList!A:G,7,FALSE)</f>
        <v>0</v>
      </c>
      <c r="L409" s="7" t="s">
        <v>13</v>
      </c>
      <c r="M409" s="16">
        <v>39932</v>
      </c>
      <c r="N409" s="60">
        <f ca="1">VALUE(LEFT(C409))</f>
        <v>0</v>
      </c>
      <c r="O409" s="61">
        <f ca="1">INT(IF(N409&gt;0,1+MAX(N409*N409-(IF(D409="",TODAY()+(5-N409)*15,D409)-TODAY())/4,N409),IF(TODAY()-M409&gt;10,0,1)))</f>
        <v>0</v>
      </c>
      <c r="P409" s="1" t="str">
        <f ca="1">IF(ISNA(VLOOKUP(A409,Projects!B:B,1,FALSE)),"","Yes")</f>
        <v/>
      </c>
    </row>
    <row r="410" spans="1:16">
      <c r="A410" s="4" t="s">
        <v>609</v>
      </c>
      <c r="B410" s="5" t="s">
        <v>145</v>
      </c>
      <c r="C410" s="7" t="s">
        <v>48</v>
      </c>
      <c r="D410" s="11"/>
      <c r="F410" s="13" t="str">
        <f ca="1">VLOOKUP(LEFT(A410,IF(ISERROR(FIND(".",A410)),LEN(A410)+1,FIND(".",A410))-1),WorkList!A:C,3,FALSE)</f>
        <v>Nomura Now</v>
      </c>
      <c r="G410" s="14" t="str">
        <f ca="1">VLOOKUP(CONCATENATE(A410),WorkList!A:C,3,FALSE)</f>
        <v>Test Times Series Plotter with Dev</v>
      </c>
      <c r="H410" s="13" t="str">
        <f ca="1">VLOOKUP(CONCATENATE(A410),WorkList!A:D,4,FALSE)</f>
        <v>David Covey</v>
      </c>
      <c r="I410" s="15">
        <f ca="1">VLOOKUP(CONCATENATE(A410),WorkList!A:E,5,FALSE)</f>
        <v>39932</v>
      </c>
      <c r="J410" s="49">
        <f ca="1">VLOOKUP(CONCATENATE(A410),WorkList!A:F,6,FALSE)</f>
        <v>0</v>
      </c>
      <c r="K410" s="49">
        <f ca="1">VLOOKUP(CONCATENATE(A410),WorkList!A:G,7,FALSE)</f>
        <v>0</v>
      </c>
      <c r="L410" s="7" t="s">
        <v>13</v>
      </c>
      <c r="M410" s="16">
        <v>39966</v>
      </c>
      <c r="N410" s="60">
        <f ca="1">VALUE(LEFT(C410))</f>
        <v>0</v>
      </c>
      <c r="O410" s="61">
        <f ca="1">INT(IF(N410&gt;0,1+MAX(N410*N410-(IF(D410="",TODAY()+(5-N410)*15,D410)-TODAY())/4,N410),IF(TODAY()-M410&gt;10,0,1)))</f>
        <v>0</v>
      </c>
      <c r="P410" s="1" t="str">
        <f ca="1">IF(ISNA(VLOOKUP(A410,Projects!B:B,1,FALSE)),"","Yes")</f>
        <v/>
      </c>
    </row>
    <row r="411" spans="1:16">
      <c r="A411" s="4" t="s">
        <v>610</v>
      </c>
      <c r="B411" s="5" t="s">
        <v>29</v>
      </c>
      <c r="C411" s="6" t="s">
        <v>48</v>
      </c>
      <c r="D411" s="11"/>
      <c r="F411" s="13" t="str">
        <f ca="1">VLOOKUP(LEFT(A411,IF(ISERROR(FIND(".",A411)),LEN(A411)+1,FIND(".",A411))-1),WorkList!A:C,3,FALSE)</f>
        <v>Nomura Now</v>
      </c>
      <c r="G411" s="14" t="str">
        <f ca="1">VLOOKUP(CONCATENATE(A411),WorkList!A:C,3,FALSE)</f>
        <v>Agree 'menu' definition and interface with Duncan</v>
      </c>
      <c r="H411" s="13" t="str">
        <f ca="1">VLOOKUP(CONCATENATE(A411),WorkList!A:D,4,FALSE)</f>
        <v>David Covey</v>
      </c>
      <c r="I411" s="15">
        <f ca="1">VLOOKUP(CONCATENATE(A411),WorkList!A:E,5,FALSE)</f>
        <v>39932</v>
      </c>
      <c r="J411" s="49">
        <f ca="1">VLOOKUP(CONCATENATE(A411),WorkList!A:F,6,FALSE)</f>
        <v>0</v>
      </c>
      <c r="K411" s="49">
        <f ca="1">VLOOKUP(CONCATENATE(A411),WorkList!A:G,7,FALSE)</f>
        <v>0</v>
      </c>
      <c r="L411" s="7" t="s">
        <v>13</v>
      </c>
      <c r="M411" s="16">
        <v>40532</v>
      </c>
      <c r="N411" s="60">
        <f ca="1">VALUE(LEFT(C411))</f>
        <v>0</v>
      </c>
      <c r="O411" s="61">
        <f ca="1">INT(IF(N411&gt;0,1+MAX(N411*N411-(IF(D411="",TODAY()+(5-N411)*15,D411)-TODAY())/4,N411),IF(TODAY()-M411&gt;10,0,1)))</f>
        <v>0</v>
      </c>
      <c r="P411" s="1" t="str">
        <f ca="1">IF(ISNA(VLOOKUP(A411,Projects!B:B,1,FALSE)),"","Yes")</f>
        <v/>
      </c>
    </row>
    <row r="412" spans="1:16">
      <c r="A412" s="4" t="s">
        <v>611</v>
      </c>
      <c r="B412" s="5" t="s">
        <v>29</v>
      </c>
      <c r="C412" s="6" t="s">
        <v>48</v>
      </c>
      <c r="D412" s="11"/>
      <c r="F412" s="13" t="str">
        <f ca="1">VLOOKUP(LEFT(A412,IF(ISERROR(FIND(".",A412)),LEN(A412)+1,FIND(".",A412))-1),WorkList!A:C,3,FALSE)</f>
        <v>Nomura Now</v>
      </c>
      <c r="G412" s="14" t="str">
        <f ca="1">VLOOKUP(CONCATENATE(A412),WorkList!A:C,3,FALSE)</f>
        <v>Migrate TS to PROD database</v>
      </c>
      <c r="H412" s="13" t="str">
        <f ca="1">VLOOKUP(CONCATENATE(A412),WorkList!A:D,4,FALSE)</f>
        <v>Neil</v>
      </c>
      <c r="I412" s="15">
        <f ca="1">VLOOKUP(CONCATENATE(A412),WorkList!A:E,5,FALSE)</f>
        <v>39960</v>
      </c>
      <c r="J412" s="49">
        <f ca="1">VLOOKUP(CONCATENATE(A412),WorkList!A:F,6,FALSE)</f>
        <v>0</v>
      </c>
      <c r="K412" s="49">
        <f ca="1">VLOOKUP(CONCATENATE(A412),WorkList!A:G,7,FALSE)</f>
        <v>0</v>
      </c>
      <c r="L412" s="7" t="s">
        <v>13</v>
      </c>
      <c r="M412" s="16">
        <v>39966</v>
      </c>
      <c r="N412" s="60">
        <f ca="1">VALUE(LEFT(C412))</f>
        <v>0</v>
      </c>
      <c r="O412" s="61">
        <f ca="1">INT(IF(N412&gt;0,1+MAX(N412*N412-(IF(D412="",TODAY()+(5-N412)*15,D412)-TODAY())/4,N412),IF(TODAY()-M412&gt;10,0,1)))</f>
        <v>0</v>
      </c>
      <c r="P412" s="1" t="str">
        <f ca="1">IF(ISNA(VLOOKUP(A412,Projects!B:B,1,FALSE)),"","Yes")</f>
        <v/>
      </c>
    </row>
    <row r="413" spans="1:16">
      <c r="A413" s="4" t="s">
        <v>612</v>
      </c>
      <c r="B413" s="5" t="s">
        <v>29</v>
      </c>
      <c r="C413" s="6" t="s">
        <v>48</v>
      </c>
      <c r="D413" s="11"/>
      <c r="F413" s="13" t="str">
        <f ca="1">VLOOKUP(LEFT(A413,IF(ISERROR(FIND(".",A413)),LEN(A413)+1,FIND(".",A413))-1),WorkList!A:C,3,FALSE)</f>
        <v>Nomura Now</v>
      </c>
      <c r="G413" s="14" t="str">
        <f ca="1">VLOOKUP(CONCATENATE(A413),WorkList!A:C,3,FALSE)</f>
        <v>Add TS facility for Granite</v>
      </c>
      <c r="H413" s="13" t="str">
        <f ca="1">VLOOKUP(CONCATENATE(A413),WorkList!A:D,4,FALSE)</f>
        <v>David Covey</v>
      </c>
      <c r="I413" s="15">
        <f ca="1">VLOOKUP(CONCATENATE(A413),WorkList!A:E,5,FALSE)</f>
        <v>40025</v>
      </c>
      <c r="J413" s="49">
        <f ca="1">VLOOKUP(CONCATENATE(A413),WorkList!A:F,6,FALSE)</f>
        <v>0</v>
      </c>
      <c r="K413" s="49">
        <f ca="1">VLOOKUP(CONCATENATE(A413),WorkList!A:G,7,FALSE)</f>
        <v>0</v>
      </c>
      <c r="L413" s="7" t="s">
        <v>13</v>
      </c>
      <c r="M413" s="16">
        <v>40029</v>
      </c>
      <c r="N413" s="60">
        <f ca="1">VALUE(LEFT(C413))</f>
        <v>0</v>
      </c>
      <c r="O413" s="61">
        <f ca="1">INT(IF(N413&gt;0,1+MAX(N413*N413-(IF(D413="",TODAY()+(5-N413)*15,D413)-TODAY())/4,N413),IF(TODAY()-M413&gt;10,0,1)))</f>
        <v>0</v>
      </c>
      <c r="P413" s="1" t="str">
        <f ca="1">IF(ISNA(VLOOKUP(A413,Projects!B:B,1,FALSE)),"","Yes")</f>
        <v/>
      </c>
    </row>
    <row r="414" spans="1:16">
      <c r="A414" s="4" t="s">
        <v>613</v>
      </c>
      <c r="B414" s="5" t="s">
        <v>32</v>
      </c>
      <c r="C414" s="6" t="s">
        <v>48</v>
      </c>
      <c r="D414" s="11"/>
      <c r="F414" s="13" t="str">
        <f ca="1">VLOOKUP(LEFT(A414,IF(ISERROR(FIND(".",A414)),LEN(A414)+1,FIND(".",A414))-1),WorkList!A:C,3,FALSE)</f>
        <v>Nomura Now</v>
      </c>
      <c r="G414" s="14" t="str">
        <f ca="1">VLOOKUP(CONCATENATE(A414),WorkList!A:C,3,FALSE)</f>
        <v>Add TS for Macro Economic Data</v>
      </c>
      <c r="H414" s="13" t="str">
        <f ca="1">VLOOKUP(CONCATENATE(A414),WorkList!A:D,4,FALSE)</f>
        <v>David Covey</v>
      </c>
      <c r="I414" s="15">
        <f ca="1">VLOOKUP(CONCATENATE(A414),WorkList!A:E,5,FALSE)</f>
        <v>40049</v>
      </c>
      <c r="J414" s="49">
        <f ca="1">VLOOKUP(CONCATENATE(A414),WorkList!A:F,6,FALSE)</f>
        <v>0</v>
      </c>
      <c r="K414" s="49">
        <f ca="1">VLOOKUP(CONCATENATE(A414),WorkList!A:G,7,FALSE)</f>
        <v>0</v>
      </c>
      <c r="L414" s="7" t="s">
        <v>13</v>
      </c>
      <c r="M414" s="16">
        <v>40074</v>
      </c>
      <c r="N414" s="60">
        <f ca="1">VALUE(LEFT(C414))</f>
        <v>0</v>
      </c>
      <c r="O414" s="61">
        <f ca="1">INT(IF(N414&gt;0,1+MAX(N414*N414-(IF(D414="",TODAY()+(5-N414)*15,D414)-TODAY())/4,N414),IF(TODAY()-M414&gt;10,0,1)))</f>
        <v>0</v>
      </c>
      <c r="P414" s="1" t="str">
        <f ca="1">IF(ISNA(VLOOKUP(A414,Projects!B:B,1,FALSE)),"","Yes")</f>
        <v/>
      </c>
    </row>
    <row r="415" spans="1:16">
      <c r="A415" s="4" t="s">
        <v>614</v>
      </c>
      <c r="B415" s="5" t="s">
        <v>29</v>
      </c>
      <c r="C415" s="6" t="s">
        <v>48</v>
      </c>
      <c r="D415" s="11"/>
      <c r="F415" s="13" t="str">
        <f ca="1">VLOOKUP(LEFT(A415,IF(ISERROR(FIND(".",A415)),LEN(A415)+1,FIND(".",A415))-1),WorkList!A:C,3,FALSE)</f>
        <v>Nomura Now</v>
      </c>
      <c r="G415" s="14" t="str">
        <f ca="1">VLOOKUP(CONCATENATE(A415),WorkList!A:C,3,FALSE)</f>
        <v>Make Deal/ABSNet data available to TSP via SP</v>
      </c>
      <c r="H415" s="13" t="str">
        <f ca="1">VLOOKUP(CONCATENATE(A415),WorkList!A:D,4,FALSE)</f>
        <v>Gerald</v>
      </c>
      <c r="I415" s="15">
        <f ca="1">VLOOKUP(CONCATENATE(A415),WorkList!A:E,5,FALSE)</f>
        <v>40169</v>
      </c>
      <c r="J415" s="49">
        <f ca="1">VLOOKUP(CONCATENATE(A415),WorkList!A:F,6,FALSE)</f>
        <v>1</v>
      </c>
      <c r="K415" s="49" t="str">
        <f ca="1">VLOOKUP(CONCATENATE(A415),WorkList!A:G,7,FALSE)</f>
        <v>NewDevelopment</v>
      </c>
      <c r="L415" s="7" t="s">
        <v>13</v>
      </c>
      <c r="M415" s="16">
        <v>40406</v>
      </c>
      <c r="N415" s="60">
        <f ca="1">VALUE(LEFT(C415))</f>
        <v>0</v>
      </c>
      <c r="O415" s="61">
        <f ca="1">INT(IF(N415&gt;0,1+MAX(N415*N415-(IF(D415="",TODAY()+(5-N415)*15,D415)-TODAY())/4,N415),IF(TODAY()-M415&gt;10,0,1)))</f>
        <v>0</v>
      </c>
      <c r="P415" s="1" t="str">
        <f ca="1">IF(ISNA(VLOOKUP(A415,Projects!B:B,1,FALSE)),"","Yes")</f>
        <v/>
      </c>
    </row>
    <row r="416" spans="1:16">
      <c r="A416" s="4" t="s">
        <v>615</v>
      </c>
      <c r="B416" s="5" t="s">
        <v>37</v>
      </c>
      <c r="C416" s="7" t="s">
        <v>48</v>
      </c>
      <c r="D416" s="11"/>
      <c r="F416" s="13" t="str">
        <f ca="1">VLOOKUP(LEFT(A416,IF(ISERROR(FIND(".",A416)),LEN(A416)+1,FIND(".",A416))-1),WorkList!A:C,3,FALSE)</f>
        <v>Nomura Now</v>
      </c>
      <c r="G416" s="14" t="str">
        <f ca="1">VLOOKUP(CONCATENATE(A416),WorkList!A:C,3,FALSE)</f>
        <v>Load up historical sector spread from old Lehman DB</v>
      </c>
      <c r="H416" s="13" t="str">
        <f ca="1">VLOOKUP(CONCATENATE(A416),WorkList!A:D,4,FALSE)</f>
        <v>Shubh</v>
      </c>
      <c r="I416" s="15">
        <f ca="1">VLOOKUP(CONCATENATE(A416),WorkList!A:E,5,FALSE)</f>
        <v>40102</v>
      </c>
      <c r="J416" s="49">
        <f ca="1">VLOOKUP(CONCATENATE(A416),WorkList!A:F,6,FALSE)</f>
        <v>0</v>
      </c>
      <c r="K416" s="49">
        <f ca="1">VLOOKUP(CONCATENATE(A416),WorkList!A:G,7,FALSE)</f>
        <v>0</v>
      </c>
      <c r="L416" s="7" t="s">
        <v>13</v>
      </c>
      <c r="M416" s="16">
        <v>40099</v>
      </c>
      <c r="N416" s="60">
        <f ca="1">VALUE(LEFT(C416))</f>
        <v>0</v>
      </c>
      <c r="O416" s="61">
        <f ca="1">INT(IF(N416&gt;0,1+MAX(N416*N416-(IF(D416="",TODAY()+(5-N416)*15,D416)-TODAY())/4,N416),IF(TODAY()-M416&gt;10,0,1)))</f>
        <v>0</v>
      </c>
      <c r="P416" s="1" t="str">
        <f ca="1">IF(ISNA(VLOOKUP(A416,Projects!B:B,1,FALSE)),"","Yes")</f>
        <v/>
      </c>
    </row>
    <row r="417" spans="1:16">
      <c r="A417" s="4" t="s">
        <v>524</v>
      </c>
      <c r="B417" s="5" t="s">
        <v>29</v>
      </c>
      <c r="C417" s="6" t="s">
        <v>48</v>
      </c>
      <c r="D417" s="11"/>
      <c r="F417" s="13" t="str">
        <f ca="1">VLOOKUP(LEFT(A417,IF(ISERROR(FIND(".",A417)),LEN(A417)+1,FIND(".",A417))-1),WorkList!A:C,3,FALSE)</f>
        <v>Nomura Now</v>
      </c>
      <c r="G417" s="14" t="str">
        <f ca="1">VLOOKUP(CONCATENATE(A417),WorkList!A:C,3,FALSE)</f>
        <v>Modify Sector Spreads SP to allow for * in Currency Field</v>
      </c>
      <c r="H417" s="13" t="str">
        <f ca="1">VLOOKUP(CONCATENATE(A417),WorkList!A:D,4,FALSE)</f>
        <v>Shubh</v>
      </c>
      <c r="I417" s="15">
        <f ca="1">VLOOKUP(CONCATENATE(A417),WorkList!A:E,5,FALSE)</f>
        <v>40094</v>
      </c>
      <c r="J417" s="49">
        <f ca="1">VLOOKUP(CONCATENATE(A417),WorkList!A:F,6,FALSE)</f>
        <v>0</v>
      </c>
      <c r="K417" s="49">
        <f ca="1">VLOOKUP(CONCATENATE(A417),WorkList!A:G,7,FALSE)</f>
        <v>0</v>
      </c>
      <c r="L417" s="7" t="s">
        <v>13</v>
      </c>
      <c r="M417" s="16">
        <v>40101</v>
      </c>
      <c r="N417" s="60">
        <f ca="1">VALUE(LEFT(C417))</f>
        <v>0</v>
      </c>
      <c r="O417" s="61">
        <f ca="1">INT(IF(N417&gt;0,1+MAX(N417*N417-(IF(D417="",TODAY()+(5-N417)*15,D417)-TODAY())/4,N417),IF(TODAY()-M417&gt;10,0,1)))</f>
        <v>0</v>
      </c>
      <c r="P417" s="1" t="str">
        <f ca="1">IF(ISNA(VLOOKUP(A417,Projects!B:B,1,FALSE)),"","Yes")</f>
        <v/>
      </c>
    </row>
    <row r="418" spans="1:16">
      <c r="A418" s="4" t="s">
        <v>542</v>
      </c>
      <c r="B418" s="5" t="s">
        <v>21</v>
      </c>
      <c r="C418" s="6" t="s">
        <v>197</v>
      </c>
      <c r="D418" s="11"/>
      <c r="F418" s="13" t="str">
        <f ca="1">VLOOKUP(LEFT(A418,IF(ISERROR(FIND(".",A418)),LEN(A418)+1,FIND(".",A418))-1),WorkList!A:C,3,FALSE)</f>
        <v>Nomura Now</v>
      </c>
      <c r="G418" s="14" t="str">
        <f ca="1">VLOOKUP(CONCATENATE(A418),WorkList!A:C,3,FALSE)</f>
        <v>Load up very old Lehman spread history</v>
      </c>
      <c r="H418" s="13" t="str">
        <f ca="1">VLOOKUP(CONCATENATE(A418),WorkList!A:D,4,FALSE)</f>
        <v>Shubh</v>
      </c>
      <c r="I418" s="15">
        <f ca="1">VLOOKUP(CONCATENATE(A418),WorkList!A:E,5,FALSE)</f>
        <v>40102</v>
      </c>
      <c r="J418" s="49">
        <f ca="1">VLOOKUP(CONCATENATE(A418),WorkList!A:F,6,FALSE)</f>
        <v>2</v>
      </c>
      <c r="K418" s="49" t="str">
        <f ca="1">VLOOKUP(CONCATENATE(A418),WorkList!A:G,7,FALSE)</f>
        <v>Other</v>
      </c>
      <c r="L418" s="7" t="s">
        <v>7</v>
      </c>
      <c r="M418" s="16">
        <v>40150</v>
      </c>
      <c r="N418" s="60">
        <f ca="1">VALUE(LEFT(C418))</f>
        <v>1</v>
      </c>
      <c r="O418" s="61">
        <f ca="1">INT(IF(N418&gt;0,1+MAX(N418*N418-(IF(D418="",TODAY()+(5-N418)*15,D418)-TODAY())/4,N418),IF(TODAY()-M418&gt;10,0,1)))</f>
        <v>2</v>
      </c>
      <c r="P418" s="1" t="str">
        <f ca="1">IF(ISNA(VLOOKUP(A418,Projects!B:B,1,FALSE)),"","Yes")</f>
        <v/>
      </c>
    </row>
    <row r="419" spans="1:16">
      <c r="A419" s="4" t="s">
        <v>621</v>
      </c>
      <c r="B419" s="5" t="s">
        <v>32</v>
      </c>
      <c r="C419" s="6" t="s">
        <v>48</v>
      </c>
      <c r="D419" s="11"/>
      <c r="F419" s="13" t="str">
        <f ca="1">VLOOKUP(LEFT(A419,IF(ISERROR(FIND(".",A419)),LEN(A419)+1,FIND(".",A419))-1),WorkList!A:C,3,FALSE)</f>
        <v>Nomura Now</v>
      </c>
      <c r="G419" s="14" t="str">
        <f ca="1">VLOOKUP(CONCATENATE(A419),WorkList!A:C,3,FALSE)</f>
        <v>Load up historical level 2 granite prices</v>
      </c>
      <c r="H419" s="13" t="str">
        <f ca="1">VLOOKUP(CONCATENATE(A419),WorkList!A:D,4,FALSE)</f>
        <v>Neil</v>
      </c>
      <c r="I419" s="15">
        <f ca="1">VLOOKUP(CONCATENATE(A419),WorkList!A:E,5,FALSE)</f>
        <v>40109</v>
      </c>
      <c r="J419" s="49">
        <f ca="1">VLOOKUP(CONCATENATE(A419),WorkList!A:F,6,FALSE)</f>
        <v>0</v>
      </c>
      <c r="K419" s="49">
        <f ca="1">VLOOKUP(CONCATENATE(A419),WorkList!A:G,7,FALSE)</f>
        <v>0</v>
      </c>
      <c r="L419" s="18" t="s">
        <v>13</v>
      </c>
      <c r="M419" s="16">
        <v>40120</v>
      </c>
      <c r="N419" s="60">
        <f ca="1">VALUE(LEFT(C419))</f>
        <v>0</v>
      </c>
      <c r="O419" s="61">
        <f ca="1">INT(IF(N419&gt;0,1+MAX(N419*N419-(IF(D419="",TODAY()+(5-N419)*15,D419)-TODAY())/4,N419),IF(TODAY()-M419&gt;10,0,1)))</f>
        <v>0</v>
      </c>
      <c r="P419" s="1" t="str">
        <f ca="1">IF(ISNA(VLOOKUP(A419,Projects!B:B,1,FALSE)),"","Yes")</f>
        <v/>
      </c>
    </row>
    <row r="420" spans="1:16">
      <c r="A420" s="4" t="s">
        <v>717</v>
      </c>
      <c r="B420" s="5" t="s">
        <v>11</v>
      </c>
      <c r="C420" s="6" t="s">
        <v>48</v>
      </c>
      <c r="D420" s="11"/>
      <c r="F420" s="13" t="str">
        <f ca="1">VLOOKUP(LEFT(A420,IF(ISERROR(FIND(".",A420)),LEN(A420)+1,FIND(".",A420))-1),WorkList!A:C,3,FALSE)</f>
        <v>Nomura Now</v>
      </c>
      <c r="G420" s="14" t="str">
        <f ca="1">VLOOKUP(CONCATENATE(A420),WorkList!A:C,3,FALSE)</f>
        <v>Make Spanish HPI available to ChartViewer SP</v>
      </c>
      <c r="H420" s="13" t="str">
        <f ca="1">VLOOKUP(CONCATENATE(A420),WorkList!A:D,4,FALSE)</f>
        <v>Gerald</v>
      </c>
      <c r="I420" s="15">
        <f ca="1">VLOOKUP(CONCATENATE(A420),WorkList!A:E,5,FALSE)</f>
        <v>40135</v>
      </c>
      <c r="J420" s="49">
        <f ca="1">VLOOKUP(CONCATENATE(A420),WorkList!A:F,6,FALSE)</f>
        <v>1</v>
      </c>
      <c r="K420" s="49">
        <f ca="1">VLOOKUP(CONCATENATE(A420),WorkList!A:G,7,FALSE)</f>
        <v>0</v>
      </c>
      <c r="L420" s="7" t="s">
        <v>13</v>
      </c>
      <c r="M420" s="16">
        <v>40192</v>
      </c>
      <c r="N420" s="60">
        <f ca="1">VALUE(LEFT(C420))</f>
        <v>0</v>
      </c>
      <c r="O420" s="61">
        <f ca="1">INT(IF(N420&gt;0,1+MAX(N420*N420-(IF(D420="",TODAY()+(5-N420)*15,D420)-TODAY())/4,N420),IF(TODAY()-M420&gt;10,0,1)))</f>
        <v>0</v>
      </c>
      <c r="P420" s="1" t="str">
        <f ca="1">IF(ISNA(VLOOKUP(A420,Projects!B:B,1,FALSE)),"","Yes")</f>
        <v/>
      </c>
    </row>
    <row r="421" spans="1:16">
      <c r="A421" s="4" t="s">
        <v>718</v>
      </c>
      <c r="B421" s="5" t="s">
        <v>11</v>
      </c>
      <c r="C421" s="6" t="s">
        <v>48</v>
      </c>
      <c r="D421" s="11"/>
      <c r="F421" s="13" t="str">
        <f ca="1">VLOOKUP(LEFT(A421,IF(ISERROR(FIND(".",A421)),LEN(A421)+1,FIND(".",A421))-1),WorkList!A:C,3,FALSE)</f>
        <v>Nomura Now</v>
      </c>
      <c r="G421" s="14" t="str">
        <f ca="1">VLOOKUP(CONCATENATE(A421),WorkList!A:C,3,FALSE)</f>
        <v>Add Spanish HPI to ChartViewer menu</v>
      </c>
      <c r="H421" s="13" t="str">
        <f ca="1">VLOOKUP(CONCATENATE(A421),WorkList!A:D,4,FALSE)</f>
        <v>Gerald</v>
      </c>
      <c r="I421" s="15">
        <f ca="1">VLOOKUP(CONCATENATE(A421),WorkList!A:E,5,FALSE)</f>
        <v>40135</v>
      </c>
      <c r="J421" s="49">
        <f ca="1">VLOOKUP(CONCATENATE(A421),WorkList!A:F,6,FALSE)</f>
        <v>0.25</v>
      </c>
      <c r="K421" s="49">
        <f ca="1">VLOOKUP(CONCATENATE(A421),WorkList!A:G,7,FALSE)</f>
        <v>0</v>
      </c>
      <c r="L421" s="7" t="s">
        <v>13</v>
      </c>
      <c r="M421" s="16">
        <v>40192</v>
      </c>
      <c r="N421" s="60">
        <f ca="1">VALUE(LEFT(C421))</f>
        <v>0</v>
      </c>
      <c r="O421" s="61">
        <f ca="1">INT(IF(N421&gt;0,1+MAX(N421*N421-(IF(D421="",TODAY()+(5-N421)*15,D421)-TODAY())/4,N421),IF(TODAY()-M421&gt;10,0,1)))</f>
        <v>0</v>
      </c>
      <c r="P421" s="1" t="str">
        <f ca="1">IF(ISNA(VLOOKUP(A421,Projects!B:B,1,FALSE)),"","Yes")</f>
        <v/>
      </c>
    </row>
    <row r="422" spans="1:16">
      <c r="A422" s="4" t="s">
        <v>721</v>
      </c>
      <c r="B422" s="5" t="s">
        <v>415</v>
      </c>
      <c r="C422" s="7" t="s">
        <v>48</v>
      </c>
      <c r="D422" s="11"/>
      <c r="F422" s="13" t="str">
        <f ca="1">VLOOKUP(LEFT(A422,IF(ISERROR(FIND(".",A422)),LEN(A422)+1,FIND(".",A422))-1),WorkList!A:C,3,FALSE)</f>
        <v>Nomura Now</v>
      </c>
      <c r="G422" s="14" t="str">
        <f ca="1">VLOOKUP(CONCATENATE(A422),WorkList!A:C,3,FALSE)</f>
        <v>SP for Deal Data for NN HPI Calculator</v>
      </c>
      <c r="H422" s="13" t="str">
        <f ca="1">VLOOKUP(CONCATENATE(A422),WorkList!A:D,4,FALSE)</f>
        <v>Gerald</v>
      </c>
      <c r="I422" s="15">
        <f ca="1">VLOOKUP(CONCATENATE(A422),WorkList!A:E,5,FALSE)</f>
        <v>40135</v>
      </c>
      <c r="J422" s="49">
        <f ca="1">VLOOKUP(CONCATENATE(A422),WorkList!A:F,6,FALSE)</f>
        <v>0.5</v>
      </c>
      <c r="K422" s="49">
        <f ca="1">VLOOKUP(CONCATENATE(A422),WorkList!A:G,7,FALSE)</f>
        <v>0</v>
      </c>
      <c r="L422" s="7" t="s">
        <v>13</v>
      </c>
      <c r="M422" s="16">
        <v>40283</v>
      </c>
      <c r="N422" s="60">
        <f ca="1">VALUE(LEFT(C422))</f>
        <v>0</v>
      </c>
      <c r="O422" s="61">
        <f ca="1">INT(IF(N422&gt;0,1+MAX(N422*N422-(IF(D422="",TODAY()+(5-N422)*15,D422)-TODAY())/4,N422),IF(TODAY()-M422&gt;10,0,1)))</f>
        <v>0</v>
      </c>
      <c r="P422" s="1" t="str">
        <f ca="1">IF(ISNA(VLOOKUP(A422,Projects!B:B,1,FALSE)),"","Yes")</f>
        <v/>
      </c>
    </row>
    <row r="423" spans="1:16">
      <c r="A423" s="4" t="s">
        <v>723</v>
      </c>
      <c r="B423" s="5" t="s">
        <v>21</v>
      </c>
      <c r="C423" s="7" t="s">
        <v>38</v>
      </c>
      <c r="D423" s="11"/>
      <c r="F423" s="13" t="str">
        <f ca="1">VLOOKUP(LEFT(A423,IF(ISERROR(FIND(".",A423)),LEN(A423)+1,FIND(".",A423))-1),WorkList!A:C,3,FALSE)</f>
        <v>Nomura Now</v>
      </c>
      <c r="G423" s="14" t="str">
        <f ca="1">VLOOKUP(CONCATENATE(A423),WorkList!A:C,3,FALSE)</f>
        <v>SPs to support Bond Portfolio Pricing</v>
      </c>
      <c r="H423" s="13" t="str">
        <f ca="1">VLOOKUP(CONCATENATE(A423),WorkList!A:D,4,FALSE)</f>
        <v>Gerald</v>
      </c>
      <c r="I423" s="15">
        <f ca="1">VLOOKUP(CONCATENATE(A423),WorkList!A:E,5,FALSE)</f>
        <v>40135</v>
      </c>
      <c r="J423" s="49">
        <f ca="1">VLOOKUP(CONCATENATE(A423),WorkList!A:F,6,FALSE)</f>
        <v>3</v>
      </c>
      <c r="K423" s="49" t="str">
        <f ca="1">VLOOKUP(CONCATENATE(A423),WorkList!A:G,7,FALSE)</f>
        <v>NewDevelopment</v>
      </c>
      <c r="L423" s="7" t="s">
        <v>537</v>
      </c>
      <c r="M423" s="16">
        <v>40239</v>
      </c>
      <c r="N423" s="60">
        <f ca="1">VALUE(LEFT(C423))</f>
        <v>2</v>
      </c>
      <c r="O423" s="61">
        <f ca="1">INT(IF(N423&gt;0,1+MAX(N423*N423-(IF(D423="",TODAY()+(5-N423)*15,D423)-TODAY())/4,N423),IF(TODAY()-M423&gt;10,0,1)))</f>
        <v>3</v>
      </c>
      <c r="P423" s="1" t="str">
        <f ca="1">IF(ISNA(VLOOKUP(A423,Projects!B:B,1,FALSE)),"","Yes")</f>
        <v/>
      </c>
    </row>
    <row r="424" spans="1:16">
      <c r="A424" s="4" t="s">
        <v>789</v>
      </c>
      <c r="B424" s="5" t="s">
        <v>11</v>
      </c>
      <c r="C424" s="7" t="s">
        <v>48</v>
      </c>
      <c r="D424" s="11"/>
      <c r="F424" s="13" t="str">
        <f ca="1">VLOOKUP(LEFT(A424,IF(ISERROR(FIND(".",A424)),LEN(A424)+1,FIND(".",A424))-1),WorkList!A:C,3,FALSE)</f>
        <v>Nomura Now</v>
      </c>
      <c r="G424" s="14" t="str">
        <f ca="1">VLOOKUP(CONCATENATE(A424),WorkList!A:C,3,FALSE)</f>
        <v>Make Dutch HPI available to ChartViewer SP</v>
      </c>
      <c r="H424" s="13" t="str">
        <f ca="1">VLOOKUP(CONCATENATE(A424),WorkList!A:D,4,FALSE)</f>
        <v>Gerald</v>
      </c>
      <c r="I424" s="15">
        <f ca="1">VLOOKUP(CONCATENATE(A424),WorkList!A:E,5,FALSE)</f>
        <v>40157</v>
      </c>
      <c r="J424" s="49">
        <f ca="1">VLOOKUP(CONCATENATE(A424),WorkList!A:F,6,FALSE)</f>
        <v>1</v>
      </c>
      <c r="K424" s="49">
        <f ca="1">VLOOKUP(CONCATENATE(A424),WorkList!A:G,7,FALSE)</f>
        <v>0</v>
      </c>
      <c r="L424" s="7" t="s">
        <v>13</v>
      </c>
      <c r="M424" s="16">
        <v>40192</v>
      </c>
      <c r="N424" s="60">
        <f ca="1">VALUE(LEFT(C424))</f>
        <v>0</v>
      </c>
      <c r="O424" s="61">
        <f ca="1">INT(IF(N424&gt;0,1+MAX(N424*N424-(IF(D424="",TODAY()+(5-N424)*15,D424)-TODAY())/4,N424),IF(TODAY()-M424&gt;10,0,1)))</f>
        <v>0</v>
      </c>
      <c r="P424" s="1" t="str">
        <f ca="1">IF(ISNA(VLOOKUP(A424,Projects!B:B,1,FALSE)),"","Yes")</f>
        <v/>
      </c>
    </row>
    <row r="425" spans="1:16">
      <c r="A425" s="4" t="s">
        <v>790</v>
      </c>
      <c r="B425" s="5" t="s">
        <v>11</v>
      </c>
      <c r="C425" s="7" t="s">
        <v>48</v>
      </c>
      <c r="D425" s="11"/>
      <c r="F425" s="13" t="str">
        <f ca="1">VLOOKUP(LEFT(A425,IF(ISERROR(FIND(".",A425)),LEN(A425)+1,FIND(".",A425))-1),WorkList!A:C,3,FALSE)</f>
        <v>Nomura Now</v>
      </c>
      <c r="G425" s="14" t="str">
        <f ca="1">VLOOKUP(CONCATENATE(A425),WorkList!A:C,3,FALSE)</f>
        <v>Add Dutch HPI to ChartViewer menu</v>
      </c>
      <c r="H425" s="13" t="str">
        <f ca="1">VLOOKUP(CONCATENATE(A425),WorkList!A:D,4,FALSE)</f>
        <v>Gerald</v>
      </c>
      <c r="I425" s="15">
        <f ca="1">VLOOKUP(CONCATENATE(A425),WorkList!A:E,5,FALSE)</f>
        <v>40157</v>
      </c>
      <c r="J425" s="49">
        <f ca="1">VLOOKUP(CONCATENATE(A425),WorkList!A:F,6,FALSE)</f>
        <v>0.25</v>
      </c>
      <c r="K425" s="49">
        <f ca="1">VLOOKUP(CONCATENATE(A425),WorkList!A:G,7,FALSE)</f>
        <v>0</v>
      </c>
      <c r="L425" s="7" t="s">
        <v>13</v>
      </c>
      <c r="M425" s="16">
        <v>40192</v>
      </c>
      <c r="N425" s="60">
        <f ca="1">VALUE(LEFT(C425))</f>
        <v>0</v>
      </c>
      <c r="O425" s="61">
        <f ca="1">INT(IF(N425&gt;0,1+MAX(N425*N425-(IF(D425="",TODAY()+(5-N425)*15,D425)-TODAY())/4,N425),IF(TODAY()-M425&gt;10,0,1)))</f>
        <v>0</v>
      </c>
      <c r="P425" s="1" t="str">
        <f ca="1">IF(ISNA(VLOOKUP(A425,Projects!B:B,1,FALSE)),"","Yes")</f>
        <v/>
      </c>
    </row>
    <row r="426" spans="1:16">
      <c r="A426" s="4" t="s">
        <v>822</v>
      </c>
      <c r="B426" s="5" t="s">
        <v>11</v>
      </c>
      <c r="C426" s="6" t="s">
        <v>10</v>
      </c>
      <c r="D426" s="11"/>
      <c r="F426" s="13" t="str">
        <f ca="1">VLOOKUP(LEFT(A426,IF(ISERROR(FIND(".",A426)),LEN(A426)+1,FIND(".",A426))-1),WorkList!A:C,3,FALSE)</f>
        <v>Nomura Now</v>
      </c>
      <c r="G426" s="14" t="str">
        <f ca="1">VLOOKUP(CONCATENATE(A426),WorkList!A:C,3,FALSE)</f>
        <v>Make spreads 'menu' part of the menu applications</v>
      </c>
      <c r="H426" s="13" t="str">
        <f ca="1">VLOOKUP(CONCATENATE(A426),WorkList!A:D,4,FALSE)</f>
        <v>Neil</v>
      </c>
      <c r="I426" s="15">
        <f ca="1">VLOOKUP(CONCATENATE(A426),WorkList!A:E,5,FALSE)</f>
        <v>40190</v>
      </c>
      <c r="J426" s="49">
        <f ca="1">VLOOKUP(CONCATENATE(A426),WorkList!A:F,6,FALSE)</f>
        <v>1</v>
      </c>
      <c r="K426" s="49" t="str">
        <f ca="1">VLOOKUP(CONCATENATE(A426),WorkList!A:G,7,FALSE)</f>
        <v>Enhancement</v>
      </c>
      <c r="L426" s="7" t="s">
        <v>7</v>
      </c>
      <c r="M426" s="16">
        <v>40283</v>
      </c>
      <c r="N426" s="60">
        <f ca="1">VALUE(LEFT(C426))</f>
        <v>3</v>
      </c>
      <c r="O426" s="61">
        <f ca="1">INT(IF(N426&gt;0,1+MAX(N426*N426-(IF(D426="",TODAY()+(5-N426)*15,D426)-TODAY())/4,N426),IF(TODAY()-M426&gt;10,0,1)))</f>
        <v>4</v>
      </c>
      <c r="P426" s="1" t="str">
        <f ca="1">IF(ISNA(VLOOKUP(A426,Projects!B:B,1,FALSE)),"","Yes")</f>
        <v/>
      </c>
    </row>
    <row r="427" spans="1:16">
      <c r="A427" s="4" t="s">
        <v>843</v>
      </c>
      <c r="B427" s="5" t="s">
        <v>21</v>
      </c>
      <c r="C427" s="6" t="s">
        <v>38</v>
      </c>
      <c r="D427" s="11"/>
      <c r="F427" s="13" t="str">
        <f ca="1">VLOOKUP(LEFT(A427,IF(ISERROR(FIND(".",A427)),LEN(A427)+1,FIND(".",A427))-1),WorkList!A:C,3,FALSE)</f>
        <v>Nomura Now</v>
      </c>
      <c r="G427" s="14" t="str">
        <f ca="1">VLOOKUP(CONCATENATE(A427),WorkList!A:C,3,FALSE)</f>
        <v>Make sure all NN SPs return dealIds and bondIds only</v>
      </c>
      <c r="H427" s="13" t="str">
        <f ca="1">VLOOKUP(CONCATENATE(A427),WorkList!A:D,4,FALSE)</f>
        <v>Neil</v>
      </c>
      <c r="I427" s="15">
        <f ca="1">VLOOKUP(CONCATENATE(A427),WorkList!A:E,5,FALSE)</f>
        <v>40197</v>
      </c>
      <c r="J427" s="49">
        <f ca="1">VLOOKUP(CONCATENATE(A427),WorkList!A:F,6,FALSE)</f>
        <v>2</v>
      </c>
      <c r="K427" s="49" t="str">
        <f ca="1">VLOOKUP(CONCATENATE(A427),WorkList!A:G,7,FALSE)</f>
        <v>Enhancement</v>
      </c>
      <c r="L427" s="7" t="s">
        <v>537</v>
      </c>
      <c r="M427" s="16">
        <v>40406</v>
      </c>
      <c r="N427" s="60">
        <f ca="1">VALUE(LEFT(C427))</f>
        <v>2</v>
      </c>
      <c r="O427" s="61">
        <f ca="1">INT(IF(N427&gt;0,1+MAX(N427*N427-(IF(D427="",TODAY()+(5-N427)*15,D427)-TODAY())/4,N427),IF(TODAY()-M427&gt;10,0,1)))</f>
        <v>3</v>
      </c>
      <c r="P427" s="1" t="str">
        <f ca="1">IF(ISNA(VLOOKUP(A427,Projects!B:B,1,FALSE)),"","Yes")</f>
        <v/>
      </c>
    </row>
    <row r="428" spans="1:16">
      <c r="A428" s="4" t="s">
        <v>384</v>
      </c>
      <c r="B428" s="5" t="s">
        <v>11</v>
      </c>
      <c r="C428" s="7" t="s">
        <v>48</v>
      </c>
      <c r="D428" s="11"/>
      <c r="F428" s="13" t="str">
        <f ca="1">VLOOKUP(LEFT(A428,IF(ISERROR(FIND(".",A428)),LEN(A428)+1,FIND(".",A428))-1),WorkList!A:C,3,FALSE)</f>
        <v>Nomura Now</v>
      </c>
      <c r="G428" s="14" t="str">
        <f ca="1">VLOOKUP(CONCATENATE(A428),WorkList!A:C,3,FALSE)</f>
        <v>Plan</v>
      </c>
      <c r="H428" s="13" t="str">
        <f ca="1">VLOOKUP(CONCATENATE(A428),WorkList!A:D,4,FALSE)</f>
        <v>David Covey</v>
      </c>
      <c r="I428" s="15">
        <f ca="1">VLOOKUP(CONCATENATE(A428),WorkList!A:E,5,FALSE)</f>
        <v>40029</v>
      </c>
      <c r="J428" s="49">
        <f ca="1">VLOOKUP(CONCATENATE(A428),WorkList!A:F,6,FALSE)</f>
        <v>0</v>
      </c>
      <c r="K428" s="49">
        <f ca="1">VLOOKUP(CONCATENATE(A428),WorkList!A:G,7,FALSE)</f>
        <v>0</v>
      </c>
      <c r="L428" s="7" t="s">
        <v>13</v>
      </c>
      <c r="M428" s="16">
        <v>40029</v>
      </c>
      <c r="N428" s="60">
        <f ca="1">VALUE(LEFT(C428))</f>
        <v>0</v>
      </c>
      <c r="O428" s="61">
        <f ca="1">INT(IF(N428&gt;0,1+MAX(N428*N428-(IF(D428="",TODAY()+(5-N428)*15,D428)-TODAY())/4,N428),IF(TODAY()-M428&gt;10,0,1)))</f>
        <v>0</v>
      </c>
      <c r="P428" s="1" t="str">
        <f ca="1">IF(ISNA(VLOOKUP(A428,Projects!B:B,1,FALSE)),"","Yes")</f>
        <v/>
      </c>
    </row>
    <row r="429" spans="1:16">
      <c r="A429" s="4" t="s">
        <v>386</v>
      </c>
      <c r="B429" s="5" t="s">
        <v>11</v>
      </c>
      <c r="C429" s="6" t="s">
        <v>48</v>
      </c>
      <c r="D429" s="11"/>
      <c r="F429" s="13" t="str">
        <f ca="1">VLOOKUP(LEFT(A429,IF(ISERROR(FIND(".",A429)),LEN(A429)+1,FIND(".",A429))-1),WorkList!A:C,3,FALSE)</f>
        <v>Nomura Now</v>
      </c>
      <c r="G429" s="14" t="str">
        <f ca="1">VLOOKUP(CONCATENATE(A429),WorkList!A:C,3,FALSE)</f>
        <v>Determine SP to support Deal Analyser</v>
      </c>
      <c r="H429" s="13" t="str">
        <f ca="1">VLOOKUP(CONCATENATE(A429),WorkList!A:D,4,FALSE)</f>
        <v>Neil</v>
      </c>
      <c r="I429" s="15">
        <f ca="1">VLOOKUP(CONCATENATE(A429),WorkList!A:E,5,FALSE)</f>
        <v>40029</v>
      </c>
      <c r="J429" s="49">
        <f ca="1">VLOOKUP(CONCATENATE(A429),WorkList!A:F,6,FALSE)</f>
        <v>0</v>
      </c>
      <c r="K429" s="49">
        <f ca="1">VLOOKUP(CONCATENATE(A429),WorkList!A:G,7,FALSE)</f>
        <v>0</v>
      </c>
      <c r="L429" s="7" t="s">
        <v>13</v>
      </c>
      <c r="M429" s="16">
        <v>40043</v>
      </c>
      <c r="N429" s="60">
        <f ca="1">VALUE(LEFT(C429))</f>
        <v>0</v>
      </c>
      <c r="O429" s="61">
        <f ca="1">INT(IF(N429&gt;0,1+MAX(N429*N429-(IF(D429="",TODAY()+(5-N429)*15,D429)-TODAY())/4,N429),IF(TODAY()-M429&gt;10,0,1)))</f>
        <v>0</v>
      </c>
      <c r="P429" s="1" t="str">
        <f ca="1">IF(ISNA(VLOOKUP(A429,Projects!B:B,1,FALSE)),"","Yes")</f>
        <v/>
      </c>
    </row>
    <row r="430" spans="1:16">
      <c r="A430" s="4" t="s">
        <v>388</v>
      </c>
      <c r="B430" s="5" t="s">
        <v>29</v>
      </c>
      <c r="C430" s="6" t="s">
        <v>48</v>
      </c>
      <c r="D430" s="11"/>
      <c r="F430" s="13" t="str">
        <f ca="1">VLOOKUP(LEFT(A430,IF(ISERROR(FIND(".",A430)),LEN(A430)+1,FIND(".",A430))-1),WorkList!A:C,3,FALSE)</f>
        <v>Nomura Now</v>
      </c>
      <c r="G430" s="14" t="str">
        <f ca="1">VLOOKUP(CONCATENATE(A430),WorkList!A:C,3,FALSE)</f>
        <v>Generate public aggregates</v>
      </c>
      <c r="H430" s="13" t="str">
        <f ca="1">VLOOKUP(CONCATENATE(A430),WorkList!A:D,4,FALSE)</f>
        <v>Neil</v>
      </c>
      <c r="I430" s="15">
        <f ca="1">VLOOKUP(CONCATENATE(A430),WorkList!A:E,5,FALSE)</f>
        <v>40029</v>
      </c>
      <c r="J430" s="49">
        <f ca="1">VLOOKUP(CONCATENATE(A430),WorkList!A:F,6,FALSE)</f>
        <v>0</v>
      </c>
      <c r="K430" s="49">
        <f ca="1">VLOOKUP(CONCATENATE(A430),WorkList!A:G,7,FALSE)</f>
        <v>0</v>
      </c>
      <c r="L430" s="7" t="s">
        <v>13</v>
      </c>
      <c r="M430" s="16">
        <v>40072</v>
      </c>
      <c r="N430" s="60">
        <f ca="1">VALUE(LEFT(C430))</f>
        <v>0</v>
      </c>
      <c r="O430" s="61">
        <f ca="1">INT(IF(N430&gt;0,1+MAX(N430*N430-(IF(D430="",TODAY()+(5-N430)*15,D430)-TODAY())/4,N430),IF(TODAY()-M430&gt;10,0,1)))</f>
        <v>0</v>
      </c>
      <c r="P430" s="1" t="str">
        <f ca="1">IF(ISNA(VLOOKUP(A430,Projects!B:B,1,FALSE)),"","Yes")</f>
        <v/>
      </c>
    </row>
    <row r="431" spans="1:16">
      <c r="A431" s="4" t="s">
        <v>399</v>
      </c>
      <c r="B431" s="5" t="s">
        <v>29</v>
      </c>
      <c r="C431" s="6" t="s">
        <v>48</v>
      </c>
      <c r="D431" s="11"/>
      <c r="F431" s="13" t="str">
        <f ca="1">VLOOKUP(LEFT(A431,IF(ISERROR(FIND(".",A431)),LEN(A431)+1,FIND(".",A431))-1),WorkList!A:C,3,FALSE)</f>
        <v>Nomura Now</v>
      </c>
      <c r="G431" s="14" t="str">
        <f ca="1">VLOOKUP(CONCATENATE(A431),WorkList!A:C,3,FALSE)</f>
        <v>Develop first cut of SPs for Deal Analyser</v>
      </c>
      <c r="H431" s="13" t="str">
        <f ca="1">VLOOKUP(CONCATENATE(A431),WorkList!A:D,4,FALSE)</f>
        <v>Neil</v>
      </c>
      <c r="I431" s="15">
        <f ca="1">VLOOKUP(CONCATENATE(A431),WorkList!A:E,5,FALSE)</f>
        <v>40045</v>
      </c>
      <c r="J431" s="49">
        <f ca="1">VLOOKUP(CONCATENATE(A431),WorkList!A:F,6,FALSE)</f>
        <v>0</v>
      </c>
      <c r="K431" s="49">
        <f ca="1">VLOOKUP(CONCATENATE(A431),WorkList!A:G,7,FALSE)</f>
        <v>0</v>
      </c>
      <c r="L431" s="7" t="s">
        <v>13</v>
      </c>
      <c r="M431" s="16">
        <v>40052</v>
      </c>
      <c r="N431" s="60">
        <f ca="1">VALUE(LEFT(C431))</f>
        <v>0</v>
      </c>
      <c r="O431" s="61">
        <f ca="1">INT(IF(N431&gt;0,1+MAX(N431*N431-(IF(D431="",TODAY()+(5-N431)*15,D431)-TODAY())/4,N431),IF(TODAY()-M431&gt;10,0,1)))</f>
        <v>0</v>
      </c>
      <c r="P431" s="1" t="str">
        <f ca="1">IF(ISNA(VLOOKUP(A431,Projects!B:B,1,FALSE)),"","Yes")</f>
        <v/>
      </c>
    </row>
    <row r="432" spans="1:16">
      <c r="A432" s="4" t="s">
        <v>414</v>
      </c>
      <c r="B432" s="5" t="s">
        <v>11</v>
      </c>
      <c r="C432" s="6" t="s">
        <v>48</v>
      </c>
      <c r="D432" s="11"/>
      <c r="F432" s="13" t="str">
        <f ca="1">VLOOKUP(LEFT(A432,IF(ISERROR(FIND(".",A432)),LEN(A432)+1,FIND(".",A432))-1),WorkList!A:C,3,FALSE)</f>
        <v>Nomura Now</v>
      </c>
      <c r="G432" s="14" t="str">
        <f ca="1">VLOOKUP(CONCATENATE(A432),WorkList!A:C,3,FALSE)</f>
        <v>Find out what ReservePct is supposed to be</v>
      </c>
      <c r="H432" s="13" t="str">
        <f ca="1">VLOOKUP(CONCATENATE(A432),WorkList!A:D,4,FALSE)</f>
        <v>Gerald</v>
      </c>
      <c r="I432" s="15">
        <f ca="1">VLOOKUP(CONCATENATE(A432),WorkList!A:E,5,FALSE)</f>
        <v>40045</v>
      </c>
      <c r="J432" s="49">
        <f ca="1">VLOOKUP(CONCATENATE(A432),WorkList!A:F,6,FALSE)</f>
        <v>0</v>
      </c>
      <c r="K432" s="49">
        <f ca="1">VLOOKUP(CONCATENATE(A432),WorkList!A:G,7,FALSE)</f>
        <v>0</v>
      </c>
      <c r="L432" s="7" t="s">
        <v>13</v>
      </c>
      <c r="M432" s="16">
        <v>40060</v>
      </c>
      <c r="N432" s="60">
        <f ca="1">VALUE(LEFT(C432))</f>
        <v>0</v>
      </c>
      <c r="O432" s="61">
        <f ca="1">INT(IF(N432&gt;0,1+MAX(N432*N432-(IF(D432="",TODAY()+(5-N432)*15,D432)-TODAY())/4,N432),IF(TODAY()-M432&gt;10,0,1)))</f>
        <v>0</v>
      </c>
      <c r="P432" s="1" t="str">
        <f ca="1">IF(ISNA(VLOOKUP(A432,Projects!B:B,1,FALSE)),"","Yes")</f>
        <v/>
      </c>
    </row>
    <row r="433" spans="1:16">
      <c r="A433" s="4" t="s">
        <v>486</v>
      </c>
      <c r="B433" s="5" t="s">
        <v>11</v>
      </c>
      <c r="C433" s="6" t="s">
        <v>48</v>
      </c>
      <c r="D433" s="11"/>
      <c r="F433" s="13" t="str">
        <f ca="1">VLOOKUP(LEFT(A433,IF(ISERROR(FIND(".",A433)),LEN(A433)+1,FIND(".",A433))-1),WorkList!A:C,3,FALSE)</f>
        <v>Nomura Now</v>
      </c>
      <c r="G433" s="14" t="str">
        <f ca="1">VLOOKUP(CONCATENATE(A433),WorkList!A:C,3,FALSE)</f>
        <v>Changes for first release</v>
      </c>
      <c r="H433" s="13" t="str">
        <f ca="1">VLOOKUP(CONCATENATE(A433),WorkList!A:D,4,FALSE)</f>
        <v>David Covey</v>
      </c>
      <c r="I433" s="15">
        <f ca="1">VLOOKUP(CONCATENATE(A433),WorkList!A:E,5,FALSE)</f>
        <v>40086</v>
      </c>
      <c r="J433" s="49">
        <f ca="1">VLOOKUP(CONCATENATE(A433),WorkList!A:F,6,FALSE)</f>
        <v>0</v>
      </c>
      <c r="K433" s="49">
        <f ca="1">VLOOKUP(CONCATENATE(A433),WorkList!A:G,7,FALSE)</f>
        <v>0</v>
      </c>
      <c r="L433" s="7" t="s">
        <v>13</v>
      </c>
      <c r="M433" s="16">
        <v>40102</v>
      </c>
      <c r="N433" s="60">
        <f ca="1">VALUE(LEFT(C433))</f>
        <v>0</v>
      </c>
      <c r="O433" s="61">
        <f ca="1">INT(IF(N433&gt;0,1+MAX(N433*N433-(IF(D433="",TODAY()+(5-N433)*15,D433)-TODAY())/4,N433),IF(TODAY()-M433&gt;10,0,1)))</f>
        <v>0</v>
      </c>
      <c r="P433" s="1" t="str">
        <f ca="1">IF(ISNA(VLOOKUP(A433,Projects!B:B,1,FALSE)),"","Yes")</f>
        <v/>
      </c>
    </row>
    <row r="434" spans="1:16">
      <c r="A434" s="4" t="s">
        <v>934</v>
      </c>
      <c r="B434" s="5" t="s">
        <v>21</v>
      </c>
      <c r="C434" s="6" t="s">
        <v>38</v>
      </c>
      <c r="D434" s="11"/>
      <c r="F434" s="13" t="str">
        <f ca="1">VLOOKUP(LEFT(A434,IF(ISERROR(FIND(".",A434)),LEN(A434)+1,FIND(".",A434))-1),WorkList!A:C,3,FALSE)</f>
        <v>Nomura Now</v>
      </c>
      <c r="G434" s="14" t="str">
        <f ca="1">VLOOKUP(CONCATENATE(A434),WorkList!A:C,3,FALSE)</f>
        <v>Issue with Deal+Pool Balance</v>
      </c>
      <c r="H434" s="13" t="str">
        <f ca="1">VLOOKUP(CONCATENATE(A434),WorkList!A:D,4,FALSE)</f>
        <v>Gerald</v>
      </c>
      <c r="I434" s="15">
        <f ca="1">VLOOKUP(CONCATENATE(A434),WorkList!A:E,5,FALSE)</f>
        <v>40233</v>
      </c>
      <c r="J434" s="49">
        <f ca="1">VLOOKUP(CONCATENATE(A434),WorkList!A:F,6,FALSE)</f>
        <v>1</v>
      </c>
      <c r="K434" s="49" t="str">
        <f ca="1">VLOOKUP(CONCATENATE(A434),WorkList!A:G,7,FALSE)</f>
        <v>Maintenance</v>
      </c>
      <c r="L434" s="7" t="s">
        <v>7</v>
      </c>
      <c r="M434" s="16">
        <v>40233</v>
      </c>
      <c r="N434" s="60">
        <f ca="1">VALUE(LEFT(C434))</f>
        <v>2</v>
      </c>
      <c r="O434" s="61">
        <f ca="1">INT(IF(N434&gt;0,1+MAX(N434*N434-(IF(D434="",TODAY()+(5-N434)*15,D434)-TODAY())/4,N434),IF(TODAY()-M434&gt;10,0,1)))</f>
        <v>3</v>
      </c>
      <c r="P434" s="1" t="str">
        <f ca="1">IF(ISNA(VLOOKUP(A434,Projects!B:B,1,FALSE)),"","Yes")</f>
        <v/>
      </c>
    </row>
    <row r="435" spans="1:16">
      <c r="A435" s="4" t="s">
        <v>436</v>
      </c>
      <c r="B435" s="5" t="s">
        <v>11</v>
      </c>
      <c r="C435" s="6" t="s">
        <v>48</v>
      </c>
      <c r="D435" s="11"/>
      <c r="F435" s="13" t="str">
        <f ca="1">VLOOKUP(LEFT(A435,IF(ISERROR(FIND(".",A435)),LEN(A435)+1,FIND(".",A435))-1),WorkList!A:C,3,FALSE)</f>
        <v>Nomura Now</v>
      </c>
      <c r="G435" s="14" t="str">
        <f ca="1">VLOOKUP(CONCATENATE(A435),WorkList!A:C,3,FALSE)</f>
        <v>First Implementation of Loan Strats</v>
      </c>
      <c r="H435" s="13" t="str">
        <f ca="1">VLOOKUP(CONCATENATE(A435),WorkList!A:D,4,FALSE)</f>
        <v>David Covey</v>
      </c>
      <c r="I435" s="15">
        <f ca="1">VLOOKUP(CONCATENATE(A435),WorkList!A:E,5,FALSE)</f>
        <v>40053</v>
      </c>
      <c r="J435" s="49">
        <f ca="1">VLOOKUP(CONCATENATE(A435),WorkList!A:F,6,FALSE)</f>
        <v>0</v>
      </c>
      <c r="K435" s="49">
        <f ca="1">VLOOKUP(CONCATENATE(A435),WorkList!A:G,7,FALSE)</f>
        <v>0</v>
      </c>
      <c r="L435" s="7" t="s">
        <v>13</v>
      </c>
      <c r="M435" s="16">
        <v>40074</v>
      </c>
      <c r="N435" s="60">
        <f ca="1">VALUE(LEFT(C435))</f>
        <v>0</v>
      </c>
      <c r="O435" s="61">
        <f ca="1">INT(IF(N435&gt;0,1+MAX(N435*N435-(IF(D435="",TODAY()+(5-N435)*15,D435)-TODAY())/4,N435),IF(TODAY()-M435&gt;10,0,1)))</f>
        <v>0</v>
      </c>
      <c r="P435" s="1" t="str">
        <f ca="1">IF(ISNA(VLOOKUP(A435,Projects!B:B,1,FALSE)),"","Yes")</f>
        <v/>
      </c>
    </row>
    <row r="436" spans="1:16">
      <c r="A436" s="4" t="s">
        <v>482</v>
      </c>
      <c r="B436" s="5" t="s">
        <v>11</v>
      </c>
      <c r="C436" s="6" t="s">
        <v>48</v>
      </c>
      <c r="D436" s="11"/>
      <c r="F436" s="13" t="str">
        <f ca="1">VLOOKUP(LEFT(A436,IF(ISERROR(FIND(".",A436)),LEN(A436)+1,FIND(".",A436))-1),WorkList!A:C,3,FALSE)</f>
        <v>Nomura Now</v>
      </c>
      <c r="G436" s="14" t="str">
        <f ca="1">VLOOKUP(CONCATENATE(A436),WorkList!A:C,3,FALSE)</f>
        <v>Add 'Total' bucket</v>
      </c>
      <c r="H436" s="13" t="str">
        <f ca="1">VLOOKUP(CONCATENATE(A436),WorkList!A:D,4,FALSE)</f>
        <v>David Covey</v>
      </c>
      <c r="I436" s="15">
        <f ca="1">VLOOKUP(CONCATENATE(A436),WorkList!A:E,5,FALSE)</f>
        <v>40077</v>
      </c>
      <c r="J436" s="49">
        <f ca="1">VLOOKUP(CONCATENATE(A436),WorkList!A:F,6,FALSE)</f>
        <v>0</v>
      </c>
      <c r="K436" s="49">
        <f ca="1">VLOOKUP(CONCATENATE(A436),WorkList!A:G,7,FALSE)</f>
        <v>0</v>
      </c>
      <c r="L436" s="7" t="s">
        <v>13</v>
      </c>
      <c r="M436" s="16">
        <v>40078</v>
      </c>
      <c r="N436" s="60">
        <f ca="1">VALUE(LEFT(C436))</f>
        <v>0</v>
      </c>
      <c r="O436" s="61">
        <f ca="1">INT(IF(N436&gt;0,1+MAX(N436*N436-(IF(D436="",TODAY()+(5-N436)*15,D436)-TODAY())/4,N436),IF(TODAY()-M436&gt;10,0,1)))</f>
        <v>0</v>
      </c>
      <c r="P436" s="1" t="str">
        <f ca="1">IF(ISNA(VLOOKUP(A436,Projects!B:B,1,FALSE)),"","Yes")</f>
        <v/>
      </c>
    </row>
    <row r="437" spans="1:16">
      <c r="A437" s="4" t="s">
        <v>540</v>
      </c>
      <c r="B437" s="5" t="s">
        <v>11</v>
      </c>
      <c r="C437" s="6" t="s">
        <v>48</v>
      </c>
      <c r="D437" s="11"/>
      <c r="F437" s="13" t="str">
        <f ca="1">VLOOKUP(LEFT(A437,IF(ISERROR(FIND(".",A437)),LEN(A437)+1,FIND(".",A437))-1),WorkList!A:C,3,FALSE)</f>
        <v>Nomura Now</v>
      </c>
      <c r="G437" s="14" t="str">
        <f ca="1">VLOOKUP(CONCATENATE(A437),WorkList!A:C,3,FALSE)</f>
        <v>Make WALA and WAM in months</v>
      </c>
      <c r="H437" s="13" t="str">
        <f ca="1">VLOOKUP(CONCATENATE(A437),WorkList!A:D,4,FALSE)</f>
        <v>David Covey</v>
      </c>
      <c r="I437" s="15">
        <f ca="1">VLOOKUP(CONCATENATE(A437),WorkList!A:E,5,FALSE)</f>
        <v>40102</v>
      </c>
      <c r="J437" s="49">
        <f ca="1">VLOOKUP(CONCATENATE(A437),WorkList!A:F,6,FALSE)</f>
        <v>0</v>
      </c>
      <c r="K437" s="49">
        <f ca="1">VLOOKUP(CONCATENATE(A437),WorkList!A:G,7,FALSE)</f>
        <v>0</v>
      </c>
      <c r="L437" s="7" t="s">
        <v>13</v>
      </c>
      <c r="M437" s="16">
        <v>40123</v>
      </c>
      <c r="N437" s="60">
        <f ca="1">VALUE(LEFT(C437))</f>
        <v>0</v>
      </c>
      <c r="O437" s="61">
        <f ca="1">INT(IF(N437&gt;0,1+MAX(N437*N437-(IF(D437="",TODAY()+(5-N437)*15,D437)-TODAY())/4,N437),IF(TODAY()-M437&gt;10,0,1)))</f>
        <v>0</v>
      </c>
      <c r="P437" s="1" t="str">
        <f ca="1">IF(ISNA(VLOOKUP(A437,Projects!B:B,1,FALSE)),"","Yes")</f>
        <v/>
      </c>
    </row>
    <row r="438" spans="1:16">
      <c r="A438" s="4" t="s">
        <v>767</v>
      </c>
      <c r="B438" s="5" t="s">
        <v>1159</v>
      </c>
      <c r="C438" s="7" t="s">
        <v>38</v>
      </c>
      <c r="D438" s="11"/>
      <c r="F438" s="13" t="str">
        <f ca="1">VLOOKUP(LEFT(A438,IF(ISERROR(FIND(".",A438)),LEN(A438)+1,FIND(".",A438))-1),WorkList!A:C,3,FALSE)</f>
        <v>Nomura Now</v>
      </c>
      <c r="G438" s="14" t="str">
        <f ca="1">VLOOKUP(CONCATENATE(A438),WorkList!A:C,3,FALSE)</f>
        <v>Additional fields to be added</v>
      </c>
      <c r="H438" s="13" t="str">
        <f ca="1">VLOOKUP(CONCATENATE(A438),WorkList!A:D,4,FALSE)</f>
        <v>Shubh</v>
      </c>
      <c r="I438" s="15">
        <f ca="1">VLOOKUP(CONCATENATE(A438),WorkList!A:E,5,FALSE)</f>
        <v>40438</v>
      </c>
      <c r="J438" s="49">
        <f ca="1">VLOOKUP(CONCATENATE(A438),WorkList!A:F,6,FALSE)</f>
        <v>2</v>
      </c>
      <c r="K438" s="49" t="str">
        <f ca="1">VLOOKUP(CONCATENATE(A438),WorkList!A:G,7,FALSE)</f>
        <v>NewDevelopment</v>
      </c>
      <c r="L438" s="7" t="s">
        <v>7</v>
      </c>
      <c r="M438" s="16">
        <v>40553</v>
      </c>
      <c r="N438" s="60">
        <f ca="1">VALUE(LEFT(C438))</f>
        <v>2</v>
      </c>
      <c r="O438" s="61">
        <f ca="1">INT(IF(N438&gt;0,1+MAX(N438*N438-(IF(D438="",TODAY()+(5-N438)*15,D438)-TODAY())/4,N438),IF(TODAY()-M438&gt;10,0,1)))</f>
        <v>3</v>
      </c>
      <c r="P438" s="1" t="str">
        <f ca="1">IF(ISNA(VLOOKUP(A438,Projects!B:B,1,FALSE)),"","Yes")</f>
        <v/>
      </c>
    </row>
    <row r="439" spans="1:16">
      <c r="A439" s="4" t="s">
        <v>1088</v>
      </c>
      <c r="B439" s="5" t="s">
        <v>1159</v>
      </c>
      <c r="C439" s="6" t="s">
        <v>48</v>
      </c>
      <c r="D439" s="11">
        <v>40483</v>
      </c>
      <c r="F439" s="13" t="str">
        <f ca="1">VLOOKUP(LEFT(A439,IF(ISERROR(FIND(".",A439)),LEN(A439)+1,FIND(".",A439))-1),WorkList!A:C,3,FALSE)</f>
        <v>Nomura Now</v>
      </c>
      <c r="G439" s="14" t="str">
        <f ca="1">VLOOKUP(CONCATENATE(A439),WorkList!A:C,3,FALSE)</f>
        <v>LTV Strat tool: Add series history data to Nomura Now</v>
      </c>
      <c r="H439" s="13" t="str">
        <f ca="1">VLOOKUP(CONCATENATE(A439),WorkList!A:D,4,FALSE)</f>
        <v>David Covey</v>
      </c>
      <c r="I439" s="15">
        <f ca="1">VLOOKUP(CONCATENATE(A439),WorkList!A:E,5,FALSE)</f>
        <v>40288</v>
      </c>
      <c r="J439" s="49">
        <f ca="1">VLOOKUP(CONCATENATE(A439),WorkList!A:F,6,FALSE)</f>
        <v>7</v>
      </c>
      <c r="K439" s="49" t="str">
        <f ca="1">VLOOKUP(CONCATENATE(A439),WorkList!A:G,7,FALSE)</f>
        <v>NewDevelopment</v>
      </c>
      <c r="L439" s="7" t="s">
        <v>13</v>
      </c>
      <c r="M439" s="16">
        <v>40498</v>
      </c>
      <c r="N439" s="60">
        <f ca="1">VALUE(LEFT(C439))</f>
        <v>0</v>
      </c>
      <c r="O439" s="61">
        <f ca="1">INT(IF(N439&gt;0,1+MAX(N439*N439-(IF(D439="",TODAY()+(5-N439)*15,D439)-TODAY())/4,N439),IF(TODAY()-M439&gt;10,0,1)))</f>
        <v>0</v>
      </c>
      <c r="P439" s="1" t="str">
        <f ca="1">IF(ISNA(VLOOKUP(A439,Projects!B:B,1,FALSE)),"","Yes")</f>
        <v>Yes</v>
      </c>
    </row>
    <row r="440" spans="1:16">
      <c r="A440" s="4" t="s">
        <v>1882</v>
      </c>
      <c r="B440" s="5" t="s">
        <v>11</v>
      </c>
      <c r="C440" s="7" t="s">
        <v>38</v>
      </c>
      <c r="F440" s="13" t="str">
        <f ca="1">VLOOKUP(LEFT(A440,IF(ISERROR(FIND(".",A440)),LEN(A440)+1,FIND(".",A440))-1),WorkList!A:C,3,FALSE)</f>
        <v>Nomura Now</v>
      </c>
      <c r="G440" s="14" t="str">
        <f ca="1">VLOOKUP(CONCATENATE(A440),WorkList!A:C,3,FALSE)</f>
        <v>Respond to Danny's comments</v>
      </c>
      <c r="H440" s="13" t="str">
        <f ca="1">VLOOKUP(CONCATENATE(A440),WorkList!A:D,4,FALSE)</f>
        <v>Danny</v>
      </c>
      <c r="I440" s="15">
        <f ca="1">VLOOKUP(CONCATENATE(A440),WorkList!A:E,5,FALSE)</f>
        <v>40563</v>
      </c>
      <c r="J440" s="49">
        <f ca="1">VLOOKUP(CONCATENATE(A440),WorkList!A:F,6,FALSE)</f>
        <v>1</v>
      </c>
      <c r="K440" s="49" t="str">
        <f ca="1">VLOOKUP(CONCATENATE(A440),WorkList!A:G,7,FALSE)</f>
        <v>Other</v>
      </c>
      <c r="L440" s="7" t="s">
        <v>7</v>
      </c>
      <c r="M440" s="16">
        <v>40563</v>
      </c>
      <c r="N440" s="60">
        <f ca="1">VALUE(LEFT(C440))</f>
        <v>2</v>
      </c>
      <c r="O440" s="61">
        <f ca="1">INT(IF(N440&gt;0,1+MAX(N440*N440-(IF(D440="",TODAY()+(5-N440)*15,D440)-TODAY())/4,N440),IF(TODAY()-M440&gt;10,0,1)))</f>
        <v>3</v>
      </c>
      <c r="P440" s="1" t="str">
        <f ca="1">IF(ISNA(VLOOKUP(A440,Projects!B:B,1,FALSE)),"","Yes")</f>
        <v/>
      </c>
    </row>
    <row r="441" spans="1:16">
      <c r="A441" s="4" t="s">
        <v>536</v>
      </c>
      <c r="B441" s="5" t="s">
        <v>919</v>
      </c>
      <c r="C441" s="6" t="s">
        <v>48</v>
      </c>
      <c r="D441" s="11"/>
      <c r="F441" s="13" t="str">
        <f ca="1">VLOOKUP(LEFT(A441,IF(ISERROR(FIND(".",A441)),LEN(A441)+1,FIND(".",A441))-1),WorkList!A:C,3,FALSE)</f>
        <v>Nomura Now</v>
      </c>
      <c r="G441" s="14" t="str">
        <f ca="1">VLOOKUP(CONCATENATE(A441),WorkList!A:C,3,FALSE)</f>
        <v>NN RRA: Initial requirements &amp; design</v>
      </c>
      <c r="H441" s="13" t="str">
        <f ca="1">VLOOKUP(CONCATENATE(A441),WorkList!A:D,4,FALSE)</f>
        <v>David Covey</v>
      </c>
      <c r="I441" s="15">
        <v>40284</v>
      </c>
      <c r="J441" s="49">
        <f ca="1">VLOOKUP(CONCATENATE(A441),WorkList!A:F,6,FALSE)</f>
        <v>2</v>
      </c>
      <c r="K441" s="49" t="str">
        <f ca="1">VLOOKUP(CONCATENATE(A441),WorkList!A:G,7,FALSE)</f>
        <v>NewDevelopment</v>
      </c>
      <c r="L441" s="7" t="s">
        <v>13</v>
      </c>
      <c r="M441" s="16">
        <v>40417</v>
      </c>
      <c r="N441" s="60">
        <f ca="1">VALUE(LEFT(C441))</f>
        <v>0</v>
      </c>
      <c r="O441" s="61">
        <f ca="1">INT(IF(N441&gt;0,1+MAX(N441*N441-(IF(D441="",TODAY()+(5-N441)*15,D441)-TODAY())/4,N441),IF(TODAY()-M441&gt;10,0,1)))</f>
        <v>0</v>
      </c>
      <c r="P441" s="1" t="str">
        <f ca="1">IF(ISNA(VLOOKUP(A441,Projects!B:B,1,FALSE)),"","Yes")</f>
        <v>Yes</v>
      </c>
    </row>
    <row r="442" spans="1:16">
      <c r="A442" s="4" t="s">
        <v>692</v>
      </c>
      <c r="B442" s="5" t="s">
        <v>685</v>
      </c>
      <c r="C442" s="6" t="s">
        <v>48</v>
      </c>
      <c r="D442" s="7">
        <v>40415</v>
      </c>
      <c r="F442" s="13" t="str">
        <f ca="1">VLOOKUP(LEFT(A442,IF(ISERROR(FIND(".",A442)),LEN(A442)+1,FIND(".",A442))-1),WorkList!A:C,3,FALSE)</f>
        <v>Nomura Now</v>
      </c>
      <c r="G442" s="14" t="str">
        <f ca="1">VLOOKUP(CONCATENATE(A442),WorkList!A:C,3,FALSE)</f>
        <v>NN RRA: Review Design</v>
      </c>
      <c r="H442" s="13" t="str">
        <f ca="1">VLOOKUP(CONCATENATE(A442),WorkList!A:D,4,FALSE)</f>
        <v>Neil</v>
      </c>
      <c r="I442" s="15">
        <f ca="1">VLOOKUP(CONCATENATE(A442),WorkList!A:E,5,FALSE)</f>
        <v>40410</v>
      </c>
      <c r="J442" s="49">
        <f ca="1">VLOOKUP(CONCATENATE(A442),WorkList!A:F,6,FALSE)</f>
        <v>1</v>
      </c>
      <c r="K442" s="49" t="str">
        <f ca="1">VLOOKUP(CONCATENATE(A442),WorkList!A:G,7,FALSE)</f>
        <v>NewDevelopment</v>
      </c>
      <c r="L442" s="7" t="s">
        <v>13</v>
      </c>
      <c r="M442" s="16">
        <v>40417</v>
      </c>
      <c r="N442" s="60">
        <f ca="1">VALUE(LEFT(C442))</f>
        <v>0</v>
      </c>
      <c r="O442" s="61">
        <f ca="1">INT(IF(N442&gt;0,1+MAX(N442*N442-(IF(D442="",TODAY()+(5-N442)*15,D442)-TODAY())/4,N442),IF(TODAY()-M442&gt;10,0,1)))</f>
        <v>0</v>
      </c>
      <c r="P442" s="1" t="str">
        <f ca="1">IF(ISNA(VLOOKUP(A442,Projects!B:B,1,FALSE)),"","Yes")</f>
        <v>Yes</v>
      </c>
    </row>
    <row r="443" spans="1:16">
      <c r="A443" s="4" t="s">
        <v>1444</v>
      </c>
      <c r="B443" s="5" t="s">
        <v>919</v>
      </c>
      <c r="C443" s="7" t="s">
        <v>48</v>
      </c>
      <c r="D443" s="11">
        <v>40421</v>
      </c>
      <c r="F443" s="13" t="str">
        <f ca="1">VLOOKUP(LEFT(A443,IF(ISERROR(FIND(".",A443)),LEN(A443)+1,FIND(".",A443))-1),WorkList!A:C,3,FALSE)</f>
        <v>Nomura Now</v>
      </c>
      <c r="G443" s="14" t="str">
        <f ca="1">VLOOKUP(CONCATENATE(A443),WorkList!A:C,3,FALSE)</f>
        <v>NN RRA: Implement RR Analyser cache</v>
      </c>
      <c r="H443" s="13" t="str">
        <f ca="1">VLOOKUP(CONCATENATE(A443),WorkList!A:D,4,FALSE)</f>
        <v>David Covey</v>
      </c>
      <c r="I443" s="15">
        <f ca="1">VLOOKUP(CONCATENATE(A443),WorkList!A:E,5,FALSE)</f>
        <v>40410</v>
      </c>
      <c r="J443" s="49">
        <f ca="1">VLOOKUP(CONCATENATE(A443),WorkList!A:F,6,FALSE)</f>
        <v>7</v>
      </c>
      <c r="K443" s="49" t="str">
        <f ca="1">VLOOKUP(CONCATENATE(A443),WorkList!A:G,7,FALSE)</f>
        <v>NewDevelopment</v>
      </c>
      <c r="L443" s="7" t="s">
        <v>13</v>
      </c>
      <c r="M443" s="16">
        <v>40428</v>
      </c>
      <c r="N443" s="60">
        <f ca="1">VALUE(LEFT(C443))</f>
        <v>0</v>
      </c>
      <c r="O443" s="61">
        <f ca="1">INT(IF(N443&gt;0,1+MAX(N443*N443-(IF(D443="",TODAY()+(5-N443)*15,D443)-TODAY())/4,N443),IF(TODAY()-M443&gt;10,0,1)))</f>
        <v>0</v>
      </c>
      <c r="P443" s="1" t="str">
        <f ca="1">IF(ISNA(VLOOKUP(A443,Projects!B:B,1,FALSE)),"","Yes")</f>
        <v>Yes</v>
      </c>
    </row>
    <row r="444" spans="1:16">
      <c r="A444" s="4" t="s">
        <v>1445</v>
      </c>
      <c r="B444" s="5" t="s">
        <v>919</v>
      </c>
      <c r="C444" s="6" t="s">
        <v>48</v>
      </c>
      <c r="D444" s="11">
        <v>40422</v>
      </c>
      <c r="F444" s="13" t="str">
        <f ca="1">VLOOKUP(LEFT(A444,IF(ISERROR(FIND(".",A444)),LEN(A444)+1,FIND(".",A444))-1),WorkList!A:C,3,FALSE)</f>
        <v>Nomura Now</v>
      </c>
      <c r="G444" s="14" t="str">
        <f ca="1">VLOOKUP(CONCATENATE(A444),WorkList!A:C,3,FALSE)</f>
        <v>NN RRA: UAT</v>
      </c>
      <c r="H444" s="13" t="str">
        <f ca="1">VLOOKUP(CONCATENATE(A444),WorkList!A:D,4,FALSE)</f>
        <v>Gerald</v>
      </c>
      <c r="I444" s="15">
        <f ca="1">VLOOKUP(CONCATENATE(A444),WorkList!A:E,5,FALSE)</f>
        <v>40410</v>
      </c>
      <c r="J444" s="49">
        <f ca="1">VLOOKUP(CONCATENATE(A444),WorkList!A:F,6,FALSE)</f>
        <v>4</v>
      </c>
      <c r="K444" s="49" t="str">
        <f ca="1">VLOOKUP(CONCATENATE(A444),WorkList!A:G,7,FALSE)</f>
        <v>NewDevelopment</v>
      </c>
      <c r="L444" s="7" t="s">
        <v>13</v>
      </c>
      <c r="M444" s="16">
        <v>40431</v>
      </c>
      <c r="N444" s="60">
        <f ca="1">VALUE(LEFT(C444))</f>
        <v>0</v>
      </c>
      <c r="O444" s="61">
        <f ca="1">INT(IF(N444&gt;0,1+MAX(N444*N444-(IF(D444="",TODAY()+(5-N444)*15,D444)-TODAY())/4,N444),IF(TODAY()-M444&gt;10,0,1)))</f>
        <v>0</v>
      </c>
      <c r="P444" s="1" t="str">
        <f ca="1">IF(ISNA(VLOOKUP(A444,Projects!B:B,1,FALSE)),"","Yes")</f>
        <v>Yes</v>
      </c>
    </row>
    <row r="445" spans="1:16">
      <c r="A445" s="4" t="s">
        <v>1446</v>
      </c>
      <c r="B445" s="5" t="s">
        <v>685</v>
      </c>
      <c r="C445" s="7" t="s">
        <v>48</v>
      </c>
      <c r="D445" s="11">
        <v>40427</v>
      </c>
      <c r="F445" s="13" t="str">
        <f ca="1">VLOOKUP(LEFT(A445,IF(ISERROR(FIND(".",A445)),LEN(A445)+1,FIND(".",A445))-1),WorkList!A:C,3,FALSE)</f>
        <v>Nomura Now</v>
      </c>
      <c r="G445" s="14" t="str">
        <f ca="1">VLOOKUP(CONCATENATE(A445),WorkList!A:C,3,FALSE)</f>
        <v>NN RRA: Code review</v>
      </c>
      <c r="H445" s="13" t="str">
        <f ca="1">VLOOKUP(CONCATENATE(A445),WorkList!A:D,4,FALSE)</f>
        <v>Neil</v>
      </c>
      <c r="I445" s="15">
        <f ca="1">VLOOKUP(CONCATENATE(A445),WorkList!A:E,5,FALSE)</f>
        <v>40410</v>
      </c>
      <c r="J445" s="49">
        <f ca="1">VLOOKUP(CONCATENATE(A445),WorkList!A:F,6,FALSE)</f>
        <v>1</v>
      </c>
      <c r="K445" s="49" t="str">
        <f ca="1">VLOOKUP(CONCATENATE(A445),WorkList!A:G,7,FALSE)</f>
        <v>NewDevelopment</v>
      </c>
      <c r="L445" s="7" t="s">
        <v>13</v>
      </c>
      <c r="M445" s="16">
        <v>40443</v>
      </c>
      <c r="N445" s="60">
        <f ca="1">VALUE(LEFT(C445))</f>
        <v>0</v>
      </c>
      <c r="O445" s="61">
        <f ca="1">INT(IF(N445&gt;0,1+MAX(N445*N445-(IF(D445="",TODAY()+(5-N445)*15,D445)-TODAY())/4,N445),IF(TODAY()-M445&gt;10,0,1)))</f>
        <v>0</v>
      </c>
      <c r="P445" s="1" t="str">
        <f ca="1">IF(ISNA(VLOOKUP(A445,Projects!B:B,1,FALSE)),"","Yes")</f>
        <v>Yes</v>
      </c>
    </row>
    <row r="446" spans="1:16">
      <c r="A446" s="4" t="s">
        <v>1447</v>
      </c>
      <c r="B446" s="5" t="s">
        <v>919</v>
      </c>
      <c r="C446" s="6" t="s">
        <v>48</v>
      </c>
      <c r="D446" s="11">
        <v>40430</v>
      </c>
      <c r="F446" s="13" t="str">
        <f ca="1">VLOOKUP(LEFT(A446,IF(ISERROR(FIND(".",A446)),LEN(A446)+1,FIND(".",A446))-1),WorkList!A:C,3,FALSE)</f>
        <v>Nomura Now</v>
      </c>
      <c r="G446" s="14" t="str">
        <f ca="1">VLOOKUP(CONCATENATE(A446),WorkList!A:C,3,FALSE)</f>
        <v>NN RRA: Release</v>
      </c>
      <c r="H446" s="13" t="str">
        <f ca="1">VLOOKUP(CONCATENATE(A446),WorkList!A:D,4,FALSE)</f>
        <v>Neil</v>
      </c>
      <c r="I446" s="15">
        <f ca="1">VLOOKUP(CONCATENATE(A446),WorkList!A:E,5,FALSE)</f>
        <v>40410</v>
      </c>
      <c r="J446" s="49">
        <f ca="1">VLOOKUP(CONCATENATE(A446),WorkList!A:F,6,FALSE)</f>
        <v>1</v>
      </c>
      <c r="K446" s="49" t="str">
        <f ca="1">VLOOKUP(CONCATENATE(A446),WorkList!A:G,7,FALSE)</f>
        <v>NewDevelopment</v>
      </c>
      <c r="L446" s="7" t="s">
        <v>13</v>
      </c>
      <c r="M446" s="16">
        <v>40479</v>
      </c>
      <c r="N446" s="60">
        <f ca="1">VALUE(LEFT(C446))</f>
        <v>0</v>
      </c>
      <c r="O446" s="61">
        <f ca="1">INT(IF(N446&gt;0,1+MAX(N446*N446-(IF(D446="",TODAY()+(5-N446)*15,D446)-TODAY())/4,N446),IF(TODAY()-M446&gt;10,0,1)))</f>
        <v>0</v>
      </c>
      <c r="P446" s="1" t="str">
        <f ca="1">IF(ISNA(VLOOKUP(A446,Projects!B:B,1,FALSE)),"","Yes")</f>
        <v>Yes</v>
      </c>
    </row>
    <row r="447" spans="1:16">
      <c r="A447" s="4" t="s">
        <v>819</v>
      </c>
      <c r="B447" s="5" t="s">
        <v>29</v>
      </c>
      <c r="C447" s="6" t="s">
        <v>48</v>
      </c>
      <c r="D447" s="11"/>
      <c r="F447" s="13" t="str">
        <f ca="1">VLOOKUP(LEFT(A447,IF(ISERROR(FIND(".",A447)),LEN(A447)+1,FIND(".",A447))-1),WorkList!A:C,3,FALSE)</f>
        <v>Nomura Now</v>
      </c>
      <c r="G447" s="14" t="str">
        <f ca="1">VLOOKUP(CONCATENATE(A447),WorkList!A:C,3,FALSE)</f>
        <v>Deals Page - Implement New Stored procs</v>
      </c>
      <c r="H447" s="13" t="str">
        <f ca="1">VLOOKUP(CONCATENATE(A447),WorkList!A:D,4,FALSE)</f>
        <v>Jon</v>
      </c>
      <c r="I447" s="15">
        <f ca="1">VLOOKUP(CONCATENATE(A447),WorkList!A:E,5,FALSE)</f>
        <v>40192</v>
      </c>
      <c r="J447" s="49">
        <f ca="1">VLOOKUP(CONCATENATE(A447),WorkList!A:F,6,FALSE)</f>
        <v>2</v>
      </c>
      <c r="K447" s="49" t="str">
        <f ca="1">VLOOKUP(CONCATENATE(A447),WorkList!A:G,7,FALSE)</f>
        <v>NewDevelopment</v>
      </c>
      <c r="L447" s="7" t="s">
        <v>13</v>
      </c>
      <c r="M447" s="16">
        <v>40353</v>
      </c>
      <c r="N447" s="60">
        <f ca="1">VALUE(LEFT(C447))</f>
        <v>0</v>
      </c>
      <c r="O447" s="61">
        <f ca="1">INT(IF(N447&gt;0,1+MAX(N447*N447-(IF(D447="",TODAY()+(5-N447)*15,D447)-TODAY())/4,N447),IF(TODAY()-M447&gt;10,0,1)))</f>
        <v>0</v>
      </c>
      <c r="P447" s="1" t="str">
        <f ca="1">IF(ISNA(VLOOKUP(A447,Projects!B:B,1,FALSE)),"","Yes")</f>
        <v/>
      </c>
    </row>
    <row r="448" spans="1:16">
      <c r="A448" s="4" t="s">
        <v>830</v>
      </c>
      <c r="B448" s="5" t="s">
        <v>29</v>
      </c>
      <c r="C448" s="6" t="s">
        <v>48</v>
      </c>
      <c r="D448" s="11"/>
      <c r="F448" s="13" t="str">
        <f ca="1">VLOOKUP(LEFT(A448,IF(ISERROR(FIND(".",A448)),LEN(A448)+1,FIND(".",A448))-1),WorkList!A:C,3,FALSE)</f>
        <v>Nomura Now</v>
      </c>
      <c r="G448" s="14" t="str">
        <f ca="1">VLOOKUP(CONCATENATE(A448),WorkList!A:C,3,FALSE)</f>
        <v>Issuance Tool - Determine Requirements</v>
      </c>
      <c r="H448" s="13" t="str">
        <f ca="1">VLOOKUP(CONCATENATE(A448),WorkList!A:D,4,FALSE)</f>
        <v>David Covey</v>
      </c>
      <c r="I448" s="15">
        <f ca="1">VLOOKUP(CONCATENATE(A448),WorkList!A:E,5,FALSE)</f>
        <v>40192</v>
      </c>
      <c r="J448" s="49">
        <f ca="1">VLOOKUP(CONCATENATE(A448),WorkList!A:F,6,FALSE)</f>
        <v>3</v>
      </c>
      <c r="K448" s="49" t="str">
        <f ca="1">VLOOKUP(CONCATENATE(A448),WorkList!A:G,7,FALSE)</f>
        <v>NewDevelopment</v>
      </c>
      <c r="L448" s="7" t="s">
        <v>13</v>
      </c>
      <c r="M448" s="16">
        <v>40235</v>
      </c>
      <c r="N448" s="60">
        <f ca="1">VALUE(LEFT(C448))</f>
        <v>0</v>
      </c>
      <c r="O448" s="61">
        <f ca="1">INT(IF(N448&gt;0,1+MAX(N448*N448-(IF(D448="",TODAY()+(5-N448)*15,D448)-TODAY())/4,N448),IF(TODAY()-M448&gt;10,0,1)))</f>
        <v>0</v>
      </c>
      <c r="P448" s="1" t="str">
        <f ca="1">IF(ISNA(VLOOKUP(A448,Projects!B:B,1,FALSE)),"","Yes")</f>
        <v/>
      </c>
    </row>
    <row r="449" spans="1:16">
      <c r="A449" s="4" t="s">
        <v>938</v>
      </c>
      <c r="B449" s="5" t="s">
        <v>29</v>
      </c>
      <c r="C449" s="7" t="s">
        <v>1087</v>
      </c>
      <c r="D449" s="11"/>
      <c r="F449" s="13" t="str">
        <f ca="1">VLOOKUP(LEFT(A449,IF(ISERROR(FIND(".",A449)),LEN(A449)+1,FIND(".",A449))-1),WorkList!A:C,3,FALSE)</f>
        <v>Nomura Now</v>
      </c>
      <c r="G449" s="14" t="str">
        <f ca="1">VLOOKUP(CONCATENATE(A449),WorkList!A:C,3,FALSE)</f>
        <v>Issuance Tool - Implement batch</v>
      </c>
      <c r="H449" s="13" t="str">
        <f ca="1">VLOOKUP(CONCATENATE(A449),WorkList!A:D,4,FALSE)</f>
        <v>Gerald</v>
      </c>
      <c r="I449" s="15">
        <f ca="1">VLOOKUP(CONCATENATE(A449),WorkList!A:E,5,FALSE)</f>
        <v>40245</v>
      </c>
      <c r="J449" s="49">
        <v>10</v>
      </c>
      <c r="K449" s="49">
        <f ca="1">VLOOKUP(CONCATENATE(A449),WorkList!A:G,7,FALSE)</f>
        <v>0</v>
      </c>
      <c r="L449" s="7" t="s">
        <v>1096</v>
      </c>
      <c r="M449" s="16">
        <v>40290</v>
      </c>
      <c r="N449" s="60">
        <f ca="1">VALUE(LEFT(C449))</f>
        <v>0</v>
      </c>
      <c r="O449" s="61">
        <f ca="1">INT(IF(N449&gt;0,1+MAX(N449*N449-(IF(D449="",TODAY()+(5-N449)*15,D449)-TODAY())/4,N449),IF(TODAY()-M449&gt;10,0,1)))</f>
        <v>0</v>
      </c>
      <c r="P449" s="1" t="str">
        <f ca="1">IF(ISNA(VLOOKUP(A449,Projects!B:B,1,FALSE)),"","Yes")</f>
        <v/>
      </c>
    </row>
    <row r="450" spans="1:16">
      <c r="A450" s="4" t="s">
        <v>940</v>
      </c>
      <c r="B450" s="5" t="s">
        <v>29</v>
      </c>
      <c r="C450" s="7" t="s">
        <v>1087</v>
      </c>
      <c r="D450" s="11"/>
      <c r="F450" s="13" t="str">
        <f ca="1">VLOOKUP(LEFT(A450,IF(ISERROR(FIND(".",A450)),LEN(A450)+1,FIND(".",A450))-1),WorkList!A:C,3,FALSE)</f>
        <v>Nomura Now</v>
      </c>
      <c r="G450" s="14" t="str">
        <f ca="1">VLOOKUP(CONCATENATE(A450),WorkList!A:C,3,FALSE)</f>
        <v>Issuance Tool - Test with Nomura Now</v>
      </c>
      <c r="H450" s="13" t="str">
        <f ca="1">VLOOKUP(CONCATENATE(A450),WorkList!A:D,4,FALSE)</f>
        <v>Gerald</v>
      </c>
      <c r="I450" s="15">
        <f ca="1">VLOOKUP(CONCATENATE(A450),WorkList!A:E,5,FALSE)</f>
        <v>40235</v>
      </c>
      <c r="J450" s="49">
        <v>10</v>
      </c>
      <c r="K450" s="49">
        <f ca="1">VLOOKUP(CONCATENATE(A450),WorkList!A:G,7,FALSE)</f>
        <v>0</v>
      </c>
      <c r="L450" s="7" t="s">
        <v>1096</v>
      </c>
      <c r="M450" s="16">
        <v>40290</v>
      </c>
      <c r="N450" s="60">
        <f ca="1">VALUE(LEFT(C450))</f>
        <v>0</v>
      </c>
      <c r="O450" s="61">
        <f ca="1">INT(IF(N450&gt;0,1+MAX(N450*N450-(IF(D450="",TODAY()+(5-N450)*15,D450)-TODAY())/4,N450),IF(TODAY()-M450&gt;10,0,1)))</f>
        <v>0</v>
      </c>
      <c r="P450" s="1" t="str">
        <f ca="1">IF(ISNA(VLOOKUP(A450,Projects!B:B,1,FALSE)),"","Yes")</f>
        <v/>
      </c>
    </row>
    <row r="451" spans="1:16">
      <c r="A451" s="4" t="s">
        <v>942</v>
      </c>
      <c r="B451" s="5" t="s">
        <v>29</v>
      </c>
      <c r="C451" s="7" t="s">
        <v>1087</v>
      </c>
      <c r="D451" s="11"/>
      <c r="F451" s="13" t="str">
        <f ca="1">VLOOKUP(LEFT(A451,IF(ISERROR(FIND(".",A451)),LEN(A451)+1,FIND(".",A451))-1),WorkList!A:C,3,FALSE)</f>
        <v>Nomura Now</v>
      </c>
      <c r="G451" s="14" t="str">
        <f ca="1">VLOOKUP(CONCATENATE(A451),WorkList!A:C,3,FALSE)</f>
        <v>Issuance Tool - Release to production</v>
      </c>
      <c r="H451" s="13" t="str">
        <f ca="1">VLOOKUP(CONCATENATE(A451),WorkList!A:D,4,FALSE)</f>
        <v>Gerald</v>
      </c>
      <c r="I451" s="15">
        <f ca="1">VLOOKUP(CONCATENATE(A451),WorkList!A:E,5,FALSE)</f>
        <v>40235</v>
      </c>
      <c r="J451" s="49">
        <v>10</v>
      </c>
      <c r="K451" s="49">
        <f ca="1">VLOOKUP(CONCATENATE(A451),WorkList!A:G,7,FALSE)</f>
        <v>0</v>
      </c>
      <c r="L451" s="7" t="s">
        <v>1096</v>
      </c>
      <c r="M451" s="16">
        <v>40290</v>
      </c>
      <c r="N451" s="60">
        <f ca="1">VALUE(LEFT(C451))</f>
        <v>0</v>
      </c>
      <c r="O451" s="61">
        <f ca="1">INT(IF(N451&gt;0,1+MAX(N451*N451-(IF(D451="",TODAY()+(5-N451)*15,D451)-TODAY())/4,N451),IF(TODAY()-M451&gt;10,0,1)))</f>
        <v>0</v>
      </c>
      <c r="P451" s="1" t="str">
        <f ca="1">IF(ISNA(VLOOKUP(A451,Projects!B:B,1,FALSE)),"","Yes")</f>
        <v/>
      </c>
    </row>
    <row r="452" spans="1:16">
      <c r="A452" s="4" t="s">
        <v>1169</v>
      </c>
      <c r="B452" s="5" t="s">
        <v>11</v>
      </c>
      <c r="C452" s="6" t="s">
        <v>48</v>
      </c>
      <c r="D452" s="11">
        <v>40339</v>
      </c>
      <c r="F452" s="13" t="str">
        <f ca="1">VLOOKUP(LEFT(A452,IF(ISERROR(FIND(".",A452)),LEN(A452)+1,FIND(".",A452))-1),WorkList!A:C,3,FALSE)</f>
        <v>Nomura Now</v>
      </c>
      <c r="G452" s="14" t="str">
        <f ca="1">VLOOKUP(CONCATENATE(A452),WorkList!A:C,3,FALSE)</f>
        <v>Implement SP to provide bond level prices and analytics</v>
      </c>
      <c r="H452" s="13" t="str">
        <f ca="1">VLOOKUP(CONCATENATE(A452),WorkList!A:D,4,FALSE)</f>
        <v>Gerald</v>
      </c>
      <c r="I452" s="15">
        <f ca="1">VLOOKUP(CONCATENATE(A452),WorkList!A:E,5,FALSE)</f>
        <v>40319</v>
      </c>
      <c r="J452" s="49">
        <f ca="1">VLOOKUP(CONCATENATE(A452),WorkList!A:F,6,FALSE)</f>
        <v>1</v>
      </c>
      <c r="K452" s="49" t="str">
        <f ca="1">VLOOKUP(CONCATENATE(A452),WorkList!A:G,7,FALSE)</f>
        <v>NewDevelopment</v>
      </c>
      <c r="L452" s="7" t="s">
        <v>13</v>
      </c>
      <c r="M452" s="16">
        <v>40364</v>
      </c>
      <c r="N452" s="60">
        <f ca="1">VALUE(LEFT(C452))</f>
        <v>0</v>
      </c>
      <c r="O452" s="61">
        <f ca="1">INT(IF(N452&gt;0,1+MAX(N452*N452-(IF(D452="",TODAY()+(5-N452)*15,D452)-TODAY())/4,N452),IF(TODAY()-M452&gt;10,0,1)))</f>
        <v>0</v>
      </c>
      <c r="P452" s="1" t="str">
        <f ca="1">IF(ISNA(VLOOKUP(A452,Projects!B:B,1,FALSE)),"","Yes")</f>
        <v/>
      </c>
    </row>
    <row r="453" spans="1:16" ht="25.5">
      <c r="A453" s="4" t="s">
        <v>1581</v>
      </c>
      <c r="B453" s="5" t="s">
        <v>21</v>
      </c>
      <c r="C453" s="7" t="s">
        <v>10</v>
      </c>
      <c r="F453" s="13" t="str">
        <f ca="1">VLOOKUP(LEFT(A453,IF(ISERROR(FIND(".",A453)),LEN(A453)+1,FIND(".",A453))-1),WorkList!A:C,3,FALSE)</f>
        <v>Nomura Now</v>
      </c>
      <c r="G453" s="14" t="str">
        <f ca="1">VLOOKUP(CONCATENATE(A453),WorkList!A:C,3,FALSE)</f>
        <v>Use Autosys to link to Nomura Now jobs for cache refreshes</v>
      </c>
      <c r="H453" s="13" t="str">
        <f ca="1">VLOOKUP(CONCATENATE(A453),WorkList!A:D,4,FALSE)</f>
        <v>Neil</v>
      </c>
      <c r="I453" s="15">
        <f ca="1">VLOOKUP(CONCATENATE(A453),WorkList!A:E,5,FALSE)</f>
        <v>40456</v>
      </c>
      <c r="J453" s="49">
        <f ca="1">VLOOKUP(CONCATENATE(A453),WorkList!A:F,6,FALSE)</f>
        <v>5</v>
      </c>
      <c r="K453" s="49" t="str">
        <f ca="1">VLOOKUP(CONCATENATE(A453),WorkList!A:G,7,FALSE)</f>
        <v>NewDevelopment</v>
      </c>
      <c r="L453" s="7" t="s">
        <v>7</v>
      </c>
      <c r="M453" s="16">
        <v>40456</v>
      </c>
      <c r="N453" s="60">
        <f ca="1">VALUE(LEFT(C453))</f>
        <v>3</v>
      </c>
      <c r="O453" s="61">
        <f ca="1">INT(IF(N453&gt;0,1+MAX(N453*N453-(IF(D453="",TODAY()+(5-N453)*15,D453)-TODAY())/4,N453),IF(TODAY()-M453&gt;10,0,1)))</f>
        <v>4</v>
      </c>
      <c r="P453" s="1" t="str">
        <f ca="1">IF(ISNA(VLOOKUP(A453,Projects!B:B,1,FALSE)),"","Yes")</f>
        <v/>
      </c>
    </row>
    <row r="454" spans="1:16">
      <c r="A454" s="4" t="s">
        <v>1690</v>
      </c>
      <c r="B454" s="5" t="s">
        <v>32</v>
      </c>
      <c r="C454" s="7" t="s">
        <v>38</v>
      </c>
      <c r="F454" s="13" t="str">
        <f ca="1">VLOOKUP(LEFT(A454,IF(ISERROR(FIND(".",A454)),LEN(A454)+1,FIND(".",A454))-1),WorkList!A:C,3,FALSE)</f>
        <v>Nomura Now</v>
      </c>
      <c r="G454" s="14" t="str">
        <f ca="1">VLOOKUP(CONCATENATE(A454),WorkList!A:C,3,FALSE)</f>
        <v>Gather requirements and make plan for UK Prime Page</v>
      </c>
      <c r="H454" s="13" t="str">
        <f ca="1">VLOOKUP(CONCATENATE(A454),WorkList!A:D,4,FALSE)</f>
        <v>Neil</v>
      </c>
      <c r="I454" s="15">
        <f ca="1">VLOOKUP(CONCATENATE(A454),WorkList!A:E,5,FALSE)</f>
        <v>40498</v>
      </c>
      <c r="J454" s="49">
        <f ca="1">VLOOKUP(CONCATENATE(A454),WorkList!A:F,6,FALSE)</f>
        <v>1</v>
      </c>
      <c r="K454" s="49" t="str">
        <f ca="1">VLOOKUP(CONCATENATE(A454),WorkList!A:G,7,FALSE)</f>
        <v>NewDevelopment</v>
      </c>
      <c r="L454" s="7" t="s">
        <v>7</v>
      </c>
      <c r="M454" s="16">
        <v>40568</v>
      </c>
      <c r="N454" s="60">
        <f ca="1">VALUE(LEFT(C454))</f>
        <v>2</v>
      </c>
      <c r="O454" s="61">
        <f ca="1">INT(IF(N454&gt;0,1+MAX(N454*N454-(IF(D454="",TODAY()+(5-N454)*15,D454)-TODAY())/4,N454),IF(TODAY()-M454&gt;10,0,1)))</f>
        <v>3</v>
      </c>
      <c r="P454" s="1" t="str">
        <f ca="1">IF(ISNA(VLOOKUP(A454,Projects!B:B,1,FALSE)),"","Yes")</f>
        <v>Yes</v>
      </c>
    </row>
    <row r="455" spans="1:16">
      <c r="A455" s="4" t="s">
        <v>1866</v>
      </c>
      <c r="B455" s="5" t="s">
        <v>29</v>
      </c>
      <c r="C455" s="6" t="s">
        <v>48</v>
      </c>
      <c r="E455" s="12">
        <v>1</v>
      </c>
      <c r="F455" s="13" t="str">
        <f ca="1">VLOOKUP(LEFT(A455,IF(ISERROR(FIND(".",A455)),LEN(A455)+1,FIND(".",A455))-1),WorkList!A:C,3,FALSE)</f>
        <v>Nomura Now</v>
      </c>
      <c r="G455" s="14" t="str">
        <f ca="1">VLOOKUP(CONCATENATE(A455),WorkList!A:C,3,FALSE)</f>
        <v>Back load Granite AAA prices</v>
      </c>
      <c r="H455" s="13" t="str">
        <f ca="1">VLOOKUP(CONCATENATE(A455),WorkList!A:D,4,FALSE)</f>
        <v>Zhuu</v>
      </c>
      <c r="I455" s="15">
        <f ca="1">VLOOKUP(CONCATENATE(A455),WorkList!A:E,5,FALSE)</f>
        <v>40563</v>
      </c>
      <c r="J455" s="49">
        <f ca="1">VLOOKUP(CONCATENATE(A455),WorkList!A:F,6,FALSE)</f>
        <v>2</v>
      </c>
      <c r="K455" s="49" t="str">
        <f ca="1">VLOOKUP(CONCATENATE(A455),WorkList!A:G,7,FALSE)</f>
        <v>NewDevelopment</v>
      </c>
      <c r="L455" s="7" t="s">
        <v>13</v>
      </c>
      <c r="M455" s="16">
        <v>40589</v>
      </c>
      <c r="N455" s="60">
        <f ca="1">VALUE(LEFT(C455))</f>
        <v>0</v>
      </c>
      <c r="O455" s="61">
        <f ca="1">INT(IF(N455&gt;0,1+MAX(N455*N455-(IF(D455="",TODAY()+(5-N455)*15,D455)-TODAY())/4,N455),IF(TODAY()-M455&gt;10,0,1)))</f>
        <v>1</v>
      </c>
      <c r="P455" s="1" t="str">
        <f ca="1">IF(ISNA(VLOOKUP(A455,Projects!B:B,1,FALSE)),"","Yes")</f>
        <v/>
      </c>
    </row>
    <row r="456" spans="1:16">
      <c r="A456" s="4" t="s">
        <v>76</v>
      </c>
      <c r="B456" s="5" t="s">
        <v>46</v>
      </c>
      <c r="C456" s="7" t="s">
        <v>48</v>
      </c>
      <c r="D456" s="11"/>
      <c r="F456" s="13" t="str">
        <f ca="1">VLOOKUP(LEFT(A456,IF(ISERROR(FIND(".",A456)),LEN(A456)+1,FIND(".",A456))-1),WorkList!A:C,3,FALSE)</f>
        <v>Radial / Totoro / Other</v>
      </c>
      <c r="G456" s="14" t="str">
        <f ca="1">VLOOKUP(CONCATENATE(A456),WorkList!A:C,3,FALSE)</f>
        <v>Modify Radial to show factored positions</v>
      </c>
      <c r="H456" s="13" t="str">
        <f ca="1">VLOOKUP(CONCATENATE(A456),WorkList!A:D,4,FALSE)</f>
        <v>David Covey</v>
      </c>
      <c r="I456" s="15">
        <f ca="1">VLOOKUP(CONCATENATE(A456),WorkList!A:E,5,FALSE)</f>
        <v>39926</v>
      </c>
      <c r="J456" s="49">
        <f ca="1">VLOOKUP(CONCATENATE(A456),WorkList!A:F,6,FALSE)</f>
        <v>0</v>
      </c>
      <c r="K456" s="49">
        <f ca="1">VLOOKUP(CONCATENATE(A456),WorkList!A:G,7,FALSE)</f>
        <v>0</v>
      </c>
      <c r="L456" s="7" t="s">
        <v>13</v>
      </c>
      <c r="M456" s="16">
        <v>39946</v>
      </c>
      <c r="N456" s="60">
        <f ca="1">VALUE(LEFT(C456))</f>
        <v>0</v>
      </c>
      <c r="O456" s="61">
        <f ca="1">INT(IF(N456&gt;0,1+MAX(N456*N456-(IF(D456="",TODAY()+(5-N456)*15,D456)-TODAY())/4,N456),IF(TODAY()-M456&gt;10,0,1)))</f>
        <v>0</v>
      </c>
      <c r="P456" s="1" t="str">
        <f ca="1">IF(ISNA(VLOOKUP(A456,Projects!B:B,1,FALSE)),"","Yes")</f>
        <v/>
      </c>
    </row>
    <row r="457" spans="1:16">
      <c r="A457" s="4" t="s">
        <v>1036</v>
      </c>
      <c r="B457" s="5" t="s">
        <v>32</v>
      </c>
      <c r="C457" s="7" t="s">
        <v>38</v>
      </c>
      <c r="D457" s="11"/>
      <c r="F457" s="13" t="str">
        <f ca="1">VLOOKUP(LEFT(A457,IF(ISERROR(FIND(".",A457)),LEN(A457)+1,FIND(".",A457))-1),WorkList!A:C,3,FALSE)</f>
        <v>Radial / Totoro / Other</v>
      </c>
      <c r="G457" s="14" t="str">
        <f ca="1">VLOOKUP(CONCATENATE(A457),WorkList!A:C,3,FALSE)</f>
        <v>Radial start up time is very slow in Mumbai</v>
      </c>
      <c r="H457" s="13" t="str">
        <f ca="1">VLOOKUP(CONCATENATE(A457),WorkList!A:D,4,FALSE)</f>
        <v>Neil</v>
      </c>
      <c r="I457" s="15">
        <f ca="1">VLOOKUP(CONCATENATE(A457),WorkList!A:E,5,FALSE)</f>
        <v>40274</v>
      </c>
      <c r="J457" s="49">
        <f ca="1">VLOOKUP(CONCATENATE(A457),WorkList!A:F,6,FALSE)</f>
        <v>1</v>
      </c>
      <c r="K457" s="49" t="str">
        <f ca="1">VLOOKUP(CONCATENATE(A457),WorkList!A:G,7,FALSE)</f>
        <v>Enhancement</v>
      </c>
      <c r="L457" s="7" t="s">
        <v>5</v>
      </c>
      <c r="M457" s="16">
        <v>40568</v>
      </c>
      <c r="N457" s="60">
        <f ca="1">VALUE(LEFT(C457))</f>
        <v>2</v>
      </c>
      <c r="O457" s="61">
        <f ca="1">INT(IF(N457&gt;0,1+MAX(N457*N457-(IF(D457="",TODAY()+(5-N457)*15,D457)-TODAY())/4,N457),IF(TODAY()-M457&gt;10,0,1)))</f>
        <v>3</v>
      </c>
      <c r="P457" s="1" t="str">
        <f ca="1">IF(ISNA(VLOOKUP(A457,Projects!B:B,1,FALSE)),"","Yes")</f>
        <v/>
      </c>
    </row>
    <row r="458" spans="1:16">
      <c r="A458" s="4" t="s">
        <v>1833</v>
      </c>
      <c r="B458" s="5" t="s">
        <v>807</v>
      </c>
      <c r="C458" s="7" t="s">
        <v>10</v>
      </c>
      <c r="F458" s="13" t="str">
        <f ca="1">VLOOKUP(LEFT(A458,IF(ISERROR(FIND(".",A458)),LEN(A458)+1,FIND(".",A458))-1),WorkList!A:C,3,FALSE)</f>
        <v>Radial / Totoro / Other</v>
      </c>
      <c r="G458" s="14" t="str">
        <f ca="1">VLOOKUP(CONCATENATE(A458),WorkList!A:C,3,FALSE)</f>
        <v>Radial to handle margin step ups</v>
      </c>
      <c r="H458" s="13" t="str">
        <f ca="1">VLOOKUP(CONCATENATE(A458),WorkList!A:D,4,FALSE)</f>
        <v>Neil</v>
      </c>
      <c r="I458" s="15">
        <f ca="1">VLOOKUP(CONCATENATE(A458),WorkList!A:E,5,FALSE)</f>
        <v>40555</v>
      </c>
      <c r="J458" s="49">
        <f ca="1">VLOOKUP(CONCATENATE(A458),WorkList!A:F,6,FALSE)</f>
        <v>10</v>
      </c>
      <c r="K458" s="49" t="str">
        <f ca="1">VLOOKUP(CONCATENATE(A458),WorkList!A:G,7,FALSE)</f>
        <v>Enhancement</v>
      </c>
      <c r="L458" s="7" t="s">
        <v>7</v>
      </c>
      <c r="M458" s="16">
        <v>40555</v>
      </c>
      <c r="N458" s="60">
        <f ca="1">VALUE(LEFT(C458))</f>
        <v>3</v>
      </c>
      <c r="O458" s="61">
        <f ca="1">INT(IF(N458&gt;0,1+MAX(N458*N458-(IF(D458="",TODAY()+(5-N458)*15,D458)-TODAY())/4,N458),IF(TODAY()-M458&gt;10,0,1)))</f>
        <v>4</v>
      </c>
      <c r="P458" s="1" t="str">
        <f ca="1">IF(ISNA(VLOOKUP(A458,Projects!B:B,1,FALSE)),"","Yes")</f>
        <v>Yes</v>
      </c>
    </row>
    <row r="459" spans="1:16">
      <c r="A459" s="4" t="s">
        <v>78</v>
      </c>
      <c r="B459" s="5" t="s">
        <v>46</v>
      </c>
      <c r="C459" s="7" t="s">
        <v>48</v>
      </c>
      <c r="D459" s="11"/>
      <c r="F459" s="13" t="str">
        <f ca="1">VLOOKUP(LEFT(A459,IF(ISERROR(FIND(".",A459)),LEN(A459)+1,FIND(".",A459))-1),WorkList!A:C,3,FALSE)</f>
        <v>Radial / Totoro / Other</v>
      </c>
      <c r="G459" s="14" t="str">
        <f ca="1">VLOOKUP(CONCATENATE(A459),WorkList!A:C,3,FALSE)</f>
        <v>Automatically update ratings from Bloomberg</v>
      </c>
      <c r="H459" s="13" t="str">
        <f ca="1">VLOOKUP(CONCATENATE(A459),WorkList!A:D,4,FALSE)</f>
        <v>Friedel</v>
      </c>
      <c r="I459" s="15">
        <f ca="1">VLOOKUP(CONCATENATE(A459),WorkList!A:E,5,FALSE)</f>
        <v>39917</v>
      </c>
      <c r="J459" s="49">
        <f ca="1">VLOOKUP(CONCATENATE(A459),WorkList!A:F,6,FALSE)</f>
        <v>0</v>
      </c>
      <c r="K459" s="49">
        <f ca="1">VLOOKUP(CONCATENATE(A459),WorkList!A:G,7,FALSE)</f>
        <v>0</v>
      </c>
      <c r="L459" s="7" t="s">
        <v>13</v>
      </c>
      <c r="M459" s="16">
        <v>40239</v>
      </c>
      <c r="N459" s="60">
        <f ca="1">VALUE(LEFT(C459))</f>
        <v>0</v>
      </c>
      <c r="O459" s="61">
        <f ca="1">INT(IF(N459&gt;0,1+MAX(N459*N459-(IF(D459="",TODAY()+(5-N459)*15,D459)-TODAY())/4,N459),IF(TODAY()-M459&gt;10,0,1)))</f>
        <v>0</v>
      </c>
      <c r="P459" s="1" t="str">
        <f ca="1">IF(ISNA(VLOOKUP(A459,Projects!B:B,1,FALSE)),"","Yes")</f>
        <v/>
      </c>
    </row>
    <row r="460" spans="1:16">
      <c r="A460" s="4" t="s">
        <v>79</v>
      </c>
      <c r="B460" s="5" t="s">
        <v>807</v>
      </c>
      <c r="C460" s="7" t="s">
        <v>48</v>
      </c>
      <c r="D460" s="11"/>
      <c r="F460" s="13" t="str">
        <f ca="1">VLOOKUP(LEFT(A460,IF(ISERROR(FIND(".",A460)),LEN(A460)+1,FIND(".",A460))-1),WorkList!A:C,3,FALSE)</f>
        <v>Radial / Totoro / Other</v>
      </c>
      <c r="G460" s="14" t="str">
        <f ca="1">VLOOKUP(CONCATENATE(A460),WorkList!A:C,3,FALSE)</f>
        <v>Don't automatically update fixings from Bloomberg</v>
      </c>
      <c r="H460" s="13" t="str">
        <f ca="1">VLOOKUP(CONCATENATE(A460),WorkList!A:D,4,FALSE)</f>
        <v>David Covey</v>
      </c>
      <c r="I460" s="15">
        <f ca="1">VLOOKUP(CONCATENATE(A460),WorkList!A:E,5,FALSE)</f>
        <v>40205</v>
      </c>
      <c r="J460" s="49">
        <f ca="1">VLOOKUP(CONCATENATE(A460),WorkList!A:F,6,FALSE)</f>
        <v>0</v>
      </c>
      <c r="K460" s="49">
        <f ca="1">VLOOKUP(CONCATENATE(A460),WorkList!A:G,7,FALSE)</f>
        <v>0</v>
      </c>
      <c r="L460" s="7" t="s">
        <v>13</v>
      </c>
      <c r="M460" s="16">
        <v>40239</v>
      </c>
      <c r="N460" s="60">
        <f ca="1">VALUE(LEFT(C460))</f>
        <v>0</v>
      </c>
      <c r="O460" s="61">
        <f ca="1">INT(IF(N460&gt;0,1+MAX(N460*N460-(IF(D460="",TODAY()+(5-N460)*15,D460)-TODAY())/4,N460),IF(TODAY()-M460&gt;10,0,1)))</f>
        <v>0</v>
      </c>
      <c r="P460" s="1" t="str">
        <f ca="1">IF(ISNA(VLOOKUP(A460,Projects!B:B,1,FALSE)),"","Yes")</f>
        <v/>
      </c>
    </row>
    <row r="461" spans="1:16">
      <c r="A461" s="4" t="s">
        <v>130</v>
      </c>
      <c r="B461" s="5" t="s">
        <v>11</v>
      </c>
      <c r="C461" s="6" t="s">
        <v>48</v>
      </c>
      <c r="D461" s="11"/>
      <c r="F461" s="13" t="str">
        <f ca="1">VLOOKUP(LEFT(A461,IF(ISERROR(FIND(".",A461)),LEN(A461)+1,FIND(".",A461))-1),WorkList!A:C,3,FALSE)</f>
        <v>Radial / Totoro / Other</v>
      </c>
      <c r="G461" s="14" t="str">
        <f ca="1">VLOOKUP(CONCATENATE(A461),WorkList!A:C,3,FALSE)</f>
        <v>Understand how Radial's Bloomberg Bridge works</v>
      </c>
      <c r="H461" s="13" t="str">
        <f ca="1">VLOOKUP(CONCATENATE(A461),WorkList!A:D,4,FALSE)</f>
        <v>David Covey</v>
      </c>
      <c r="I461" s="15">
        <f ca="1">VLOOKUP(CONCATENATE(A461),WorkList!A:E,5,FALSE)</f>
        <v>39926</v>
      </c>
      <c r="J461" s="49">
        <f ca="1">VLOOKUP(CONCATENATE(A461),WorkList!A:F,6,FALSE)</f>
        <v>0</v>
      </c>
      <c r="K461" s="49">
        <f ca="1">VLOOKUP(CONCATENATE(A461),WorkList!A:G,7,FALSE)</f>
        <v>0</v>
      </c>
      <c r="L461" s="7" t="s">
        <v>13</v>
      </c>
      <c r="M461" s="16">
        <v>39966</v>
      </c>
      <c r="N461" s="60">
        <f ca="1">VALUE(LEFT(C461))</f>
        <v>0</v>
      </c>
      <c r="O461" s="61">
        <f ca="1">INT(IF(N461&gt;0,1+MAX(N461*N461-(IF(D461="",TODAY()+(5-N461)*15,D461)-TODAY())/4,N461),IF(TODAY()-M461&gt;10,0,1)))</f>
        <v>0</v>
      </c>
      <c r="P461" s="1" t="str">
        <f ca="1">IF(ISNA(VLOOKUP(A461,Projects!B:B,1,FALSE)),"","Yes")</f>
        <v/>
      </c>
    </row>
    <row r="462" spans="1:16">
      <c r="A462" s="4" t="s">
        <v>156</v>
      </c>
      <c r="B462" s="5" t="s">
        <v>46</v>
      </c>
      <c r="C462" s="7" t="s">
        <v>48</v>
      </c>
      <c r="D462" s="11"/>
      <c r="F462" s="13" t="str">
        <f ca="1">VLOOKUP(LEFT(A462,IF(ISERROR(FIND(".",A462)),LEN(A462)+1,FIND(".",A462))-1),WorkList!A:C,3,FALSE)</f>
        <v>Radial / Totoro / Other</v>
      </c>
      <c r="G462" s="14" t="str">
        <f ca="1">VLOOKUP(CONCATENATE(A462),WorkList!A:C,3,FALSE)</f>
        <v>Fix Radial Position for factored bond on trade day</v>
      </c>
      <c r="H462" s="13" t="str">
        <f ca="1">VLOOKUP(CONCATENATE(A462),WorkList!A:D,4,FALSE)</f>
        <v>Neil</v>
      </c>
      <c r="I462" s="15">
        <f ca="1">VLOOKUP(CONCATENATE(A462),WorkList!A:E,5,FALSE)</f>
        <v>39933</v>
      </c>
      <c r="J462" s="49">
        <f ca="1">VLOOKUP(CONCATENATE(A462),WorkList!A:F,6,FALSE)</f>
        <v>0</v>
      </c>
      <c r="K462" s="49">
        <f ca="1">VLOOKUP(CONCATENATE(A462),WorkList!A:G,7,FALSE)</f>
        <v>0</v>
      </c>
      <c r="L462" s="7" t="s">
        <v>13</v>
      </c>
      <c r="M462" s="16">
        <v>39946</v>
      </c>
      <c r="N462" s="60">
        <f ca="1">VALUE(LEFT(C462))</f>
        <v>0</v>
      </c>
      <c r="O462" s="61">
        <f ca="1">INT(IF(N462&gt;0,1+MAX(N462*N462-(IF(D462="",TODAY()+(5-N462)*15,D462)-TODAY())/4,N462),IF(TODAY()-M462&gt;10,0,1)))</f>
        <v>0</v>
      </c>
      <c r="P462" s="1" t="str">
        <f ca="1">IF(ISNA(VLOOKUP(A462,Projects!B:B,1,FALSE)),"","Yes")</f>
        <v/>
      </c>
    </row>
    <row r="463" spans="1:16">
      <c r="A463" s="4" t="s">
        <v>198</v>
      </c>
      <c r="B463" s="5" t="s">
        <v>11</v>
      </c>
      <c r="C463" s="7" t="s">
        <v>38</v>
      </c>
      <c r="D463" s="11"/>
      <c r="F463" s="13" t="str">
        <f ca="1">VLOOKUP(LEFT(A463,IF(ISERROR(FIND(".",A463)),LEN(A463)+1,FIND(".",A463))-1),WorkList!A:C,3,FALSE)</f>
        <v>Radial / Totoro / Other</v>
      </c>
      <c r="G463" s="14" t="str">
        <f ca="1">VLOOKUP(CONCATENATE(A463),WorkList!A:C,3,FALSE)</f>
        <v>Keep an eye on blank values in Radial Bond Pricer Pos</v>
      </c>
      <c r="H463" s="13" t="str">
        <f ca="1">VLOOKUP(CONCATENATE(A463),WorkList!A:D,4,FALSE)</f>
        <v>Neil</v>
      </c>
      <c r="I463" s="15">
        <f ca="1">VLOOKUP(CONCATENATE(A463),WorkList!A:E,5,FALSE)</f>
        <v>39948</v>
      </c>
      <c r="J463" s="49">
        <f ca="1">VLOOKUP(CONCATENATE(A463),WorkList!A:F,6,FALSE)</f>
        <v>0.5</v>
      </c>
      <c r="K463" s="49" t="str">
        <f ca="1">VLOOKUP(CONCATENATE(A463),WorkList!A:G,7,FALSE)</f>
        <v>Support</v>
      </c>
      <c r="L463" s="7" t="s">
        <v>289</v>
      </c>
      <c r="M463" s="16">
        <v>40254</v>
      </c>
      <c r="N463" s="60">
        <f ca="1">VALUE(LEFT(C463))</f>
        <v>2</v>
      </c>
      <c r="O463" s="61">
        <f ca="1">INT(IF(N463&gt;0,1+MAX(N463*N463-(IF(D463="",TODAY()+(5-N463)*15,D463)-TODAY())/4,N463),IF(TODAY()-M463&gt;10,0,1)))</f>
        <v>3</v>
      </c>
      <c r="P463" s="1" t="str">
        <f ca="1">IF(ISNA(VLOOKUP(A463,Projects!B:B,1,FALSE)),"","Yes")</f>
        <v/>
      </c>
    </row>
    <row r="464" spans="1:16">
      <c r="A464" s="4" t="s">
        <v>396</v>
      </c>
      <c r="B464" s="5" t="s">
        <v>32</v>
      </c>
      <c r="C464" s="6" t="s">
        <v>48</v>
      </c>
      <c r="D464" s="11"/>
      <c r="F464" s="13" t="str">
        <f ca="1">VLOOKUP(LEFT(A464,IF(ISERROR(FIND(".",A464)),LEN(A464)+1,FIND(".",A464))-1),WorkList!A:C,3,FALSE)</f>
        <v>Radial / Totoro / Other</v>
      </c>
      <c r="G464" s="14" t="str">
        <f ca="1">VLOOKUP(CONCATENATE(A464),WorkList!A:C,3,FALSE)</f>
        <v>Radial creates new bonds automatically.</v>
      </c>
      <c r="H464" s="13" t="str">
        <f ca="1">VLOOKUP(CONCATENATE(A464),WorkList!A:D,4,FALSE)</f>
        <v>Neil</v>
      </c>
      <c r="I464" s="15">
        <f ca="1">VLOOKUP(CONCATENATE(A464),WorkList!A:E,5,FALSE)</f>
        <v>40032</v>
      </c>
      <c r="J464" s="49">
        <f ca="1">VLOOKUP(CONCATENATE(A464),WorkList!A:F,6,FALSE)</f>
        <v>0</v>
      </c>
      <c r="K464" s="49">
        <f ca="1">VLOOKUP(CONCATENATE(A464),WorkList!A:G,7,FALSE)</f>
        <v>0</v>
      </c>
      <c r="L464" s="7" t="s">
        <v>13</v>
      </c>
      <c r="M464" s="16">
        <v>40134</v>
      </c>
      <c r="N464" s="60">
        <f ca="1">VALUE(LEFT(C464))</f>
        <v>0</v>
      </c>
      <c r="O464" s="61">
        <f ca="1">INT(IF(N464&gt;0,1+MAX(N464*N464-(IF(D464="",TODAY()+(5-N464)*15,D464)-TODAY())/4,N464),IF(TODAY()-M464&gt;10,0,1)))</f>
        <v>0</v>
      </c>
      <c r="P464" s="1" t="str">
        <f ca="1">IF(ISNA(VLOOKUP(A464,Projects!B:B,1,FALSE)),"","Yes")</f>
        <v/>
      </c>
    </row>
    <row r="465" spans="1:16">
      <c r="A465" s="4" t="s">
        <v>805</v>
      </c>
      <c r="B465" s="5" t="s">
        <v>11</v>
      </c>
      <c r="C465" s="6" t="s">
        <v>1087</v>
      </c>
      <c r="D465" s="11"/>
      <c r="F465" s="13" t="str">
        <f ca="1">VLOOKUP(LEFT(A465,IF(ISERROR(FIND(".",A465)),LEN(A465)+1,FIND(".",A465))-1),WorkList!A:C,3,FALSE)</f>
        <v>Radial / Totoro / Other</v>
      </c>
      <c r="G465" s="14" t="str">
        <f ca="1">VLOOKUP(CONCATENATE(A465),WorkList!A:C,3,FALSE)</f>
        <v>Radial Bloomberg Bridge historic rate requests</v>
      </c>
      <c r="H465" s="13" t="str">
        <f ca="1">VLOOKUP(CONCATENATE(A465),WorkList!A:D,4,FALSE)</f>
        <v>Neil</v>
      </c>
      <c r="I465" s="15">
        <f ca="1">VLOOKUP(CONCATENATE(A465),WorkList!A:E,5,FALSE)</f>
        <v>40168</v>
      </c>
      <c r="J465" s="49">
        <f ca="1">VLOOKUP(CONCATENATE(A465),WorkList!A:F,6,FALSE)</f>
        <v>2</v>
      </c>
      <c r="K465" s="49" t="str">
        <f ca="1">VLOOKUP(CONCATENATE(A465),WorkList!A:G,7,FALSE)</f>
        <v>Enhancement</v>
      </c>
      <c r="L465" s="7" t="s">
        <v>1096</v>
      </c>
      <c r="M465" s="16">
        <v>40520</v>
      </c>
      <c r="N465" s="60">
        <f ca="1">VALUE(LEFT(C465))</f>
        <v>0</v>
      </c>
      <c r="O465" s="61">
        <f ca="1">INT(IF(N465&gt;0,1+MAX(N465*N465-(IF(D465="",TODAY()+(5-N465)*15,D465)-TODAY())/4,N465),IF(TODAY()-M465&gt;10,0,1)))</f>
        <v>0</v>
      </c>
      <c r="P465" s="1" t="str">
        <f ca="1">IF(ISNA(VLOOKUP(A465,Projects!B:B,1,FALSE)),"","Yes")</f>
        <v/>
      </c>
    </row>
    <row r="466" spans="1:16">
      <c r="A466" s="4" t="s">
        <v>948</v>
      </c>
      <c r="B466" s="5" t="s">
        <v>807</v>
      </c>
      <c r="C466" s="7" t="s">
        <v>10</v>
      </c>
      <c r="D466" s="11"/>
      <c r="F466" s="13" t="str">
        <f ca="1">VLOOKUP(LEFT(A466,IF(ISERROR(FIND(".",A466)),LEN(A466)+1,FIND(".",A466))-1),WorkList!A:C,3,FALSE)</f>
        <v>Radial / Totoro / Other</v>
      </c>
      <c r="G466" s="14" t="str">
        <f ca="1">VLOOKUP(CONCATENATE(A466),WorkList!A:C,3,FALSE)</f>
        <v>Radial to accept a single XML file of updates for bonds</v>
      </c>
      <c r="H466" s="13" t="str">
        <f ca="1">VLOOKUP(CONCATENATE(A466),WorkList!A:D,4,FALSE)</f>
        <v>Neil</v>
      </c>
      <c r="I466" s="15">
        <v>40284</v>
      </c>
      <c r="J466" s="49">
        <f ca="1">VLOOKUP(CONCATENATE(A466),WorkList!A:F,6,FALSE)</f>
        <v>2</v>
      </c>
      <c r="K466" s="49" t="str">
        <f ca="1">VLOOKUP(CONCATENATE(A466),WorkList!A:G,7,FALSE)</f>
        <v>Enhancement</v>
      </c>
      <c r="L466" s="7" t="s">
        <v>537</v>
      </c>
      <c r="M466" s="16">
        <v>40283</v>
      </c>
      <c r="N466" s="60">
        <f ca="1">VALUE(LEFT(C466))</f>
        <v>3</v>
      </c>
      <c r="O466" s="61">
        <f ca="1">INT(IF(N466&gt;0,1+MAX(N466*N466-(IF(D466="",TODAY()+(5-N466)*15,D466)-TODAY())/4,N466),IF(TODAY()-M466&gt;10,0,1)))</f>
        <v>4</v>
      </c>
      <c r="P466" s="1" t="str">
        <f ca="1">IF(ISNA(VLOOKUP(A466,Projects!B:B,1,FALSE)),"","Yes")</f>
        <v/>
      </c>
    </row>
    <row r="467" spans="1:16">
      <c r="A467" s="4" t="s">
        <v>83</v>
      </c>
      <c r="B467" s="5" t="s">
        <v>21</v>
      </c>
      <c r="C467" s="7" t="s">
        <v>197</v>
      </c>
      <c r="D467" s="11"/>
      <c r="F467" s="13" t="str">
        <f ca="1">VLOOKUP(LEFT(A467,IF(ISERROR(FIND(".",A467)),LEN(A467)+1,FIND(".",A467))-1),WorkList!A:C,3,FALSE)</f>
        <v>Radial / Totoro / Other</v>
      </c>
      <c r="G467" s="14" t="str">
        <f ca="1">VLOOKUP(CONCATENATE(A467),WorkList!A:C,3,FALSE)</f>
        <v>Get Radial/Totoro to handle irregular schedules</v>
      </c>
      <c r="H467" s="13" t="str">
        <f ca="1">VLOOKUP(CONCATENATE(A467),WorkList!A:D,4,FALSE)</f>
        <v>Neil</v>
      </c>
      <c r="I467" s="15">
        <f ca="1">VLOOKUP(CONCATENATE(A467),WorkList!A:E,5,FALSE)</f>
        <v>39917</v>
      </c>
      <c r="J467" s="49">
        <f ca="1">VLOOKUP(CONCATENATE(A467),WorkList!A:F,6,FALSE)</f>
        <v>10</v>
      </c>
      <c r="K467" s="49" t="str">
        <f ca="1">VLOOKUP(CONCATENATE(A467),WorkList!A:G,7,FALSE)</f>
        <v>Enhancement</v>
      </c>
      <c r="L467" s="7" t="s">
        <v>7</v>
      </c>
      <c r="M467" s="16">
        <v>40239</v>
      </c>
      <c r="N467" s="60">
        <f ca="1">VALUE(LEFT(C467))</f>
        <v>1</v>
      </c>
      <c r="O467" s="61">
        <f ca="1">INT(IF(N467&gt;0,1+MAX(N467*N467-(IF(D467="",TODAY()+(5-N467)*15,D467)-TODAY())/4,N467),IF(TODAY()-M467&gt;10,0,1)))</f>
        <v>2</v>
      </c>
      <c r="P467" s="1" t="str">
        <f ca="1">IF(ISNA(VLOOKUP(A467,Projects!B:B,1,FALSE)),"","Yes")</f>
        <v/>
      </c>
    </row>
    <row r="468" spans="1:16">
      <c r="A468" s="4" t="s">
        <v>146</v>
      </c>
      <c r="B468" s="5" t="s">
        <v>21</v>
      </c>
      <c r="C468" s="7" t="s">
        <v>197</v>
      </c>
      <c r="D468" s="11"/>
      <c r="F468" s="13" t="str">
        <f ca="1">VLOOKUP(LEFT(A468,IF(ISERROR(FIND(".",A468)),LEN(A468)+1,FIND(".",A468))-1),WorkList!A:C,3,FALSE)</f>
        <v>Radial / Totoro / Other</v>
      </c>
      <c r="G468" s="14" t="str">
        <f ca="1">VLOOKUP(CONCATENATE(A468),WorkList!A:C,3,FALSE)</f>
        <v>Find how Totoro can correctly represent step ups</v>
      </c>
      <c r="H468" s="13" t="str">
        <f ca="1">VLOOKUP(CONCATENATE(A468),WorkList!A:D,4,FALSE)</f>
        <v>Friedel</v>
      </c>
      <c r="I468" s="15">
        <f ca="1">VLOOKUP(CONCATENATE(A468),WorkList!A:E,5,FALSE)</f>
        <v>39932</v>
      </c>
      <c r="J468" s="49">
        <f ca="1">VLOOKUP(CONCATENATE(A468),WorkList!A:F,6,FALSE)</f>
        <v>10</v>
      </c>
      <c r="K468" s="49" t="str">
        <f ca="1">VLOOKUP(CONCATENATE(A468),WorkList!A:G,7,FALSE)</f>
        <v>Enhancement</v>
      </c>
      <c r="L468" s="7" t="s">
        <v>7</v>
      </c>
      <c r="M468" s="16">
        <v>40239</v>
      </c>
      <c r="N468" s="60">
        <f ca="1">VALUE(LEFT(C468))</f>
        <v>1</v>
      </c>
      <c r="O468" s="61">
        <f ca="1">INT(IF(N468&gt;0,1+MAX(N468*N468-(IF(D468="",TODAY()+(5-N468)*15,D468)-TODAY())/4,N468),IF(TODAY()-M468&gt;10,0,1)))</f>
        <v>2</v>
      </c>
      <c r="P468" s="1" t="str">
        <f ca="1">IF(ISNA(VLOOKUP(A468,Projects!B:B,1,FALSE)),"","Yes")</f>
        <v/>
      </c>
    </row>
    <row r="469" spans="1:16">
      <c r="A469" s="4" t="s">
        <v>153</v>
      </c>
      <c r="B469" s="5" t="s">
        <v>155</v>
      </c>
      <c r="C469" s="6" t="s">
        <v>48</v>
      </c>
      <c r="D469" s="11"/>
      <c r="F469" s="13" t="str">
        <f ca="1">VLOOKUP(LEFT(A469,IF(ISERROR(FIND(".",A469)),LEN(A469)+1,FIND(".",A469))-1),WorkList!A:C,3,FALSE)</f>
        <v>Radial / Totoro / Other</v>
      </c>
      <c r="G469" s="14" t="str">
        <f ca="1">VLOOKUP(CONCATENATE(A469),WorkList!A:C,3,FALSE)</f>
        <v>Feed principal schedule to QDB</v>
      </c>
      <c r="H469" s="13" t="str">
        <f ca="1">VLOOKUP(CONCATENATE(A469),WorkList!A:D,4,FALSE)</f>
        <v>Operations</v>
      </c>
      <c r="I469" s="15">
        <f ca="1">VLOOKUP(CONCATENATE(A469),WorkList!A:E,5,FALSE)</f>
        <v>39938</v>
      </c>
      <c r="J469" s="49">
        <f ca="1">VLOOKUP(CONCATENATE(A469),WorkList!A:F,6,FALSE)</f>
        <v>0</v>
      </c>
      <c r="K469" s="49">
        <f ca="1">VLOOKUP(CONCATENATE(A469),WorkList!A:G,7,FALSE)</f>
        <v>0</v>
      </c>
      <c r="L469" s="7" t="s">
        <v>13</v>
      </c>
      <c r="M469" s="16">
        <v>40532</v>
      </c>
      <c r="N469" s="60">
        <f ca="1">VALUE(LEFT(C469))</f>
        <v>0</v>
      </c>
      <c r="O469" s="61">
        <f ca="1">INT(IF(N469&gt;0,1+MAX(N469*N469-(IF(D469="",TODAY()+(5-N469)*15,D469)-TODAY())/4,N469),IF(TODAY()-M469&gt;10,0,1)))</f>
        <v>0</v>
      </c>
      <c r="P469" s="1" t="str">
        <f ca="1">IF(ISNA(VLOOKUP(A469,Projects!B:B,1,FALSE)),"","Yes")</f>
        <v/>
      </c>
    </row>
    <row r="470" spans="1:16">
      <c r="A470" s="4" t="s">
        <v>374</v>
      </c>
      <c r="B470" s="5" t="s">
        <v>11</v>
      </c>
      <c r="C470" s="6" t="s">
        <v>48</v>
      </c>
      <c r="D470" s="11"/>
      <c r="F470" s="13" t="str">
        <f ca="1">VLOOKUP(LEFT(A470,IF(ISERROR(FIND(".",A470)),LEN(A470)+1,FIND(".",A470))-1),WorkList!A:C,3,FALSE)</f>
        <v>Radial / Totoro / Other</v>
      </c>
      <c r="G470" s="14" t="str">
        <f ca="1">VLOOKUP(CONCATENATE(A470),WorkList!A:C,3,FALSE)</f>
        <v>Intra day feed to QDB</v>
      </c>
      <c r="H470" s="13" t="str">
        <f ca="1">VLOOKUP(CONCATENATE(A470),WorkList!A:D,4,FALSE)</f>
        <v>Operations</v>
      </c>
      <c r="I470" s="15">
        <f ca="1">VLOOKUP(CONCATENATE(A470),WorkList!A:E,5,FALSE)</f>
        <v>40029</v>
      </c>
      <c r="J470" s="49">
        <f ca="1">VLOOKUP(CONCATENATE(A470),WorkList!A:F,6,FALSE)</f>
        <v>0</v>
      </c>
      <c r="K470" s="49">
        <f ca="1">VLOOKUP(CONCATENATE(A470),WorkList!A:G,7,FALSE)</f>
        <v>0</v>
      </c>
      <c r="L470" s="7" t="s">
        <v>13</v>
      </c>
      <c r="M470" s="16">
        <v>40071</v>
      </c>
      <c r="N470" s="60">
        <f ca="1">VALUE(LEFT(C470))</f>
        <v>0</v>
      </c>
      <c r="O470" s="61">
        <f ca="1">INT(IF(N470&gt;0,1+MAX(N470*N470-(IF(D470="",TODAY()+(5-N470)*15,D470)-TODAY())/4,N470),IF(TODAY()-M470&gt;10,0,1)))</f>
        <v>0</v>
      </c>
      <c r="P470" s="1" t="str">
        <f ca="1">IF(ISNA(VLOOKUP(A470,Projects!B:B,1,FALSE)),"","Yes")</f>
        <v/>
      </c>
    </row>
    <row r="471" spans="1:16">
      <c r="A471" s="4" t="s">
        <v>867</v>
      </c>
      <c r="B471" s="5" t="s">
        <v>869</v>
      </c>
      <c r="C471" s="4" t="s">
        <v>10</v>
      </c>
      <c r="D471" s="11"/>
      <c r="F471" s="13" t="str">
        <f ca="1">VLOOKUP(LEFT(A471,IF(ISERROR(FIND(".",A471)),LEN(A471)+1,FIND(".",A471))-1),WorkList!A:C,3,FALSE)</f>
        <v>Radial / Totoro / Other</v>
      </c>
      <c r="G471" s="14" t="str">
        <f ca="1">VLOOKUP(CONCATENATE(A471),WorkList!A:C,3,FALSE)</f>
        <v>RDM/QDB enhancements for ABS</v>
      </c>
      <c r="H471" s="13" t="str">
        <f ca="1">VLOOKUP(CONCATENATE(A471),WorkList!A:D,4,FALSE)</f>
        <v>David Covey</v>
      </c>
      <c r="I471" s="15">
        <f ca="1">VLOOKUP(CONCATENATE(A471),WorkList!A:E,5,FALSE)</f>
        <v>40200</v>
      </c>
      <c r="J471" s="49">
        <f ca="1">VLOOKUP(CONCATENATE(A471),WorkList!A:F,6,FALSE)</f>
        <v>0</v>
      </c>
      <c r="K471" s="49" t="str">
        <f ca="1">VLOOKUP(CONCATENATE(A471),WorkList!A:G,7,FALSE)</f>
        <v>Enhancement</v>
      </c>
      <c r="L471" s="7" t="s">
        <v>5</v>
      </c>
      <c r="M471" s="16">
        <v>40283</v>
      </c>
      <c r="N471" s="60">
        <f ca="1">VALUE(LEFT(C471))</f>
        <v>3</v>
      </c>
      <c r="O471" s="61">
        <f ca="1">INT(IF(N471&gt;0,1+MAX(N471*N471-(IF(D471="",TODAY()+(5-N471)*15,D471)-TODAY())/4,N471),IF(TODAY()-M471&gt;10,0,1)))</f>
        <v>4</v>
      </c>
      <c r="P471" s="1" t="str">
        <f ca="1">IF(ISNA(VLOOKUP(A471,Projects!B:B,1,FALSE)),"","Yes")</f>
        <v/>
      </c>
    </row>
    <row r="472" spans="1:16">
      <c r="A472" s="4" t="s">
        <v>1077</v>
      </c>
      <c r="B472" s="5" t="s">
        <v>11</v>
      </c>
      <c r="C472" s="7" t="s">
        <v>10</v>
      </c>
      <c r="D472" s="11"/>
      <c r="F472" s="13" t="str">
        <f ca="1">VLOOKUP(LEFT(A472,IF(ISERROR(FIND(".",A472)),LEN(A472)+1,FIND(".",A472))-1),WorkList!A:C,3,FALSE)</f>
        <v>Radial / Totoro / Other</v>
      </c>
      <c r="G472" s="14" t="str">
        <f ca="1">VLOOKUP(CONCATENATE(A472),WorkList!A:C,3,FALSE)</f>
        <v>Turn off feed to QDB</v>
      </c>
      <c r="H472" s="13" t="str">
        <f ca="1">VLOOKUP(CONCATENATE(A472),WorkList!A:D,4,FALSE)</f>
        <v>Neil</v>
      </c>
      <c r="I472" s="15">
        <f ca="1">VLOOKUP(CONCATENATE(A472),WorkList!A:E,5,FALSE)</f>
        <v>40304</v>
      </c>
      <c r="J472" s="49">
        <f ca="1">VLOOKUP(CONCATENATE(A472),WorkList!A:F,6,FALSE)</f>
        <v>2</v>
      </c>
      <c r="K472" s="49" t="str">
        <f ca="1">VLOOKUP(CONCATENATE(A472),WorkList!A:G,7,FALSE)</f>
        <v>Enhancement</v>
      </c>
      <c r="L472" s="7" t="s">
        <v>5</v>
      </c>
      <c r="M472" s="16">
        <v>40287</v>
      </c>
      <c r="N472" s="60">
        <f ca="1">VALUE(LEFT(C472))</f>
        <v>3</v>
      </c>
      <c r="O472" s="61">
        <f ca="1">INT(IF(N472&gt;0,1+MAX(N472*N472-(IF(D472="",TODAY()+(5-N472)*15,D472)-TODAY())/4,N472),IF(TODAY()-M472&gt;10,0,1)))</f>
        <v>4</v>
      </c>
      <c r="P472" s="1" t="str">
        <f ca="1">IF(ISNA(VLOOKUP(A472,Projects!B:B,1,FALSE)),"","Yes")</f>
        <v/>
      </c>
    </row>
    <row r="473" spans="1:16">
      <c r="A473" s="4" t="s">
        <v>1076</v>
      </c>
      <c r="B473" s="5" t="s">
        <v>11</v>
      </c>
      <c r="C473" s="6" t="s">
        <v>48</v>
      </c>
      <c r="D473" s="11"/>
      <c r="F473" s="13" t="str">
        <f ca="1">VLOOKUP(LEFT(A473,IF(ISERROR(FIND(".",A473)),LEN(A473)+1,FIND(".",A473))-1),WorkList!A:C,3,FALSE)</f>
        <v>Radial / Totoro / Other</v>
      </c>
      <c r="G473" s="14" t="str">
        <f ca="1">VLOOKUP(CONCATENATE(A473),WorkList!A:C,3,FALSE)</f>
        <v>Find appropriate mechanism to download BBG data</v>
      </c>
      <c r="H473" s="13" t="str">
        <f ca="1">VLOOKUP(CONCATENATE(A473),WorkList!A:D,4,FALSE)</f>
        <v>Neil</v>
      </c>
      <c r="I473" s="15">
        <f ca="1">VLOOKUP(CONCATENATE(A473),WorkList!A:E,5,FALSE)</f>
        <v>40287</v>
      </c>
      <c r="J473" s="49">
        <f ca="1">VLOOKUP(CONCATENATE(A473),WorkList!A:F,6,FALSE)</f>
        <v>2</v>
      </c>
      <c r="K473" s="49" t="str">
        <f ca="1">VLOOKUP(CONCATENATE(A473),WorkList!A:G,7,FALSE)</f>
        <v>Enhancement</v>
      </c>
      <c r="L473" s="7" t="s">
        <v>13</v>
      </c>
      <c r="M473" s="16">
        <v>40567</v>
      </c>
      <c r="N473" s="60">
        <f ca="1">VALUE(LEFT(C473))</f>
        <v>0</v>
      </c>
      <c r="O473" s="61">
        <f ca="1">INT(IF(N473&gt;0,1+MAX(N473*N473-(IF(D473="",TODAY()+(5-N473)*15,D473)-TODAY())/4,N473),IF(TODAY()-M473&gt;10,0,1)))</f>
        <v>0</v>
      </c>
      <c r="P473" s="1" t="str">
        <f ca="1">IF(ISNA(VLOOKUP(A473,Projects!B:B,1,FALSE)),"","Yes")</f>
        <v/>
      </c>
    </row>
    <row r="474" spans="1:16">
      <c r="A474" s="4" t="s">
        <v>1469</v>
      </c>
      <c r="B474" s="5" t="s">
        <v>1159</v>
      </c>
      <c r="C474" s="6" t="s">
        <v>48</v>
      </c>
      <c r="D474" s="11"/>
      <c r="F474" s="13" t="str">
        <f ca="1">VLOOKUP(LEFT(A474,IF(ISERROR(FIND(".",A474)),LEN(A474)+1,FIND(".",A474))-1),WorkList!A:C,3,FALSE)</f>
        <v>Radial / Totoro / Other</v>
      </c>
      <c r="G474" s="14" t="str">
        <f ca="1">VLOOKUP(CONCATENATE(A474),WorkList!A:C,3,FALSE)</f>
        <v>BBG Rates: Requirements</v>
      </c>
      <c r="H474" s="13" t="str">
        <f ca="1">VLOOKUP(CONCATENATE(A474),WorkList!A:D,4,FALSE)</f>
        <v>Neil</v>
      </c>
      <c r="I474" s="15">
        <f ca="1">VLOOKUP(CONCATENATE(A474),WorkList!A:E,5,FALSE)</f>
        <v>40429</v>
      </c>
      <c r="J474" s="49">
        <f ca="1">VLOOKUP(CONCATENATE(A474),WorkList!A:F,6,FALSE)</f>
        <v>1</v>
      </c>
      <c r="K474" s="49" t="str">
        <f ca="1">VLOOKUP(CONCATENATE(A474),WorkList!A:G,7,FALSE)</f>
        <v>NewDevelopment</v>
      </c>
      <c r="L474" s="7" t="s">
        <v>13</v>
      </c>
      <c r="M474" s="16">
        <v>40452</v>
      </c>
      <c r="N474" s="60">
        <f ca="1">VALUE(LEFT(C474))</f>
        <v>0</v>
      </c>
      <c r="O474" s="61">
        <f ca="1">INT(IF(N474&gt;0,1+MAX(N474*N474-(IF(D474="",TODAY()+(5-N474)*15,D474)-TODAY())/4,N474),IF(TODAY()-M474&gt;10,0,1)))</f>
        <v>0</v>
      </c>
      <c r="P474" s="1" t="str">
        <f ca="1">IF(ISNA(VLOOKUP(A474,Projects!B:B,1,FALSE)),"","Yes")</f>
        <v>Yes</v>
      </c>
    </row>
    <row r="475" spans="1:16">
      <c r="A475" s="4" t="s">
        <v>1471</v>
      </c>
      <c r="B475" s="5" t="s">
        <v>1159</v>
      </c>
      <c r="C475" s="6" t="s">
        <v>48</v>
      </c>
      <c r="D475" s="11"/>
      <c r="F475" s="13" t="str">
        <f ca="1">VLOOKUP(LEFT(A475,IF(ISERROR(FIND(".",A475)),LEN(A475)+1,FIND(".",A475))-1),WorkList!A:C,3,FALSE)</f>
        <v>Radial / Totoro / Other</v>
      </c>
      <c r="G475" s="14" t="str">
        <f ca="1">VLOOKUP(CONCATENATE(A475),WorkList!A:C,3,FALSE)</f>
        <v>BBG Rates: Design</v>
      </c>
      <c r="H475" s="13" t="str">
        <f ca="1">VLOOKUP(CONCATENATE(A475),WorkList!A:D,4,FALSE)</f>
        <v>Neil</v>
      </c>
      <c r="I475" s="15">
        <f ca="1">VLOOKUP(CONCATENATE(A475),WorkList!A:E,5,FALSE)</f>
        <v>40429</v>
      </c>
      <c r="J475" s="49">
        <f ca="1">VLOOKUP(CONCATENATE(A475),WorkList!A:F,6,FALSE)</f>
        <v>1</v>
      </c>
      <c r="K475" s="49" t="str">
        <f ca="1">VLOOKUP(CONCATENATE(A475),WorkList!A:G,7,FALSE)</f>
        <v>NewDevelopment</v>
      </c>
      <c r="L475" s="7" t="s">
        <v>13</v>
      </c>
      <c r="M475" s="16">
        <v>40452</v>
      </c>
      <c r="N475" s="60">
        <f ca="1">VALUE(LEFT(C475))</f>
        <v>0</v>
      </c>
      <c r="O475" s="61">
        <f ca="1">INT(IF(N475&gt;0,1+MAX(N475*N475-(IF(D475="",TODAY()+(5-N475)*15,D475)-TODAY())/4,N475),IF(TODAY()-M475&gt;10,0,1)))</f>
        <v>0</v>
      </c>
    </row>
    <row r="476" spans="1:16">
      <c r="A476" s="4" t="s">
        <v>1473</v>
      </c>
      <c r="B476" s="5" t="s">
        <v>11</v>
      </c>
      <c r="C476" s="6" t="s">
        <v>48</v>
      </c>
      <c r="D476" s="11"/>
      <c r="F476" s="13" t="str">
        <f ca="1">VLOOKUP(LEFT(A476,IF(ISERROR(FIND(".",A476)),LEN(A476)+1,FIND(".",A476))-1),WorkList!A:C,3,FALSE)</f>
        <v>Radial / Totoro / Other</v>
      </c>
      <c r="G476" s="14" t="str">
        <f ca="1">VLOOKUP(CONCATENATE(A476),WorkList!A:C,3,FALSE)</f>
        <v>BBG Rates: Design Review</v>
      </c>
      <c r="H476" s="13" t="str">
        <f ca="1">VLOOKUP(CONCATENATE(A476),WorkList!A:D,4,FALSE)</f>
        <v>Neil</v>
      </c>
      <c r="I476" s="15">
        <f ca="1">VLOOKUP(CONCATENATE(A476),WorkList!A:E,5,FALSE)</f>
        <v>40429</v>
      </c>
      <c r="J476" s="49">
        <f ca="1">VLOOKUP(CONCATENATE(A476),WorkList!A:F,6,FALSE)</f>
        <v>1</v>
      </c>
      <c r="K476" s="49" t="str">
        <f ca="1">VLOOKUP(CONCATENATE(A476),WorkList!A:G,7,FALSE)</f>
        <v>NewDevelopment</v>
      </c>
      <c r="L476" s="7" t="s">
        <v>13</v>
      </c>
      <c r="M476" s="16">
        <v>40452</v>
      </c>
      <c r="N476" s="60">
        <f ca="1">VALUE(LEFT(C476))</f>
        <v>0</v>
      </c>
      <c r="O476" s="61">
        <f ca="1">INT(IF(N476&gt;0,1+MAX(N476*N476-(IF(D476="",TODAY()+(5-N476)*15,D476)-TODAY())/4,N476),IF(TODAY()-M476&gt;10,0,1)))</f>
        <v>0</v>
      </c>
      <c r="P476" s="1" t="str">
        <f ca="1">IF(ISNA(VLOOKUP(A476,Projects!B:B,1,FALSE)),"","Yes")</f>
        <v>Yes</v>
      </c>
    </row>
    <row r="477" spans="1:16">
      <c r="A477" s="4" t="s">
        <v>1475</v>
      </c>
      <c r="B477" s="5" t="s">
        <v>1159</v>
      </c>
      <c r="C477" s="7" t="s">
        <v>48</v>
      </c>
      <c r="D477" s="11"/>
      <c r="F477" s="13" t="str">
        <f ca="1">VLOOKUP(LEFT(A477,IF(ISERROR(FIND(".",A477)),LEN(A477)+1,FIND(".",A477))-1),WorkList!A:C,3,FALSE)</f>
        <v>Radial / Totoro / Other</v>
      </c>
      <c r="G477" s="14" t="str">
        <f ca="1">VLOOKUP(CONCATENATE(A477),WorkList!A:C,3,FALSE)</f>
        <v>BBG Rates: Implement</v>
      </c>
      <c r="H477" s="13" t="str">
        <f ca="1">VLOOKUP(CONCATENATE(A477),WorkList!A:D,4,FALSE)</f>
        <v>Neil</v>
      </c>
      <c r="I477" s="15">
        <f ca="1">VLOOKUP(CONCATENATE(A477),WorkList!A:E,5,FALSE)</f>
        <v>40429</v>
      </c>
      <c r="J477" s="49">
        <f ca="1">VLOOKUP(CONCATENATE(A477),WorkList!A:F,6,FALSE)</f>
        <v>5</v>
      </c>
      <c r="K477" s="49" t="str">
        <f ca="1">VLOOKUP(CONCATENATE(A477),WorkList!A:G,7,FALSE)</f>
        <v>NewDevelopment</v>
      </c>
      <c r="L477" s="7" t="s">
        <v>13</v>
      </c>
      <c r="M477" s="16">
        <v>40443</v>
      </c>
      <c r="N477" s="60">
        <f ca="1">VALUE(LEFT(C477))</f>
        <v>0</v>
      </c>
      <c r="O477" s="61">
        <f ca="1">INT(IF(N477&gt;0,1+MAX(N477*N477-(IF(D477="",TODAY()+(5-N477)*15,D477)-TODAY())/4,N477),IF(TODAY()-M477&gt;10,0,1)))</f>
        <v>0</v>
      </c>
    </row>
    <row r="478" spans="1:16">
      <c r="A478" s="4" t="s">
        <v>1479</v>
      </c>
      <c r="B478" s="5" t="s">
        <v>685</v>
      </c>
      <c r="C478" s="7" t="s">
        <v>48</v>
      </c>
      <c r="D478" s="11"/>
      <c r="F478" s="13" t="str">
        <f ca="1">VLOOKUP(LEFT(A478,IF(ISERROR(FIND(".",A478)),LEN(A478)+1,FIND(".",A478))-1),WorkList!A:C,3,FALSE)</f>
        <v>Radial / Totoro / Other</v>
      </c>
      <c r="G478" s="14" t="str">
        <f ca="1">VLOOKUP(CONCATENATE(A478),WorkList!A:C,3,FALSE)</f>
        <v>BBG Rates: Code Review</v>
      </c>
      <c r="H478" s="13" t="str">
        <f ca="1">VLOOKUP(CONCATENATE(A478),WorkList!A:D,4,FALSE)</f>
        <v>Neil</v>
      </c>
      <c r="I478" s="15">
        <f ca="1">VLOOKUP(CONCATENATE(A478),WorkList!A:E,5,FALSE)</f>
        <v>40429</v>
      </c>
      <c r="J478" s="49">
        <f ca="1">VLOOKUP(CONCATENATE(A478),WorkList!A:F,6,FALSE)</f>
        <v>1</v>
      </c>
      <c r="K478" s="49" t="str">
        <f ca="1">VLOOKUP(CONCATENATE(A478),WorkList!A:G,7,FALSE)</f>
        <v>NewDevelopment</v>
      </c>
      <c r="L478" s="7" t="s">
        <v>13</v>
      </c>
      <c r="M478" s="16">
        <v>40521</v>
      </c>
      <c r="N478" s="60">
        <f ca="1">VALUE(LEFT(C478))</f>
        <v>0</v>
      </c>
      <c r="O478" s="61">
        <f ca="1">INT(IF(N478&gt;0,1+MAX(N478*N478-(IF(D478="",TODAY()+(5-N478)*15,D478)-TODAY())/4,N478),IF(TODAY()-M478&gt;10,0,1)))</f>
        <v>0</v>
      </c>
    </row>
    <row r="479" spans="1:16">
      <c r="A479" s="4" t="s">
        <v>1480</v>
      </c>
      <c r="B479" s="5" t="s">
        <v>1159</v>
      </c>
      <c r="C479" s="7" t="s">
        <v>48</v>
      </c>
      <c r="D479" s="11"/>
      <c r="F479" s="13" t="str">
        <f ca="1">VLOOKUP(LEFT(A479,IF(ISERROR(FIND(".",A479)),LEN(A479)+1,FIND(".",A479))-1),WorkList!A:C,3,FALSE)</f>
        <v>Radial / Totoro / Other</v>
      </c>
      <c r="G479" s="14" t="str">
        <f ca="1">VLOOKUP(CONCATENATE(A479),WorkList!A:C,3,FALSE)</f>
        <v>BBG Rates: Test and Release</v>
      </c>
      <c r="H479" s="13" t="str">
        <f ca="1">VLOOKUP(CONCATENATE(A479),WorkList!A:D,4,FALSE)</f>
        <v>Neil</v>
      </c>
      <c r="I479" s="15">
        <f ca="1">VLOOKUP(CONCATENATE(A479),WorkList!A:E,5,FALSE)</f>
        <v>40429</v>
      </c>
      <c r="J479" s="49">
        <f ca="1">VLOOKUP(CONCATENATE(A479),WorkList!A:F,6,FALSE)</f>
        <v>3</v>
      </c>
      <c r="K479" s="49" t="str">
        <f ca="1">VLOOKUP(CONCATENATE(A479),WorkList!A:G,7,FALSE)</f>
        <v>NewDevelopment</v>
      </c>
      <c r="L479" s="7" t="s">
        <v>13</v>
      </c>
      <c r="M479" s="16">
        <v>40521</v>
      </c>
      <c r="N479" s="60">
        <f ca="1">VALUE(LEFT(C479))</f>
        <v>0</v>
      </c>
      <c r="O479" s="61">
        <f ca="1">INT(IF(N479&gt;0,1+MAX(N479*N479-(IF(D479="",TODAY()+(5-N479)*15,D479)-TODAY())/4,N479),IF(TODAY()-M479&gt;10,0,1)))</f>
        <v>0</v>
      </c>
    </row>
    <row r="480" spans="1:16">
      <c r="A480" s="4" t="s">
        <v>1597</v>
      </c>
      <c r="B480" s="5" t="s">
        <v>21</v>
      </c>
      <c r="C480" s="7" t="s">
        <v>10</v>
      </c>
      <c r="F480" s="13" t="str">
        <f ca="1">VLOOKUP(LEFT(A480,IF(ISERROR(FIND(".",A480)),LEN(A480)+1,FIND(".",A480))-1),WorkList!A:C,3,FALSE)</f>
        <v>Radial / Totoro / Other</v>
      </c>
      <c r="G480" s="14" t="str">
        <f ca="1">VLOOKUP(CONCATENATE(A480),WorkList!A:C,3,FALSE)</f>
        <v>Find a way to handle Fingal Exceptions</v>
      </c>
      <c r="H480" s="13" t="str">
        <f ca="1">VLOOKUP(CONCATENATE(A480),WorkList!A:D,4,FALSE)</f>
        <v>Neil</v>
      </c>
      <c r="I480" s="15">
        <f ca="1">VLOOKUP(CONCATENATE(A480),WorkList!A:E,5,FALSE)</f>
        <v>40459</v>
      </c>
      <c r="J480" s="49">
        <f ca="1">VLOOKUP(CONCATENATE(A480),WorkList!A:F,6,FALSE)</f>
        <v>1</v>
      </c>
      <c r="K480" s="49" t="str">
        <f ca="1">VLOOKUP(CONCATENATE(A480),WorkList!A:G,7,FALSE)</f>
        <v>Enhancement</v>
      </c>
      <c r="L480" s="7" t="s">
        <v>7</v>
      </c>
      <c r="M480" s="16">
        <v>40459</v>
      </c>
      <c r="N480" s="60">
        <f ca="1">VALUE(LEFT(C480))</f>
        <v>3</v>
      </c>
      <c r="O480" s="61">
        <f ca="1">INT(IF(N480&gt;0,1+MAX(N480*N480-(IF(D480="",TODAY()+(5-N480)*15,D480)-TODAY())/4,N480),IF(TODAY()-M480&gt;10,0,1)))</f>
        <v>4</v>
      </c>
      <c r="P480" s="1" t="str">
        <f ca="1">IF(ISNA(VLOOKUP(A480,Projects!B:B,1,FALSE)),"","Yes")</f>
        <v/>
      </c>
    </row>
    <row r="481" spans="1:16">
      <c r="A481" s="4" t="s">
        <v>216</v>
      </c>
      <c r="B481" s="5" t="s">
        <v>11</v>
      </c>
      <c r="C481" s="6" t="s">
        <v>48</v>
      </c>
      <c r="D481" s="11"/>
      <c r="F481" s="13" t="str">
        <f ca="1">VLOOKUP(LEFT(A481,IF(ISERROR(FIND(".",A481)),LEN(A481)+1,FIND(".",A481))-1),WorkList!A:C,3,FALSE)</f>
        <v>Admin</v>
      </c>
      <c r="G481" s="14" t="str">
        <f ca="1">VLOOKUP(CONCATENATE(A481),WorkList!A:C,3,FALSE)</f>
        <v>Turn audit items into plan items</v>
      </c>
      <c r="H481" s="13" t="str">
        <f ca="1">VLOOKUP(CONCATENATE(A481),WorkList!A:D,4,FALSE)</f>
        <v>Neil</v>
      </c>
      <c r="I481" s="15">
        <f ca="1">VLOOKUP(CONCATENATE(A481),WorkList!A:E,5,FALSE)</f>
        <v>39959</v>
      </c>
      <c r="J481" s="49">
        <f ca="1">VLOOKUP(CONCATENATE(A481),WorkList!A:F,6,FALSE)</f>
        <v>0</v>
      </c>
      <c r="K481" s="49">
        <f ca="1">VLOOKUP(CONCATENATE(A481),WorkList!A:G,7,FALSE)</f>
        <v>0</v>
      </c>
      <c r="L481" s="7" t="s">
        <v>13</v>
      </c>
      <c r="M481" s="16">
        <v>39975</v>
      </c>
      <c r="N481" s="60">
        <f ca="1">VALUE(LEFT(C481))</f>
        <v>0</v>
      </c>
      <c r="O481" s="61">
        <f ca="1">INT(IF(N481&gt;0,1+MAX(N481*N481-(IF(D481="",TODAY()+(5-N481)*15,D481)-TODAY())/4,N481),IF(TODAY()-M481&gt;10,0,1)))</f>
        <v>0</v>
      </c>
      <c r="P481" s="1" t="str">
        <f ca="1">IF(ISNA(VLOOKUP(A481,Projects!B:B,1,FALSE)),"","Yes")</f>
        <v/>
      </c>
    </row>
    <row r="482" spans="1:16">
      <c r="A482" s="4" t="s">
        <v>224</v>
      </c>
      <c r="B482" s="5" t="s">
        <v>11</v>
      </c>
      <c r="C482" s="6" t="s">
        <v>48</v>
      </c>
      <c r="D482" s="11"/>
      <c r="F482" s="13" t="str">
        <f ca="1">VLOOKUP(LEFT(A482,IF(ISERROR(FIND(".",A482)),LEN(A482)+1,FIND(".",A482))-1),WorkList!A:C,3,FALSE)</f>
        <v>Admin</v>
      </c>
      <c r="G482" s="14" t="str">
        <f ca="1">VLOOKUP(CONCATENATE(A482),WorkList!A:C,3,FALSE)</f>
        <v>Set up Remedy group</v>
      </c>
      <c r="H482" s="13" t="str">
        <f ca="1">VLOOKUP(CONCATENATE(A482),WorkList!A:D,4,FALSE)</f>
        <v>Compliance</v>
      </c>
      <c r="I482" s="15">
        <f ca="1">VLOOKUP(CONCATENATE(A482),WorkList!A:E,5,FALSE)</f>
        <v>39975</v>
      </c>
      <c r="J482" s="49">
        <f ca="1">VLOOKUP(CONCATENATE(A482),WorkList!A:F,6,FALSE)</f>
        <v>0</v>
      </c>
      <c r="K482" s="49">
        <f ca="1">VLOOKUP(CONCATENATE(A482),WorkList!A:G,7,FALSE)</f>
        <v>0</v>
      </c>
      <c r="L482" s="7" t="s">
        <v>13</v>
      </c>
      <c r="M482" s="16">
        <v>40085</v>
      </c>
      <c r="N482" s="60">
        <f ca="1">VALUE(LEFT(C482))</f>
        <v>0</v>
      </c>
      <c r="O482" s="61">
        <f ca="1">INT(IF(N482&gt;0,1+MAX(N482*N482-(IF(D482="",TODAY()+(5-N482)*15,D482)-TODAY())/4,N482),IF(TODAY()-M482&gt;10,0,1)))</f>
        <v>0</v>
      </c>
      <c r="P482" s="1" t="str">
        <f ca="1">IF(ISNA(VLOOKUP(A482,Projects!B:B,1,FALSE)),"","Yes")</f>
        <v/>
      </c>
    </row>
    <row r="483" spans="1:16" ht="25.5">
      <c r="A483" s="4" t="s">
        <v>269</v>
      </c>
      <c r="B483" s="5" t="s">
        <v>11</v>
      </c>
      <c r="C483" s="6" t="s">
        <v>48</v>
      </c>
      <c r="D483" s="11"/>
      <c r="F483" s="13" t="str">
        <f ca="1">VLOOKUP(LEFT(A483,IF(ISERROR(FIND(".",A483)),LEN(A483)+1,FIND(".",A483))-1),WorkList!A:C,3,FALSE)</f>
        <v>Admin</v>
      </c>
      <c r="G483" s="14" t="str">
        <f ca="1">VLOOKUP(CONCATENATE(A483),WorkList!A:C,3,FALSE)</f>
        <v>Meet with DBA to determine suitable access to production database.</v>
      </c>
      <c r="H483" s="13" t="str">
        <f ca="1">VLOOKUP(CONCATENATE(A483),WorkList!A:D,4,FALSE)</f>
        <v>Compliance</v>
      </c>
      <c r="I483" s="15">
        <f ca="1">VLOOKUP(CONCATENATE(A483),WorkList!A:E,5,FALSE)</f>
        <v>39975</v>
      </c>
      <c r="J483" s="49">
        <f ca="1">VLOOKUP(CONCATENATE(A483),WorkList!A:F,6,FALSE)</f>
        <v>0</v>
      </c>
      <c r="K483" s="49">
        <f ca="1">VLOOKUP(CONCATENATE(A483),WorkList!A:G,7,FALSE)</f>
        <v>0</v>
      </c>
      <c r="L483" s="7" t="s">
        <v>13</v>
      </c>
      <c r="M483" s="16">
        <v>40071</v>
      </c>
      <c r="N483" s="60">
        <f ca="1">VALUE(LEFT(C483))</f>
        <v>0</v>
      </c>
      <c r="O483" s="61">
        <f ca="1">INT(IF(N483&gt;0,1+MAX(N483*N483-(IF(D483="",TODAY()+(5-N483)*15,D483)-TODAY())/4,N483),IF(TODAY()-M483&gt;10,0,1)))</f>
        <v>0</v>
      </c>
      <c r="P483" s="1" t="str">
        <f ca="1">IF(ISNA(VLOOKUP(A483,Projects!B:B,1,FALSE)),"","Yes")</f>
        <v/>
      </c>
    </row>
    <row r="484" spans="1:16">
      <c r="A484" s="4" t="s">
        <v>271</v>
      </c>
      <c r="B484" s="5" t="s">
        <v>11</v>
      </c>
      <c r="C484" s="6" t="s">
        <v>48</v>
      </c>
      <c r="D484" s="11"/>
      <c r="F484" s="13" t="str">
        <f ca="1">VLOOKUP(LEFT(A484,IF(ISERROR(FIND(".",A484)),LEN(A484)+1,FIND(".",A484))-1),WorkList!A:C,3,FALSE)</f>
        <v>Admin</v>
      </c>
      <c r="G484" s="14" t="str">
        <f ca="1">VLOOKUP(CONCATENATE(A484),WorkList!A:C,3,FALSE)</f>
        <v>Write up DR plan</v>
      </c>
      <c r="H484" s="13" t="str">
        <f ca="1">VLOOKUP(CONCATENATE(A484),WorkList!A:D,4,FALSE)</f>
        <v>Compliance</v>
      </c>
      <c r="I484" s="15">
        <f ca="1">VLOOKUP(CONCATENATE(A484),WorkList!A:E,5,FALSE)</f>
        <v>39975</v>
      </c>
      <c r="J484" s="49">
        <f ca="1">VLOOKUP(CONCATENATE(A484),WorkList!A:F,6,FALSE)</f>
        <v>0</v>
      </c>
      <c r="K484" s="49">
        <f ca="1">VLOOKUP(CONCATENATE(A484),WorkList!A:G,7,FALSE)</f>
        <v>0</v>
      </c>
      <c r="L484" s="7" t="s">
        <v>13</v>
      </c>
      <c r="M484" s="16">
        <v>40045</v>
      </c>
      <c r="N484" s="60">
        <f ca="1">VALUE(LEFT(C484))</f>
        <v>0</v>
      </c>
      <c r="O484" s="61">
        <f ca="1">INT(IF(N484&gt;0,1+MAX(N484*N484-(IF(D484="",TODAY()+(5-N484)*15,D484)-TODAY())/4,N484),IF(TODAY()-M484&gt;10,0,1)))</f>
        <v>0</v>
      </c>
      <c r="P484" s="1" t="str">
        <f ca="1">IF(ISNA(VLOOKUP(A484,Projects!B:B,1,FALSE)),"","Yes")</f>
        <v/>
      </c>
    </row>
    <row r="485" spans="1:16">
      <c r="A485" s="4" t="s">
        <v>429</v>
      </c>
      <c r="B485" s="5" t="s">
        <v>11</v>
      </c>
      <c r="C485" s="4" t="s">
        <v>48</v>
      </c>
      <c r="D485" s="11"/>
      <c r="F485" s="13" t="str">
        <f ca="1">VLOOKUP(LEFT(A485,IF(ISERROR(FIND(".",A485)),LEN(A485)+1,FIND(".",A485))-1),WorkList!A:C,3,FALSE)</f>
        <v>Admin</v>
      </c>
      <c r="G485" s="14" t="str">
        <f ca="1">VLOOKUP(CONCATENATE(A485),WorkList!A:C,3,FALSE)</f>
        <v>SP for QDB to get factor changes</v>
      </c>
      <c r="H485" s="13" t="str">
        <f ca="1">VLOOKUP(CONCATENATE(A485),WorkList!A:D,4,FALSE)</f>
        <v>Compliance</v>
      </c>
      <c r="I485" s="15">
        <f ca="1">VLOOKUP(CONCATENATE(A485),WorkList!A:E,5,FALSE)</f>
        <v>40050</v>
      </c>
      <c r="J485" s="49">
        <f ca="1">VLOOKUP(CONCATENATE(A485),WorkList!A:F,6,FALSE)</f>
        <v>0</v>
      </c>
      <c r="K485" s="49">
        <f ca="1">VLOOKUP(CONCATENATE(A485),WorkList!A:G,7,FALSE)</f>
        <v>0</v>
      </c>
      <c r="L485" s="7" t="s">
        <v>13</v>
      </c>
      <c r="M485" s="16">
        <v>40086</v>
      </c>
      <c r="N485" s="60">
        <f ca="1">VALUE(LEFT(C485))</f>
        <v>0</v>
      </c>
      <c r="O485" s="61">
        <f ca="1">INT(IF(N485&gt;0,1+MAX(N485*N485-(IF(D485="",TODAY()+(5-N485)*15,D485)-TODAY())/4,N485),IF(TODAY()-M485&gt;10,0,1)))</f>
        <v>0</v>
      </c>
      <c r="P485" s="1" t="str">
        <f ca="1">IF(ISNA(VLOOKUP(A485,Projects!B:B,1,FALSE)),"","Yes")</f>
        <v/>
      </c>
    </row>
    <row r="486" spans="1:16">
      <c r="A486" s="4" t="s">
        <v>915</v>
      </c>
      <c r="B486" s="5" t="s">
        <v>11</v>
      </c>
      <c r="C486" s="7" t="s">
        <v>48</v>
      </c>
      <c r="D486" s="11"/>
      <c r="F486" s="13" t="str">
        <f ca="1">VLOOKUP(LEFT(A486,IF(ISERROR(FIND(".",A486)),LEN(A486)+1,FIND(".",A486))-1),WorkList!A:C,3,FALSE)</f>
        <v>Admin</v>
      </c>
      <c r="G486" s="14" t="str">
        <f ca="1">VLOOKUP(CONCATENATE(A486),WorkList!A:C,3,FALSE)</f>
        <v>Change Management procedures</v>
      </c>
      <c r="H486" s="13" t="str">
        <f ca="1">VLOOKUP(CONCATENATE(A486),WorkList!A:D,4,FALSE)</f>
        <v>Compliance</v>
      </c>
      <c r="I486" s="15">
        <f ca="1">VLOOKUP(CONCATENATE(A486),WorkList!A:E,5,FALSE)</f>
        <v>40072</v>
      </c>
      <c r="J486" s="49">
        <f ca="1">VLOOKUP(CONCATENATE(A486),WorkList!A:F,6,FALSE)</f>
        <v>0</v>
      </c>
      <c r="K486" s="49">
        <f ca="1">VLOOKUP(CONCATENATE(A486),WorkList!A:G,7,FALSE)</f>
        <v>0</v>
      </c>
      <c r="L486" s="7" t="s">
        <v>13</v>
      </c>
      <c r="M486" s="16">
        <v>40225</v>
      </c>
      <c r="N486" s="60">
        <f ca="1">VALUE(LEFT(C486))</f>
        <v>0</v>
      </c>
      <c r="O486" s="61">
        <f ca="1">INT(IF(N486&gt;0,1+MAX(N486*N486-(IF(D486="",TODAY()+(5-N486)*15,D486)-TODAY())/4,N486),IF(TODAY()-M486&gt;10,0,1)))</f>
        <v>0</v>
      </c>
      <c r="P486" s="1" t="str">
        <f ca="1">IF(ISNA(VLOOKUP(A486,Projects!B:B,1,FALSE)),"","Yes")</f>
        <v/>
      </c>
    </row>
    <row r="487" spans="1:16">
      <c r="A487" s="4" t="s">
        <v>917</v>
      </c>
      <c r="B487" s="5" t="s">
        <v>11</v>
      </c>
      <c r="C487" s="6" t="s">
        <v>48</v>
      </c>
      <c r="D487" s="11"/>
      <c r="F487" s="13" t="str">
        <f ca="1">VLOOKUP(LEFT(A487,IF(ISERROR(FIND(".",A487)),LEN(A487)+1,FIND(".",A487))-1),WorkList!A:C,3,FALSE)</f>
        <v>Admin</v>
      </c>
      <c r="G487" s="14" t="str">
        <f ca="1">VLOOKUP(CONCATENATE(A487),WorkList!A:C,3,FALSE)</f>
        <v>Use 'NSAM' for all changes</v>
      </c>
      <c r="H487" s="13" t="str">
        <f ca="1">VLOOKUP(CONCATENATE(A487),WorkList!A:D,4,FALSE)</f>
        <v>Dan Balsom</v>
      </c>
      <c r="I487" s="15">
        <f ca="1">VLOOKUP(CONCATENATE(A487),WorkList!A:E,5,FALSE)</f>
        <v>40225</v>
      </c>
      <c r="J487" s="49">
        <f ca="1">VLOOKUP(CONCATENATE(A487),WorkList!A:F,6,FALSE)</f>
        <v>0</v>
      </c>
      <c r="K487" s="49">
        <f ca="1">VLOOKUP(CONCATENATE(A487),WorkList!A:G,7,FALSE)</f>
        <v>0</v>
      </c>
      <c r="L487" s="7" t="s">
        <v>13</v>
      </c>
      <c r="M487" s="16">
        <v>40233</v>
      </c>
      <c r="N487" s="60">
        <f ca="1">VALUE(LEFT(C487))</f>
        <v>0</v>
      </c>
      <c r="O487" s="61">
        <f ca="1">INT(IF(N487&gt;0,1+MAX(N487*N487-(IF(D487="",TODAY()+(5-N487)*15,D487)-TODAY())/4,N487),IF(TODAY()-M487&gt;10,0,1)))</f>
        <v>0</v>
      </c>
      <c r="P487" s="1" t="str">
        <f ca="1">IF(ISNA(VLOOKUP(A487,Projects!B:B,1,FALSE)),"","Yes")</f>
        <v/>
      </c>
    </row>
    <row r="488" spans="1:16">
      <c r="A488" s="4" t="s">
        <v>1025</v>
      </c>
      <c r="B488" s="5" t="s">
        <v>1159</v>
      </c>
      <c r="C488" s="6" t="s">
        <v>12</v>
      </c>
      <c r="D488" s="11"/>
      <c r="F488" s="13" t="str">
        <f ca="1">VLOOKUP(LEFT(A488,IF(ISERROR(FIND(".",A488)),LEN(A488)+1,FIND(".",A488))-1),WorkList!A:C,3,FALSE)</f>
        <v>Admin</v>
      </c>
      <c r="G488" s="14" t="str">
        <f ca="1">VLOOKUP(CONCATENATE(A488),WorkList!A:C,3,FALSE)</f>
        <v>Design Triggers for Auditing</v>
      </c>
      <c r="H488" s="13" t="str">
        <f ca="1">VLOOKUP(CONCATENATE(A488),WorkList!A:D,4,FALSE)</f>
        <v>Neil</v>
      </c>
      <c r="I488" s="15">
        <f ca="1">VLOOKUP(CONCATENATE(A488),WorkList!A:E,5,FALSE)</f>
        <v>40274</v>
      </c>
      <c r="J488" s="49">
        <f ca="1">VLOOKUP(CONCATENATE(A488),WorkList!A:F,6,FALSE)</f>
        <v>0.5</v>
      </c>
      <c r="K488" s="49" t="str">
        <f ca="1">VLOOKUP(CONCATENATE(A488),WorkList!A:G,7,FALSE)</f>
        <v>Enhancement</v>
      </c>
      <c r="L488" s="7" t="s">
        <v>7</v>
      </c>
      <c r="M488" s="16">
        <v>40505</v>
      </c>
      <c r="N488" s="60">
        <f ca="1">VALUE(LEFT(C488))</f>
        <v>4</v>
      </c>
      <c r="O488" s="61">
        <f ca="1">INT(IF(N488&gt;0,1+MAX(N488*N488-(IF(D488="",TODAY()+(5-N488)*15,D488)-TODAY())/4,N488),IF(TODAY()-M488&gt;10,0,1)))</f>
        <v>13</v>
      </c>
      <c r="P488" s="1" t="str">
        <f ca="1">IF(ISNA(VLOOKUP(A488,Projects!B:B,1,FALSE)),"","Yes")</f>
        <v/>
      </c>
    </row>
    <row r="489" spans="1:16">
      <c r="A489" s="4" t="s">
        <v>276</v>
      </c>
      <c r="B489" s="5" t="s">
        <v>11</v>
      </c>
      <c r="C489" s="6" t="s">
        <v>48</v>
      </c>
      <c r="D489" s="11"/>
      <c r="F489" s="13" t="str">
        <f ca="1">VLOOKUP(LEFT(A489,IF(ISERROR(FIND(".",A489)),LEN(A489)+1,FIND(".",A489))-1),WorkList!A:C,3,FALSE)</f>
        <v>Admin</v>
      </c>
      <c r="G489" s="14" t="str">
        <f ca="1">VLOOKUP(CONCATENATE(A489),WorkList!A:C,3,FALSE)</f>
        <v>Get 'ABS Primer' and morning meeting details Mumbai</v>
      </c>
      <c r="H489" s="13" t="str">
        <f ca="1">VLOOKUP(CONCATENATE(A489),WorkList!A:D,4,FALSE)</f>
        <v>Pramendra</v>
      </c>
      <c r="I489" s="15">
        <f ca="1">VLOOKUP(CONCATENATE(A489),WorkList!A:E,5,FALSE)</f>
        <v>39960</v>
      </c>
      <c r="J489" s="49">
        <f ca="1">VLOOKUP(CONCATENATE(A489),WorkList!A:F,6,FALSE)</f>
        <v>0</v>
      </c>
      <c r="K489" s="49">
        <f ca="1">VLOOKUP(CONCATENATE(A489),WorkList!A:G,7,FALSE)</f>
        <v>0</v>
      </c>
      <c r="L489" s="7" t="s">
        <v>13</v>
      </c>
      <c r="M489" s="16">
        <v>39975</v>
      </c>
      <c r="N489" s="60">
        <f ca="1">VALUE(LEFT(C489))</f>
        <v>0</v>
      </c>
      <c r="O489" s="61">
        <f ca="1">INT(IF(N489&gt;0,1+MAX(N489*N489-(IF(D489="",TODAY()+(5-N489)*15,D489)-TODAY())/4,N489),IF(TODAY()-M489&gt;10,0,1)))</f>
        <v>0</v>
      </c>
      <c r="P489" s="1" t="str">
        <f ca="1">IF(ISNA(VLOOKUP(A489,Projects!B:B,1,FALSE)),"","Yes")</f>
        <v/>
      </c>
    </row>
    <row r="490" spans="1:16">
      <c r="A490" s="4" t="s">
        <v>824</v>
      </c>
      <c r="B490" s="5" t="s">
        <v>11</v>
      </c>
      <c r="C490" s="7" t="s">
        <v>48</v>
      </c>
      <c r="D490" s="11"/>
      <c r="F490" s="13" t="str">
        <f ca="1">VLOOKUP(LEFT(A490,IF(ISERROR(FIND(".",A490)),LEN(A490)+1,FIND(".",A490))-1),WorkList!A:C,3,FALSE)</f>
        <v>Admin</v>
      </c>
      <c r="G490" s="14" t="str">
        <f ca="1">VLOOKUP(CONCATENATE(A490),WorkList!A:C,3,FALSE)</f>
        <v>Renew SAS License</v>
      </c>
      <c r="H490" s="13" t="str">
        <f ca="1">VLOOKUP(CONCATENATE(A490),WorkList!A:D,4,FALSE)</f>
        <v>Neil</v>
      </c>
      <c r="I490" s="15">
        <f ca="1">VLOOKUP(CONCATENATE(A490),WorkList!A:E,5,FALSE)</f>
        <v>40192</v>
      </c>
      <c r="J490" s="49">
        <f ca="1">VLOOKUP(CONCATENATE(A490),WorkList!A:F,6,FALSE)</f>
        <v>1</v>
      </c>
      <c r="K490" s="49" t="str">
        <f ca="1">VLOOKUP(CONCATENATE(A490),WorkList!A:G,7,FALSE)</f>
        <v>Other</v>
      </c>
      <c r="L490" s="7" t="s">
        <v>13</v>
      </c>
      <c r="M490" s="16">
        <v>40325</v>
      </c>
      <c r="N490" s="60">
        <f ca="1">VALUE(LEFT(C490))</f>
        <v>0</v>
      </c>
      <c r="O490" s="61">
        <f ca="1">INT(IF(N490&gt;0,1+MAX(N490*N490-(IF(D490="",TODAY()+(5-N490)*15,D490)-TODAY())/4,N490),IF(TODAY()-M490&gt;10,0,1)))</f>
        <v>0</v>
      </c>
      <c r="P490" s="1" t="str">
        <f ca="1">IF(ISNA(VLOOKUP(A490,Projects!B:B,1,FALSE)),"","Yes")</f>
        <v/>
      </c>
    </row>
    <row r="491" spans="1:16">
      <c r="A491" s="4" t="s">
        <v>826</v>
      </c>
      <c r="B491" s="5" t="s">
        <v>11</v>
      </c>
      <c r="C491" s="7" t="s">
        <v>1145</v>
      </c>
      <c r="D491" s="11"/>
      <c r="F491" s="13" t="str">
        <f ca="1">VLOOKUP(LEFT(A491,IF(ISERROR(FIND(".",A491)),LEN(A491)+1,FIND(".",A491))-1),WorkList!A:C,3,FALSE)</f>
        <v>Admin</v>
      </c>
      <c r="G491" s="14" t="str">
        <f ca="1">VLOOKUP(CONCATENATE(A491),WorkList!A:C,3,FALSE)</f>
        <v>Hire new person in London</v>
      </c>
      <c r="H491" s="13" t="str">
        <f ca="1">VLOOKUP(CONCATENATE(A491),WorkList!A:D,4,FALSE)</f>
        <v>Neil</v>
      </c>
      <c r="I491" s="15">
        <f ca="1">VLOOKUP(CONCATENATE(A491),WorkList!A:E,5,FALSE)</f>
        <v>40192</v>
      </c>
      <c r="J491" s="49">
        <f ca="1">VLOOKUP(CONCATENATE(A491),WorkList!A:F,6,FALSE)</f>
        <v>1</v>
      </c>
      <c r="K491" s="49" t="str">
        <f ca="1">VLOOKUP(CONCATENATE(A491),WorkList!A:G,7,FALSE)</f>
        <v>Other</v>
      </c>
      <c r="L491" s="7" t="s">
        <v>13</v>
      </c>
      <c r="M491" s="16">
        <v>40308</v>
      </c>
      <c r="N491" s="60">
        <f ca="1">VALUE(LEFT(C491))</f>
        <v>0</v>
      </c>
      <c r="O491" s="61">
        <f ca="1">INT(IF(N491&gt;0,1+MAX(N491*N491-(IF(D491="",TODAY()+(5-N491)*15,D491)-TODAY())/4,N491),IF(TODAY()-M491&gt;10,0,1)))</f>
        <v>0</v>
      </c>
      <c r="P491" s="1" t="str">
        <f ca="1">IF(ISNA(VLOOKUP(A491,Projects!B:B,1,FALSE)),"","Yes")</f>
        <v/>
      </c>
    </row>
    <row r="492" spans="1:16">
      <c r="A492" s="4" t="s">
        <v>851</v>
      </c>
      <c r="B492" s="5" t="s">
        <v>11</v>
      </c>
      <c r="C492" s="6" t="s">
        <v>48</v>
      </c>
      <c r="D492" s="11"/>
      <c r="F492" s="13" t="str">
        <f ca="1">VLOOKUP(LEFT(A492,IF(ISERROR(FIND(".",A492)),LEN(A492)+1,FIND(".",A492))-1),WorkList!A:C,3,FALSE)</f>
        <v>Admin</v>
      </c>
      <c r="G492" s="14" t="str">
        <f ca="1">VLOOKUP(CONCATENATE(A492),WorkList!A:C,3,FALSE)</f>
        <v>Get Intex Desktop 4.9 packaged and released</v>
      </c>
      <c r="H492" s="13" t="str">
        <f ca="1">VLOOKUP(CONCATENATE(A492),WorkList!A:D,4,FALSE)</f>
        <v>David</v>
      </c>
      <c r="I492" s="15">
        <f ca="1">VLOOKUP(CONCATENATE(A492),WorkList!A:E,5,FALSE)</f>
        <v>40198</v>
      </c>
      <c r="J492" s="49">
        <f ca="1">VLOOKUP(CONCATENATE(A492),WorkList!A:F,6,FALSE)</f>
        <v>1</v>
      </c>
      <c r="K492" s="49">
        <f ca="1">VLOOKUP(CONCATENATE(A492),WorkList!A:G,7,FALSE)</f>
        <v>0</v>
      </c>
      <c r="L492" s="7" t="s">
        <v>13</v>
      </c>
      <c r="M492" s="16">
        <v>40213</v>
      </c>
      <c r="N492" s="60">
        <f ca="1">VALUE(LEFT(C492))</f>
        <v>0</v>
      </c>
      <c r="O492" s="61">
        <f ca="1">INT(IF(N492&gt;0,1+MAX(N492*N492-(IF(D492="",TODAY()+(5-N492)*15,D492)-TODAY())/4,N492),IF(TODAY()-M492&gt;10,0,1)))</f>
        <v>0</v>
      </c>
      <c r="P492" s="1" t="str">
        <f ca="1">IF(ISNA(VLOOKUP(A492,Projects!B:B,1,FALSE)),"","Yes")</f>
        <v/>
      </c>
    </row>
    <row r="493" spans="1:16">
      <c r="A493" s="4" t="s">
        <v>922</v>
      </c>
      <c r="B493" s="5" t="s">
        <v>919</v>
      </c>
      <c r="C493" s="7" t="s">
        <v>48</v>
      </c>
      <c r="D493" s="11"/>
      <c r="F493" s="13" t="str">
        <f ca="1">VLOOKUP(LEFT(A493,IF(ISERROR(FIND(".",A493)),LEN(A493)+1,FIND(".",A493))-1),WorkList!A:C,3,FALSE)</f>
        <v>Admin</v>
      </c>
      <c r="G493" s="14" t="str">
        <f ca="1">VLOOKUP(CONCATENATE(A493),WorkList!A:C,3,FALSE)</f>
        <v>Get Sachin all set up</v>
      </c>
      <c r="H493" s="13" t="str">
        <f ca="1">VLOOKUP(CONCATENATE(A493),WorkList!A:D,4,FALSE)</f>
        <v>Neil</v>
      </c>
      <c r="I493" s="15">
        <f ca="1">VLOOKUP(CONCATENATE(A493),WorkList!A:E,5,FALSE)</f>
        <v>40232</v>
      </c>
      <c r="J493" s="49">
        <f ca="1">VLOOKUP(CONCATENATE(A493),WorkList!A:F,6,FALSE)</f>
        <v>1</v>
      </c>
      <c r="K493" s="49">
        <f ca="1">VLOOKUP(CONCATENATE(A493),WorkList!A:G,7,FALSE)</f>
        <v>0</v>
      </c>
      <c r="L493" s="7" t="s">
        <v>13</v>
      </c>
      <c r="M493" s="16">
        <v>40283</v>
      </c>
      <c r="N493" s="60">
        <f ca="1">VALUE(LEFT(C493))</f>
        <v>0</v>
      </c>
      <c r="O493" s="61">
        <f ca="1">INT(IF(N493&gt;0,1+MAX(N493*N493-(IF(D493="",TODAY()+(5-N493)*15,D493)-TODAY())/4,N493),IF(TODAY()-M493&gt;10,0,1)))</f>
        <v>0</v>
      </c>
      <c r="P493" s="1" t="str">
        <f ca="1">IF(ISNA(VLOOKUP(A493,Projects!B:B,1,FALSE)),"","Yes")</f>
        <v/>
      </c>
    </row>
    <row r="494" spans="1:16">
      <c r="A494" s="4" t="s">
        <v>955</v>
      </c>
      <c r="B494" s="5" t="s">
        <v>11</v>
      </c>
      <c r="C494" s="7" t="s">
        <v>48</v>
      </c>
      <c r="D494" s="11"/>
      <c r="F494" s="13" t="str">
        <f ca="1">VLOOKUP(LEFT(A494,IF(ISERROR(FIND(".",A494)),LEN(A494)+1,FIND(".",A494))-1),WorkList!A:C,3,FALSE)</f>
        <v>Admin</v>
      </c>
      <c r="G494" s="14" t="str">
        <f ca="1">VLOOKUP(CONCATENATE(A494),WorkList!A:C,3,FALSE)</f>
        <v>Investigate Intex missing files</v>
      </c>
      <c r="H494" s="13" t="str">
        <f ca="1">VLOOKUP(CONCATENATE(A494),WorkList!A:D,4,FALSE)</f>
        <v>Zhuu</v>
      </c>
      <c r="I494" s="15">
        <f ca="1">VLOOKUP(CONCATENATE(A494),WorkList!A:E,5,FALSE)</f>
        <v>40240</v>
      </c>
      <c r="J494" s="49">
        <f ca="1">VLOOKUP(CONCATENATE(A494),WorkList!A:F,6,FALSE)</f>
        <v>1</v>
      </c>
      <c r="K494" s="49">
        <f ca="1">VLOOKUP(CONCATENATE(A494),WorkList!A:G,7,FALSE)</f>
        <v>0</v>
      </c>
      <c r="L494" s="7" t="s">
        <v>13</v>
      </c>
      <c r="M494" s="16">
        <v>40283</v>
      </c>
      <c r="N494" s="60">
        <f ca="1">VALUE(LEFT(C494))</f>
        <v>0</v>
      </c>
      <c r="O494" s="61">
        <f ca="1">INT(IF(N494&gt;0,1+MAX(N494*N494-(IF(D494="",TODAY()+(5-N494)*15,D494)-TODAY())/4,N494),IF(TODAY()-M494&gt;10,0,1)))</f>
        <v>0</v>
      </c>
      <c r="P494" s="1" t="str">
        <f ca="1">IF(ISNA(VLOOKUP(A494,Projects!B:B,1,FALSE)),"","Yes")</f>
        <v/>
      </c>
    </row>
    <row r="495" spans="1:16">
      <c r="A495" s="4" t="s">
        <v>979</v>
      </c>
      <c r="B495" s="5" t="s">
        <v>11</v>
      </c>
      <c r="C495" s="6" t="s">
        <v>48</v>
      </c>
      <c r="D495" s="11"/>
      <c r="F495" s="13" t="str">
        <f ca="1">VLOOKUP(LEFT(A495,IF(ISERROR(FIND(".",A495)),LEN(A495)+1,FIND(".",A495))-1),WorkList!A:C,3,FALSE)</f>
        <v>Admin</v>
      </c>
      <c r="G495" s="14" t="str">
        <f ca="1">VLOOKUP(CONCATENATE(A495),WorkList!A:C,3,FALSE)</f>
        <v>Get more UNIX disk space</v>
      </c>
      <c r="H495" s="13" t="str">
        <f ca="1">VLOOKUP(CONCATENATE(A495),WorkList!A:D,4,FALSE)</f>
        <v>Danny</v>
      </c>
      <c r="I495" s="15">
        <f ca="1">VLOOKUP(CONCATENATE(A495),WorkList!A:E,5,FALSE)</f>
        <v>40245</v>
      </c>
      <c r="J495" s="49">
        <f ca="1">VLOOKUP(CONCATENATE(A495),WorkList!A:F,6,FALSE)</f>
        <v>2</v>
      </c>
      <c r="K495" s="49" t="str">
        <f ca="1">VLOOKUP(CONCATENATE(A495),WorkList!A:G,7,FALSE)</f>
        <v>Enhancement</v>
      </c>
      <c r="L495" s="7" t="s">
        <v>13</v>
      </c>
      <c r="M495" s="16">
        <v>40406</v>
      </c>
      <c r="N495" s="60">
        <f ca="1">VALUE(LEFT(C495))</f>
        <v>0</v>
      </c>
      <c r="O495" s="61">
        <f ca="1">INT(IF(N495&gt;0,1+MAX(N495*N495-(IF(D495="",TODAY()+(5-N495)*15,D495)-TODAY())/4,N495),IF(TODAY()-M495&gt;10,0,1)))</f>
        <v>0</v>
      </c>
      <c r="P495" s="1" t="str">
        <f ca="1">IF(ISNA(VLOOKUP(A495,Projects!B:B,1,FALSE)),"","Yes")</f>
        <v/>
      </c>
    </row>
    <row r="496" spans="1:16">
      <c r="A496" s="4" t="s">
        <v>1030</v>
      </c>
      <c r="B496" s="5" t="s">
        <v>11</v>
      </c>
      <c r="C496" s="7" t="s">
        <v>12</v>
      </c>
      <c r="D496" s="11"/>
      <c r="F496" s="13" t="str">
        <f ca="1">VLOOKUP(LEFT(A496,IF(ISERROR(FIND(".",A496)),LEN(A496)+1,FIND(".",A496))-1),WorkList!A:C,3,FALSE)</f>
        <v>Admin</v>
      </c>
      <c r="G496" s="14" t="str">
        <f ca="1">VLOOKUP(CONCATENATE(A496),WorkList!A:C,3,FALSE)</f>
        <v>Make peer reviews work.</v>
      </c>
      <c r="H496" s="13" t="str">
        <f ca="1">VLOOKUP(CONCATENATE(A496),WorkList!A:D,4,FALSE)</f>
        <v>Neil</v>
      </c>
      <c r="I496" s="15">
        <f ca="1">VLOOKUP(CONCATENATE(A496),WorkList!A:E,5,FALSE)</f>
        <v>40274</v>
      </c>
      <c r="J496" s="49">
        <f ca="1">VLOOKUP(CONCATENATE(A496),WorkList!A:F,6,FALSE)</f>
        <v>2</v>
      </c>
      <c r="K496" s="49" t="str">
        <f ca="1">VLOOKUP(CONCATENATE(A496),WorkList!A:G,7,FALSE)</f>
        <v>NewDevelopment</v>
      </c>
      <c r="L496" s="7" t="s">
        <v>5</v>
      </c>
      <c r="M496" s="16">
        <v>40452</v>
      </c>
      <c r="N496" s="60">
        <f ca="1">VALUE(LEFT(C496))</f>
        <v>4</v>
      </c>
      <c r="O496" s="61">
        <f ca="1">INT(IF(N496&gt;0,1+MAX(N496*N496-(IF(D496="",TODAY()+(5-N496)*15,D496)-TODAY())/4,N496),IF(TODAY()-M496&gt;10,0,1)))</f>
        <v>13</v>
      </c>
      <c r="P496" s="1" t="str">
        <f ca="1">IF(ISNA(VLOOKUP(A496,Projects!B:B,1,FALSE)),"","Yes")</f>
        <v/>
      </c>
    </row>
    <row r="497" spans="1:16">
      <c r="A497" s="4" t="s">
        <v>1032</v>
      </c>
      <c r="B497" s="5" t="s">
        <v>21</v>
      </c>
      <c r="C497" s="7" t="s">
        <v>10</v>
      </c>
      <c r="D497" s="11"/>
      <c r="F497" s="13" t="str">
        <f ca="1">VLOOKUP(LEFT(A497,IF(ISERROR(FIND(".",A497)),LEN(A497)+1,FIND(".",A497))-1),WorkList!A:C,3,FALSE)</f>
        <v>Admin</v>
      </c>
      <c r="G497" s="14" t="str">
        <f ca="1">VLOOKUP(CONCATENATE(A497),WorkList!A:C,3,FALSE)</f>
        <v>Log application startup to database to show app usage</v>
      </c>
      <c r="H497" s="13" t="str">
        <f ca="1">VLOOKUP(CONCATENATE(A497),WorkList!A:D,4,FALSE)</f>
        <v>Neil</v>
      </c>
      <c r="I497" s="15">
        <f ca="1">VLOOKUP(CONCATENATE(A497),WorkList!A:E,5,FALSE)</f>
        <v>40274</v>
      </c>
      <c r="J497" s="49">
        <f ca="1">VLOOKUP(CONCATENATE(A497),WorkList!A:F,6,FALSE)</f>
        <v>1</v>
      </c>
      <c r="K497" s="49" t="str">
        <f ca="1">VLOOKUP(CONCATENATE(A497),WorkList!A:G,7,FALSE)</f>
        <v>NewDevelopment</v>
      </c>
      <c r="L497" s="7" t="s">
        <v>7</v>
      </c>
      <c r="M497" s="16">
        <v>40283</v>
      </c>
      <c r="N497" s="60">
        <f ca="1">VALUE(LEFT(C497))</f>
        <v>3</v>
      </c>
      <c r="O497" s="61">
        <f ca="1">INT(IF(N497&gt;0,1+MAX(N497*N497-(IF(D497="",TODAY()+(5-N497)*15,D497)-TODAY())/4,N497),IF(TODAY()-M497&gt;10,0,1)))</f>
        <v>4</v>
      </c>
      <c r="P497" s="1" t="str">
        <f ca="1">IF(ISNA(VLOOKUP(A497,Projects!B:B,1,FALSE)),"","Yes")</f>
        <v/>
      </c>
    </row>
    <row r="498" spans="1:16">
      <c r="A498" s="4" t="s">
        <v>1034</v>
      </c>
      <c r="B498" s="5" t="s">
        <v>11</v>
      </c>
      <c r="C498" s="4" t="s">
        <v>48</v>
      </c>
      <c r="D498" s="11">
        <v>40299</v>
      </c>
      <c r="F498" s="13" t="str">
        <f ca="1">VLOOKUP(LEFT(A498,IF(ISERROR(FIND(".",A498)),LEN(A498)+1,FIND(".",A498))-1),WorkList!A:C,3,FALSE)</f>
        <v>Admin</v>
      </c>
      <c r="G498" s="14" t="str">
        <f ca="1">VLOOKUP(CONCATENATE(A498),WorkList!A:C,3,FALSE)</f>
        <v>Get Research Team (India) to set up deals</v>
      </c>
      <c r="H498" s="13" t="str">
        <f ca="1">VLOOKUP(CONCATENATE(A498),WorkList!A:D,4,FALSE)</f>
        <v>Neil</v>
      </c>
      <c r="I498" s="15">
        <f ca="1">VLOOKUP(CONCATENATE(A498),WorkList!A:E,5,FALSE)</f>
        <v>40274</v>
      </c>
      <c r="J498" s="49">
        <f ca="1">VLOOKUP(CONCATENATE(A498),WorkList!A:F,6,FALSE)</f>
        <v>1</v>
      </c>
      <c r="K498" s="49" t="str">
        <f ca="1">VLOOKUP(CONCATENATE(A498),WorkList!A:G,7,FALSE)</f>
        <v>Other</v>
      </c>
      <c r="L498" s="7" t="s">
        <v>13</v>
      </c>
      <c r="M498" s="16">
        <v>40304</v>
      </c>
      <c r="N498" s="60">
        <f ca="1">VALUE(LEFT(C498))</f>
        <v>0</v>
      </c>
      <c r="O498" s="61">
        <f ca="1">INT(IF(N498&gt;0,1+MAX(N498*N498-(IF(D498="",TODAY()+(5-N498)*15,D498)-TODAY())/4,N498),IF(TODAY()-M498&gt;10,0,1)))</f>
        <v>0</v>
      </c>
      <c r="P498" s="1" t="str">
        <f ca="1">IF(ISNA(VLOOKUP(A498,Projects!B:B,1,FALSE)),"","Yes")</f>
        <v/>
      </c>
    </row>
    <row r="499" spans="1:16" ht="25.5">
      <c r="A499" s="4" t="s">
        <v>1050</v>
      </c>
      <c r="B499" s="5" t="s">
        <v>32</v>
      </c>
      <c r="C499" s="6" t="s">
        <v>48</v>
      </c>
      <c r="D499" s="11">
        <v>40299</v>
      </c>
      <c r="F499" s="13" t="str">
        <f ca="1">VLOOKUP(LEFT(A499,IF(ISERROR(FIND(".",A499)),LEN(A499)+1,FIND(".",A499))-1),WorkList!A:C,3,FALSE)</f>
        <v>Admin</v>
      </c>
      <c r="G499" s="14" t="str">
        <f ca="1">VLOOKUP(CONCATENATE(A499),WorkList!A:C,3,FALSE)</f>
        <v>Get Mumbai located IT share set up for logging and other uses.</v>
      </c>
      <c r="H499" s="13" t="str">
        <f ca="1">VLOOKUP(CONCATENATE(A499),WorkList!A:D,4,FALSE)</f>
        <v>Neil</v>
      </c>
      <c r="I499" s="15">
        <f ca="1">VLOOKUP(CONCATENATE(A499),WorkList!A:E,5,FALSE)</f>
        <v>40281</v>
      </c>
      <c r="J499" s="49">
        <f ca="1">VLOOKUP(CONCATENATE(A499),WorkList!A:F,6,FALSE)</f>
        <v>0.5</v>
      </c>
      <c r="K499" s="49" t="str">
        <f ca="1">VLOOKUP(CONCATENATE(A499),WorkList!A:G,7,FALSE)</f>
        <v>NewDevelopment</v>
      </c>
      <c r="L499" s="7" t="s">
        <v>13</v>
      </c>
      <c r="M499" s="16">
        <v>40407</v>
      </c>
      <c r="N499" s="60">
        <f ca="1">VALUE(LEFT(C499))</f>
        <v>0</v>
      </c>
      <c r="O499" s="61">
        <f ca="1">INT(IF(N499&gt;0,1+MAX(N499*N499-(IF(D499="",TODAY()+(5-N499)*15,D499)-TODAY())/4,N499),IF(TODAY()-M499&gt;10,0,1)))</f>
        <v>0</v>
      </c>
      <c r="P499" s="1" t="str">
        <f ca="1">IF(ISNA(VLOOKUP(A499,Projects!B:B,1,FALSE)),"","Yes")</f>
        <v/>
      </c>
    </row>
    <row r="500" spans="1:16">
      <c r="A500" s="4" t="s">
        <v>301</v>
      </c>
      <c r="B500" s="5" t="s">
        <v>11</v>
      </c>
      <c r="C500" s="6" t="s">
        <v>48</v>
      </c>
      <c r="D500" s="11"/>
      <c r="F500" s="13" t="str">
        <f ca="1">VLOOKUP(LEFT(A500,IF(ISERROR(FIND(".",A500)),LEN(A500)+1,FIND(".",A500))-1),WorkList!A:C,3,FALSE)</f>
        <v>Admin</v>
      </c>
      <c r="G500" s="14" t="str">
        <f ca="1">VLOOKUP(CONCATENATE(A500),WorkList!A:C,3,FALSE)</f>
        <v>Configure SAS backup server</v>
      </c>
      <c r="H500" s="13" t="str">
        <f ca="1">VLOOKUP(CONCATENATE(A500),WorkList!A:D,4,FALSE)</f>
        <v>Neil</v>
      </c>
      <c r="I500" s="15">
        <f ca="1">VLOOKUP(CONCATENATE(A500),WorkList!A:E,5,FALSE)</f>
        <v>40003</v>
      </c>
      <c r="J500" s="49">
        <f ca="1">VLOOKUP(CONCATENATE(A500),WorkList!A:F,6,FALSE)</f>
        <v>2</v>
      </c>
      <c r="K500" s="49" t="str">
        <f ca="1">VLOOKUP(CONCATENATE(A500),WorkList!A:G,7,FALSE)</f>
        <v>NewDevelopment</v>
      </c>
      <c r="L500" s="7" t="s">
        <v>13</v>
      </c>
      <c r="M500" s="16">
        <v>40352</v>
      </c>
      <c r="N500" s="60">
        <f ca="1">VALUE(LEFT(C500))</f>
        <v>0</v>
      </c>
      <c r="O500" s="61">
        <f ca="1">INT(IF(N500&gt;0,1+MAX(N500*N500-(IF(D500="",TODAY()+(5-N500)*15,D500)-TODAY())/4,N500),IF(TODAY()-M500&gt;10,0,1)))</f>
        <v>0</v>
      </c>
      <c r="P500" s="1" t="str">
        <f ca="1">IF(ISNA(VLOOKUP(A500,Projects!B:B,1,FALSE)),"","Yes")</f>
        <v/>
      </c>
    </row>
    <row r="501" spans="1:16">
      <c r="A501" s="4" t="s">
        <v>1160</v>
      </c>
      <c r="B501" s="5" t="s">
        <v>11</v>
      </c>
      <c r="C501" s="6" t="s">
        <v>48</v>
      </c>
      <c r="D501" s="11">
        <v>40330</v>
      </c>
      <c r="F501" s="13" t="str">
        <f ca="1">VLOOKUP(LEFT(A501,IF(ISERROR(FIND(".",A501)),LEN(A501)+1,FIND(".",A501))-1),WorkList!A:C,3,FALSE)</f>
        <v>Admin</v>
      </c>
      <c r="G501" s="14" t="str">
        <f ca="1">VLOOKUP(CONCATENATE(A501),WorkList!A:C,3,FALSE)</f>
        <v>Get Sreevani all set up</v>
      </c>
      <c r="H501" s="13" t="str">
        <f ca="1">VLOOKUP(CONCATENATE(A501),WorkList!A:D,4,FALSE)</f>
        <v>Neil</v>
      </c>
      <c r="I501" s="15">
        <f ca="1">VLOOKUP(CONCATENATE(A501),WorkList!A:E,5,FALSE)</f>
        <v>40318</v>
      </c>
      <c r="J501" s="49">
        <f ca="1">VLOOKUP(CONCATENATE(A501),WorkList!A:F,6,FALSE)</f>
        <v>0.5</v>
      </c>
      <c r="K501" s="49" t="str">
        <f ca="1">VLOOKUP(CONCATENATE(A501),WorkList!A:G,7,FALSE)</f>
        <v>NewDevelopment</v>
      </c>
      <c r="L501" s="7" t="s">
        <v>13</v>
      </c>
      <c r="M501" s="16">
        <v>40374</v>
      </c>
      <c r="N501" s="60">
        <f ca="1">VALUE(LEFT(C501))</f>
        <v>0</v>
      </c>
      <c r="O501" s="61">
        <f ca="1">INT(IF(N501&gt;0,1+MAX(N501*N501-(IF(D501="",TODAY()+(5-N501)*15,D501)-TODAY())/4,N501),IF(TODAY()-M501&gt;10,0,1)))</f>
        <v>0</v>
      </c>
      <c r="P501" s="1" t="str">
        <f ca="1">IF(ISNA(VLOOKUP(A501,Projects!B:B,1,FALSE)),"","Yes")</f>
        <v/>
      </c>
    </row>
    <row r="502" spans="1:16">
      <c r="A502" s="4" t="s">
        <v>1171</v>
      </c>
      <c r="B502" s="5" t="s">
        <v>11</v>
      </c>
      <c r="C502" s="7" t="s">
        <v>48</v>
      </c>
      <c r="D502" s="11">
        <v>40330</v>
      </c>
      <c r="F502" s="13" t="str">
        <f ca="1">VLOOKUP(LEFT(A502,IF(ISERROR(FIND(".",A502)),LEN(A502)+1,FIND(".",A502))-1),WorkList!A:C,3,FALSE)</f>
        <v>Admin</v>
      </c>
      <c r="G502" s="14" t="str">
        <f ca="1">VLOOKUP(CONCATENATE(A502),WorkList!A:C,3,FALSE)</f>
        <v>Get London visit organised</v>
      </c>
      <c r="H502" s="13" t="str">
        <f ca="1">VLOOKUP(CONCATENATE(A502),WorkList!A:D,4,FALSE)</f>
        <v>Neil</v>
      </c>
      <c r="I502" s="15">
        <f ca="1">VLOOKUP(CONCATENATE(A502),WorkList!A:E,5,FALSE)</f>
        <v>40319</v>
      </c>
      <c r="J502" s="49">
        <f ca="1">VLOOKUP(CONCATENATE(A502),WorkList!A:F,6,FALSE)</f>
        <v>0.5</v>
      </c>
      <c r="K502" s="49" t="str">
        <f ca="1">VLOOKUP(CONCATENATE(A502),WorkList!A:G,7,FALSE)</f>
        <v>Other</v>
      </c>
      <c r="L502" s="7" t="s">
        <v>13</v>
      </c>
      <c r="M502" s="16">
        <v>40357</v>
      </c>
      <c r="N502" s="60">
        <f ca="1">VALUE(LEFT(C502))</f>
        <v>0</v>
      </c>
      <c r="O502" s="61">
        <f ca="1">INT(IF(N502&gt;0,1+MAX(N502*N502-(IF(D502="",TODAY()+(5-N502)*15,D502)-TODAY())/4,N502),IF(TODAY()-M502&gt;10,0,1)))</f>
        <v>0</v>
      </c>
      <c r="P502" s="1" t="str">
        <f ca="1">IF(ISNA(VLOOKUP(A502,Projects!B:B,1,FALSE)),"","Yes")</f>
        <v/>
      </c>
    </row>
    <row r="503" spans="1:16">
      <c r="A503" s="4" t="s">
        <v>1188</v>
      </c>
      <c r="B503" s="5" t="s">
        <v>37</v>
      </c>
      <c r="C503" s="7" t="s">
        <v>48</v>
      </c>
      <c r="D503" s="7">
        <v>40343</v>
      </c>
      <c r="F503" s="13" t="str">
        <f ca="1">VLOOKUP(LEFT(A503,IF(ISERROR(FIND(".",A503)),LEN(A503)+1,FIND(".",A503))-1),WorkList!A:C,3,FALSE)</f>
        <v>Admin</v>
      </c>
      <c r="G503" s="14" t="str">
        <f ca="1">VLOOKUP(CONCATENATE(A503),WorkList!A:C,3,FALSE)</f>
        <v>Set goals for 2010_2011</v>
      </c>
      <c r="H503" s="13" t="str">
        <f ca="1">VLOOKUP(CONCATENATE(A503),WorkList!A:D,4,FALSE)</f>
        <v>Neil</v>
      </c>
      <c r="I503" s="15">
        <f ca="1">VLOOKUP(CONCATENATE(A503),WorkList!A:E,5,FALSE)</f>
        <v>40336</v>
      </c>
      <c r="J503" s="49">
        <f ca="1">VLOOKUP(CONCATENATE(A503),WorkList!A:F,6,FALSE)</f>
        <v>0.5</v>
      </c>
      <c r="K503" s="49" t="str">
        <f ca="1">VLOOKUP(CONCATENATE(A503),WorkList!A:G,7,FALSE)</f>
        <v>Other</v>
      </c>
      <c r="L503" s="7" t="s">
        <v>13</v>
      </c>
      <c r="M503" s="16">
        <v>40361</v>
      </c>
      <c r="N503" s="60">
        <f ca="1">VALUE(LEFT(C503))</f>
        <v>0</v>
      </c>
      <c r="O503" s="61">
        <f ca="1">INT(IF(N503&gt;0,1+MAX(N503*N503-(IF(D503="",TODAY()+(5-N503)*15,D503)-TODAY())/4,N503),IF(TODAY()-M503&gt;10,0,1)))</f>
        <v>0</v>
      </c>
      <c r="P503" s="1" t="str">
        <f ca="1">IF(ISNA(VLOOKUP(A503,Projects!B:B,1,FALSE)),"","Yes")</f>
        <v>Yes</v>
      </c>
    </row>
    <row r="504" spans="1:16">
      <c r="A504" s="4" t="s">
        <v>1190</v>
      </c>
      <c r="B504" s="5" t="s">
        <v>32</v>
      </c>
      <c r="C504" s="6" t="s">
        <v>48</v>
      </c>
      <c r="D504" s="7">
        <v>40343</v>
      </c>
      <c r="F504" s="13" t="str">
        <f ca="1">VLOOKUP(LEFT(A504,IF(ISERROR(FIND(".",A504)),LEN(A504)+1,FIND(".",A504))-1),WorkList!A:C,3,FALSE)</f>
        <v>Admin</v>
      </c>
      <c r="G504" s="14" t="str">
        <f ca="1">VLOOKUP(CONCATENATE(A504),WorkList!A:C,3,FALSE)</f>
        <v>Set goals for 2010_2011</v>
      </c>
      <c r="H504" s="13" t="str">
        <f ca="1">VLOOKUP(CONCATENATE(A504),WorkList!A:D,4,FALSE)</f>
        <v>Neil</v>
      </c>
      <c r="I504" s="15">
        <f ca="1">VLOOKUP(CONCATENATE(A504),WorkList!A:E,5,FALSE)</f>
        <v>40336</v>
      </c>
      <c r="J504" s="49">
        <f ca="1">VLOOKUP(CONCATENATE(A504),WorkList!A:F,6,FALSE)</f>
        <v>0.5</v>
      </c>
      <c r="K504" s="49" t="str">
        <f ca="1">VLOOKUP(CONCATENATE(A504),WorkList!A:G,7,FALSE)</f>
        <v>Other</v>
      </c>
      <c r="L504" s="7" t="s">
        <v>13</v>
      </c>
      <c r="M504" s="16">
        <v>40353</v>
      </c>
      <c r="N504" s="60">
        <f ca="1">VALUE(LEFT(C504))</f>
        <v>0</v>
      </c>
      <c r="O504" s="61">
        <f ca="1">INT(IF(N504&gt;0,1+MAX(N504*N504-(IF(D504="",TODAY()+(5-N504)*15,D504)-TODAY())/4,N504),IF(TODAY()-M504&gt;10,0,1)))</f>
        <v>0</v>
      </c>
      <c r="P504" s="1" t="str">
        <f ca="1">IF(ISNA(VLOOKUP(A504,Projects!B:B,1,FALSE)),"","Yes")</f>
        <v>Yes</v>
      </c>
    </row>
    <row r="505" spans="1:16">
      <c r="A505" s="4" t="s">
        <v>1191</v>
      </c>
      <c r="B505" s="5" t="s">
        <v>29</v>
      </c>
      <c r="C505" s="7" t="s">
        <v>48</v>
      </c>
      <c r="D505" s="7">
        <v>40343</v>
      </c>
      <c r="F505" s="13" t="str">
        <f ca="1">VLOOKUP(LEFT(A505,IF(ISERROR(FIND(".",A505)),LEN(A505)+1,FIND(".",A505))-1),WorkList!A:C,3,FALSE)</f>
        <v>Admin</v>
      </c>
      <c r="G505" s="14" t="str">
        <f ca="1">VLOOKUP(CONCATENATE(A505),WorkList!A:C,3,FALSE)</f>
        <v>Set goals for 2010_2011</v>
      </c>
      <c r="H505" s="13" t="str">
        <f ca="1">VLOOKUP(CONCATENATE(A505),WorkList!A:D,4,FALSE)</f>
        <v>Neil</v>
      </c>
      <c r="I505" s="15">
        <f ca="1">VLOOKUP(CONCATENATE(A505),WorkList!A:E,5,FALSE)</f>
        <v>40336</v>
      </c>
      <c r="J505" s="49">
        <f ca="1">VLOOKUP(CONCATENATE(A505),WorkList!A:F,6,FALSE)</f>
        <v>0.5</v>
      </c>
      <c r="K505" s="49" t="str">
        <f ca="1">VLOOKUP(CONCATENATE(A505),WorkList!A:G,7,FALSE)</f>
        <v>Other</v>
      </c>
      <c r="L505" s="7" t="s">
        <v>13</v>
      </c>
      <c r="M505" s="16">
        <v>40361</v>
      </c>
      <c r="N505" s="60">
        <f ca="1">VALUE(LEFT(C505))</f>
        <v>0</v>
      </c>
      <c r="O505" s="61">
        <f ca="1">INT(IF(N505&gt;0,1+MAX(N505*N505-(IF(D505="",TODAY()+(5-N505)*15,D505)-TODAY())/4,N505),IF(TODAY()-M505&gt;10,0,1)))</f>
        <v>0</v>
      </c>
      <c r="P505" s="1" t="str">
        <f ca="1">IF(ISNA(VLOOKUP(A505,Projects!B:B,1,FALSE)),"","Yes")</f>
        <v>Yes</v>
      </c>
    </row>
    <row r="506" spans="1:16">
      <c r="A506" s="4" t="s">
        <v>1192</v>
      </c>
      <c r="B506" s="5" t="s">
        <v>919</v>
      </c>
      <c r="C506" s="7" t="s">
        <v>48</v>
      </c>
      <c r="D506" s="7">
        <v>40343</v>
      </c>
      <c r="F506" s="13" t="str">
        <f ca="1">VLOOKUP(LEFT(A506,IF(ISERROR(FIND(".",A506)),LEN(A506)+1,FIND(".",A506))-1),WorkList!A:C,3,FALSE)</f>
        <v>Admin</v>
      </c>
      <c r="G506" s="14" t="str">
        <f ca="1">VLOOKUP(CONCATENATE(A506),WorkList!A:C,3,FALSE)</f>
        <v>Set goals for 2010_2011</v>
      </c>
      <c r="H506" s="13" t="str">
        <f ca="1">VLOOKUP(CONCATENATE(A506),WorkList!A:D,4,FALSE)</f>
        <v>Neil</v>
      </c>
      <c r="I506" s="15">
        <f ca="1">VLOOKUP(CONCATENATE(A506),WorkList!A:E,5,FALSE)</f>
        <v>40336</v>
      </c>
      <c r="J506" s="49">
        <f ca="1">VLOOKUP(CONCATENATE(A506),WorkList!A:F,6,FALSE)</f>
        <v>0.5</v>
      </c>
      <c r="K506" s="49" t="str">
        <f ca="1">VLOOKUP(CONCATENATE(A506),WorkList!A:G,7,FALSE)</f>
        <v>Other</v>
      </c>
      <c r="L506" s="7" t="s">
        <v>13</v>
      </c>
      <c r="M506" s="16">
        <v>40361</v>
      </c>
      <c r="N506" s="60">
        <f ca="1">VALUE(LEFT(C506))</f>
        <v>0</v>
      </c>
      <c r="O506" s="61">
        <f ca="1">INT(IF(N506&gt;0,1+MAX(N506*N506-(IF(D506="",TODAY()+(5-N506)*15,D506)-TODAY())/4,N506),IF(TODAY()-M506&gt;10,0,1)))</f>
        <v>0</v>
      </c>
      <c r="P506" s="1" t="str">
        <f ca="1">IF(ISNA(VLOOKUP(A506,Projects!B:B,1,FALSE)),"","Yes")</f>
        <v>Yes</v>
      </c>
    </row>
    <row r="507" spans="1:16" ht="25.5">
      <c r="A507" s="4" t="s">
        <v>1249</v>
      </c>
      <c r="B507" s="5" t="s">
        <v>11</v>
      </c>
      <c r="C507" s="7" t="s">
        <v>48</v>
      </c>
      <c r="D507" s="7">
        <v>40357</v>
      </c>
      <c r="F507" s="13" t="str">
        <f ca="1">VLOOKUP(LEFT(A507,IF(ISERROR(FIND(".",A507)),LEN(A507)+1,FIND(".",A507))-1),WorkList!A:C,3,FALSE)</f>
        <v>Admin</v>
      </c>
      <c r="G507" s="14" t="str">
        <f ca="1">VLOOKUP(CONCATENATE(A507),WorkList!A:C,3,FALSE)</f>
        <v>All non WIG goals agreed by all team members and Neil and Yogesh</v>
      </c>
      <c r="H507" s="13" t="str">
        <f ca="1">VLOOKUP(CONCATENATE(A507),WorkList!A:D,4,FALSE)</f>
        <v>Neil</v>
      </c>
      <c r="I507" s="15">
        <f ca="1">VLOOKUP(CONCATENATE(A507),WorkList!A:E,5,FALSE)</f>
        <v>40353</v>
      </c>
      <c r="J507" s="49">
        <f ca="1">VLOOKUP(CONCATENATE(A507),WorkList!A:F,6,FALSE)</f>
        <v>1</v>
      </c>
      <c r="K507" s="49" t="str">
        <f ca="1">VLOOKUP(CONCATENATE(A507),WorkList!A:G,7,FALSE)</f>
        <v>Other</v>
      </c>
      <c r="L507" s="7" t="s">
        <v>13</v>
      </c>
      <c r="M507" s="16">
        <v>40361</v>
      </c>
      <c r="N507" s="60">
        <f ca="1">VALUE(LEFT(C507))</f>
        <v>0</v>
      </c>
      <c r="O507" s="61">
        <f ca="1">INT(IF(N507&gt;0,1+MAX(N507*N507-(IF(D507="",TODAY()+(5-N507)*15,D507)-TODAY())/4,N507),IF(TODAY()-M507&gt;10,0,1)))</f>
        <v>0</v>
      </c>
      <c r="P507" s="1" t="str">
        <f ca="1">IF(ISNA(VLOOKUP(A507,Projects!B:B,1,FALSE)),"","Yes")</f>
        <v>Yes</v>
      </c>
    </row>
    <row r="508" spans="1:16">
      <c r="A508" s="4" t="s">
        <v>1395</v>
      </c>
      <c r="B508" s="5" t="s">
        <v>11</v>
      </c>
      <c r="C508" s="6" t="s">
        <v>10</v>
      </c>
      <c r="F508" s="13" t="str">
        <f ca="1">VLOOKUP(LEFT(A508,IF(ISERROR(FIND(".",A508)),LEN(A508)+1,FIND(".",A508))-1),WorkList!A:C,3,FALSE)</f>
        <v>Admin</v>
      </c>
      <c r="G508" s="14" t="str">
        <f ca="1">VLOOKUP(CONCATENATE(A508),WorkList!A:C,3,FALSE)</f>
        <v>Get SAS Management Console Packaged</v>
      </c>
      <c r="H508" s="13" t="str">
        <f ca="1">VLOOKUP(CONCATENATE(A508),WorkList!A:D,4,FALSE)</f>
        <v>Neil</v>
      </c>
      <c r="I508" s="15">
        <f ca="1">VLOOKUP(CONCATENATE(A508),WorkList!A:E,5,FALSE)</f>
        <v>40389</v>
      </c>
      <c r="J508" s="49">
        <f ca="1">VLOOKUP(CONCATENATE(A508),WorkList!A:F,6,FALSE)</f>
        <v>1</v>
      </c>
      <c r="K508" s="49" t="str">
        <f ca="1">VLOOKUP(CONCATENATE(A508),WorkList!A:G,7,FALSE)</f>
        <v>Maintenance</v>
      </c>
      <c r="L508" s="7" t="s">
        <v>5</v>
      </c>
      <c r="M508" s="16">
        <v>40410</v>
      </c>
      <c r="N508" s="60">
        <f ca="1">VALUE(LEFT(C508))</f>
        <v>3</v>
      </c>
      <c r="O508" s="61">
        <f ca="1">INT(IF(N508&gt;0,1+MAX(N508*N508-(IF(D508="",TODAY()+(5-N508)*15,D508)-TODAY())/4,N508),IF(TODAY()-M508&gt;10,0,1)))</f>
        <v>4</v>
      </c>
      <c r="P508" s="1" t="str">
        <f ca="1">IF(ISNA(VLOOKUP(A508,Projects!B:B,1,FALSE)),"","Yes")</f>
        <v/>
      </c>
    </row>
    <row r="509" spans="1:16">
      <c r="A509" s="4" t="s">
        <v>1410</v>
      </c>
      <c r="B509" s="5" t="s">
        <v>11</v>
      </c>
      <c r="C509" s="7" t="s">
        <v>197</v>
      </c>
      <c r="F509" s="13" t="str">
        <f ca="1">VLOOKUP(LEFT(A509,IF(ISERROR(FIND(".",A509)),LEN(A509)+1,FIND(".",A509))-1),WorkList!A:C,3,FALSE)</f>
        <v>Admin</v>
      </c>
      <c r="G509" s="14" t="str">
        <f ca="1">VLOOKUP(CONCATENATE(A509),WorkList!A:C,3,FALSE)</f>
        <v>Make NSAM2 tickets work</v>
      </c>
      <c r="H509" s="13" t="str">
        <f ca="1">VLOOKUP(CONCATENATE(A509),WorkList!A:D,4,FALSE)</f>
        <v>Neil</v>
      </c>
      <c r="I509" s="15">
        <f ca="1">VLOOKUP(CONCATENATE(A509),WorkList!A:E,5,FALSE)</f>
        <v>40403</v>
      </c>
      <c r="J509" s="49">
        <f ca="1">VLOOKUP(CONCATENATE(A509),WorkList!A:F,6,FALSE)</f>
        <v>1</v>
      </c>
      <c r="K509" s="49" t="str">
        <f ca="1">VLOOKUP(CONCATENATE(A509),WorkList!A:G,7,FALSE)</f>
        <v>Other</v>
      </c>
      <c r="L509" s="7" t="s">
        <v>5</v>
      </c>
      <c r="M509" s="16">
        <v>40567</v>
      </c>
      <c r="N509" s="60">
        <f ca="1">VALUE(LEFT(C509))</f>
        <v>1</v>
      </c>
      <c r="O509" s="61">
        <f ca="1">INT(IF(N509&gt;0,1+MAX(N509*N509-(IF(D509="",TODAY()+(5-N509)*15,D509)-TODAY())/4,N509),IF(TODAY()-M509&gt;10,0,1)))</f>
        <v>2</v>
      </c>
    </row>
    <row r="510" spans="1:16">
      <c r="A510" s="4" t="s">
        <v>1461</v>
      </c>
      <c r="B510" s="5" t="s">
        <v>11</v>
      </c>
      <c r="C510" s="6" t="s">
        <v>48</v>
      </c>
      <c r="F510" s="13" t="str">
        <f ca="1">VLOOKUP(LEFT(A510,IF(ISERROR(FIND(".",A510)),LEN(A510)+1,FIND(".",A510))-1),WorkList!A:C,3,FALSE)</f>
        <v>Admin</v>
      </c>
      <c r="G510" s="14" t="str">
        <f ca="1">VLOOKUP(CONCATENATE(A510),WorkList!A:C,3,FALSE)</f>
        <v>Ensure sufficient documentation for all apps</v>
      </c>
      <c r="H510" s="13" t="str">
        <f ca="1">VLOOKUP(CONCATENATE(A510),WorkList!A:D,4,FALSE)</f>
        <v>Neil</v>
      </c>
      <c r="I510" s="15">
        <f ca="1">VLOOKUP(CONCATENATE(A510),WorkList!A:E,5,FALSE)</f>
        <v>40406</v>
      </c>
      <c r="J510" s="49">
        <f ca="1">VLOOKUP(CONCATENATE(A510),WorkList!A:F,6,FALSE)</f>
        <v>2</v>
      </c>
      <c r="K510" s="49" t="str">
        <f ca="1">VLOOKUP(CONCATENATE(A510),WorkList!A:G,7,FALSE)</f>
        <v>Enhancement</v>
      </c>
      <c r="L510" s="7" t="s">
        <v>13</v>
      </c>
      <c r="M510" s="16">
        <v>40410</v>
      </c>
      <c r="N510" s="60">
        <f ca="1">VALUE(LEFT(C510))</f>
        <v>0</v>
      </c>
      <c r="O510" s="61">
        <f ca="1">INT(IF(N510&gt;0,1+MAX(N510*N510-(IF(D510="",TODAY()+(5-N510)*15,D510)-TODAY())/4,N510),IF(TODAY()-M510&gt;10,0,1)))</f>
        <v>0</v>
      </c>
      <c r="P510" s="1" t="str">
        <f ca="1">IF(ISNA(VLOOKUP(A510,Projects!B:B,1,FALSE)),"","Yes")</f>
        <v/>
      </c>
    </row>
    <row r="511" spans="1:16">
      <c r="A511" s="4" t="s">
        <v>1513</v>
      </c>
      <c r="B511" s="5" t="s">
        <v>11</v>
      </c>
      <c r="C511" s="7" t="s">
        <v>684</v>
      </c>
      <c r="D511" s="7">
        <v>40455</v>
      </c>
      <c r="F511" s="13" t="str">
        <f ca="1">VLOOKUP(LEFT(A511,IF(ISERROR(FIND(".",A511)),LEN(A511)+1,FIND(".",A511))-1),WorkList!A:C,3,FALSE)</f>
        <v>Admin</v>
      </c>
      <c r="G511" s="14" t="str">
        <f ca="1">VLOOKUP(CONCATENATE(A511),WorkList!A:C,3,FALSE)</f>
        <v>Renew Easysoft licenses</v>
      </c>
      <c r="H511" s="13" t="str">
        <f ca="1">VLOOKUP(CONCATENATE(A511),WorkList!A:D,4,FALSE)</f>
        <v>Neil</v>
      </c>
      <c r="I511" s="15">
        <f ca="1">VLOOKUP(CONCATENATE(A511),WorkList!A:E,5,FALSE)</f>
        <v>40435</v>
      </c>
      <c r="J511" s="49">
        <f ca="1">VLOOKUP(CONCATENATE(A511),WorkList!A:F,6,FALSE)</f>
        <v>1</v>
      </c>
      <c r="K511" s="49" t="str">
        <f ca="1">VLOOKUP(CONCATENATE(A511),WorkList!A:G,7,FALSE)</f>
        <v>Support</v>
      </c>
      <c r="L511" s="7" t="s">
        <v>5</v>
      </c>
      <c r="M511" s="16">
        <v>40452</v>
      </c>
      <c r="N511" s="60">
        <f ca="1">VALUE(LEFT(C511))</f>
        <v>5</v>
      </c>
      <c r="O511" s="61">
        <f ca="1">INT(IF(N511&gt;0,1+MAX(N511*N511-(IF(D511="",TODAY()+(5-N511)*15,D511)-TODAY())/4,N511),IF(TODAY()-M511&gt;10,0,1)))</f>
        <v>62</v>
      </c>
      <c r="P511" s="1" t="str">
        <f ca="1">IF(ISNA(VLOOKUP(A511,Projects!B:B,1,FALSE)),"","Yes")</f>
        <v/>
      </c>
    </row>
    <row r="512" spans="1:16">
      <c r="A512" s="4" t="s">
        <v>1542</v>
      </c>
      <c r="B512" s="5" t="s">
        <v>11</v>
      </c>
      <c r="C512" s="6" t="s">
        <v>48</v>
      </c>
      <c r="D512" s="11"/>
      <c r="F512" s="13" t="str">
        <f ca="1">VLOOKUP(LEFT(A512,IF(ISERROR(FIND(".",A512)),LEN(A512)+1,FIND(".",A512))-1),WorkList!A:C,3,FALSE)</f>
        <v>Admin</v>
      </c>
      <c r="G512" s="14" t="str">
        <f ca="1">VLOOKUP(CONCATENATE(A512),WorkList!A:C,3,FALSE)</f>
        <v>Meet up with Martin Price</v>
      </c>
      <c r="H512" s="13" t="str">
        <f ca="1">VLOOKUP(CONCATENATE(A512),WorkList!A:D,4,FALSE)</f>
        <v>Neil</v>
      </c>
      <c r="I512" s="15">
        <f ca="1">VLOOKUP(CONCATENATE(A512),WorkList!A:E,5,FALSE)</f>
        <v>40452</v>
      </c>
      <c r="J512" s="49">
        <f ca="1">VLOOKUP(CONCATENATE(A512),WorkList!A:F,6,FALSE)</f>
        <v>0.1</v>
      </c>
      <c r="K512" s="49" t="str">
        <f ca="1">VLOOKUP(CONCATENATE(A512),WorkList!A:G,7,FALSE)</f>
        <v>Other</v>
      </c>
      <c r="L512" s="7" t="s">
        <v>13</v>
      </c>
      <c r="M512" s="16">
        <v>40526</v>
      </c>
      <c r="N512" s="60">
        <f ca="1">VALUE(LEFT(C512))</f>
        <v>0</v>
      </c>
      <c r="O512" s="61">
        <f ca="1">INT(IF(N512&gt;0,1+MAX(N512*N512-(IF(D512="",TODAY()+(5-N512)*15,D512)-TODAY())/4,N512),IF(TODAY()-M512&gt;10,0,1)))</f>
        <v>0</v>
      </c>
      <c r="P512" s="1" t="str">
        <f ca="1">IF(ISNA(VLOOKUP(A512,Projects!B:B,1,FALSE)),"","Yes")</f>
        <v/>
      </c>
    </row>
    <row r="513" spans="1:16">
      <c r="A513" s="4" t="s">
        <v>1553</v>
      </c>
      <c r="B513" s="5" t="s">
        <v>32</v>
      </c>
      <c r="C513" s="6" t="s">
        <v>48</v>
      </c>
      <c r="D513" s="7">
        <v>40455</v>
      </c>
      <c r="F513" s="13" t="str">
        <f ca="1">VLOOKUP(LEFT(A513,IF(ISERROR(FIND(".",A513)),LEN(A513)+1,FIND(".",A513))-1),WorkList!A:C,3,FALSE)</f>
        <v>Admin</v>
      </c>
      <c r="G513" s="14" t="str">
        <f ca="1">VLOOKUP(CONCATENATE(A513),WorkList!A:C,3,FALSE)</f>
        <v>Get desk for Parth</v>
      </c>
      <c r="H513" s="13" t="str">
        <f ca="1">VLOOKUP(CONCATENATE(A513),WorkList!A:D,4,FALSE)</f>
        <v>Pramendra</v>
      </c>
      <c r="I513" s="15">
        <f ca="1">VLOOKUP(CONCATENATE(A513),WorkList!A:E,5,FALSE)</f>
        <v>40452</v>
      </c>
      <c r="J513" s="49">
        <f ca="1">VLOOKUP(CONCATENATE(A513),WorkList!A:F,6,FALSE)</f>
        <v>0.1</v>
      </c>
      <c r="K513" s="49" t="str">
        <f ca="1">VLOOKUP(CONCATENATE(A513),WorkList!A:G,7,FALSE)</f>
        <v>Other</v>
      </c>
      <c r="L513" s="7" t="s">
        <v>13</v>
      </c>
      <c r="M513" s="16">
        <v>40477</v>
      </c>
      <c r="N513" s="60">
        <f ca="1">VALUE(LEFT(C513))</f>
        <v>0</v>
      </c>
      <c r="O513" s="61">
        <f ca="1">INT(IF(N513&gt;0,1+MAX(N513*N513-(IF(D513="",TODAY()+(5-N513)*15,D513)-TODAY())/4,N513),IF(TODAY()-M513&gt;10,0,1)))</f>
        <v>0</v>
      </c>
      <c r="P513" s="1" t="str">
        <f ca="1">IF(ISNA(VLOOKUP(A513,Projects!B:B,1,FALSE)),"","Yes")</f>
        <v/>
      </c>
    </row>
    <row r="514" spans="1:16">
      <c r="A514" s="4" t="s">
        <v>334</v>
      </c>
      <c r="B514" s="5" t="s">
        <v>21</v>
      </c>
      <c r="C514" s="7" t="s">
        <v>197</v>
      </c>
      <c r="D514" s="11"/>
      <c r="F514" s="13" t="str">
        <f ca="1">VLOOKUP(LEFT(A514,IF(ISERROR(FIND(".",A514)),LEN(A514)+1,FIND(".",A514))-1),WorkList!A:C,3,FALSE)</f>
        <v>Admin</v>
      </c>
      <c r="G514" s="14" t="str">
        <f ca="1">VLOOKUP(CONCATENATE(A514),WorkList!A:C,3,FALSE)</f>
        <v>Investigate BWIC tracker</v>
      </c>
      <c r="H514" s="13" t="str">
        <f ca="1">VLOOKUP(CONCATENATE(A514),WorkList!A:D,4,FALSE)</f>
        <v>David</v>
      </c>
      <c r="I514" s="15">
        <f ca="1">VLOOKUP(CONCATENATE(A514),WorkList!A:E,5,FALSE)</f>
        <v>40024</v>
      </c>
      <c r="J514" s="49">
        <f ca="1">VLOOKUP(CONCATENATE(A514),WorkList!A:F,6,FALSE)</f>
        <v>2</v>
      </c>
      <c r="K514" s="49" t="str">
        <f ca="1">VLOOKUP(CONCATENATE(A514),WorkList!A:G,7,FALSE)</f>
        <v>NewDevelopment</v>
      </c>
      <c r="L514" s="7" t="s">
        <v>7</v>
      </c>
      <c r="M514" s="16">
        <v>40239</v>
      </c>
      <c r="N514" s="60">
        <f ca="1">VALUE(LEFT(C514))</f>
        <v>1</v>
      </c>
      <c r="O514" s="61">
        <f ca="1">INT(IF(N514&gt;0,1+MAX(N514*N514-(IF(D514="",TODAY()+(5-N514)*15,D514)-TODAY())/4,N514),IF(TODAY()-M514&gt;10,0,1)))</f>
        <v>2</v>
      </c>
      <c r="P514" s="1" t="str">
        <f ca="1">IF(ISNA(VLOOKUP(A514,Projects!B:B,1,FALSE)),"","Yes")</f>
        <v/>
      </c>
    </row>
    <row r="515" spans="1:16">
      <c r="A515" s="4" t="s">
        <v>1559</v>
      </c>
      <c r="B515" s="5" t="s">
        <v>32</v>
      </c>
      <c r="C515" s="6" t="s">
        <v>48</v>
      </c>
      <c r="D515" s="7">
        <v>40455</v>
      </c>
      <c r="F515" s="13" t="str">
        <f ca="1">VLOOKUP(LEFT(A515,IF(ISERROR(FIND(".",A515)),LEN(A515)+1,FIND(".",A515))-1),WorkList!A:C,3,FALSE)</f>
        <v>Admin</v>
      </c>
      <c r="G515" s="14" t="str">
        <f ca="1">VLOOKUP(CONCATENATE(A515),WorkList!A:C,3,FALSE)</f>
        <v>Get PurifyPlus license for Paresh</v>
      </c>
      <c r="H515" s="13" t="str">
        <f ca="1">VLOOKUP(CONCATENATE(A515),WorkList!A:D,4,FALSE)</f>
        <v>Pramendra</v>
      </c>
      <c r="I515" s="15">
        <f ca="1">VLOOKUP(CONCATENATE(A515),WorkList!A:E,5,FALSE)</f>
        <v>40452</v>
      </c>
      <c r="J515" s="49">
        <f ca="1">VLOOKUP(CONCATENATE(A515),WorkList!A:F,6,FALSE)</f>
        <v>0.1</v>
      </c>
      <c r="K515" s="49" t="str">
        <f ca="1">VLOOKUP(CONCATENATE(A515),WorkList!A:G,7,FALSE)</f>
        <v>Other</v>
      </c>
      <c r="L515" s="7" t="s">
        <v>13</v>
      </c>
      <c r="M515" s="16">
        <v>40477</v>
      </c>
      <c r="N515" s="60">
        <f ca="1">VALUE(LEFT(C515))</f>
        <v>0</v>
      </c>
      <c r="O515" s="61">
        <f ca="1">INT(IF(N515&gt;0,1+MAX(N515*N515-(IF(D515="",TODAY()+(5-N515)*15,D515)-TODAY())/4,N515),IF(TODAY()-M515&gt;10,0,1)))</f>
        <v>0</v>
      </c>
      <c r="P515" s="1" t="str">
        <f ca="1">IF(ISNA(VLOOKUP(A515,Projects!B:B,1,FALSE)),"","Yes")</f>
        <v/>
      </c>
    </row>
    <row r="516" spans="1:16">
      <c r="A516" s="4" t="s">
        <v>1574</v>
      </c>
      <c r="B516" s="5" t="s">
        <v>32</v>
      </c>
      <c r="C516" s="6" t="s">
        <v>48</v>
      </c>
      <c r="F516" s="13" t="str">
        <f ca="1">VLOOKUP(LEFT(A516,IF(ISERROR(FIND(".",A516)),LEN(A516)+1,FIND(".",A516))-1),WorkList!A:C,3,FALSE)</f>
        <v>Admin</v>
      </c>
      <c r="G516" s="14" t="str">
        <f ca="1">VLOOKUP(CONCATENATE(A516),WorkList!A:C,3,FALSE)</f>
        <v>Get Parth fully set up</v>
      </c>
      <c r="H516" s="13" t="str">
        <f ca="1">VLOOKUP(CONCATENATE(A516),WorkList!A:D,4,FALSE)</f>
        <v>Pramendra</v>
      </c>
      <c r="I516" s="15">
        <f ca="1">VLOOKUP(CONCATENATE(A516),WorkList!A:E,5,FALSE)</f>
        <v>40452</v>
      </c>
      <c r="J516" s="49">
        <f ca="1">VLOOKUP(CONCATENATE(A516),WorkList!A:F,6,FALSE)</f>
        <v>0.1</v>
      </c>
      <c r="K516" s="49" t="str">
        <f ca="1">VLOOKUP(CONCATENATE(A516),WorkList!A:G,7,FALSE)</f>
        <v>Other</v>
      </c>
      <c r="L516" s="7" t="s">
        <v>13</v>
      </c>
      <c r="M516" s="16">
        <v>40477</v>
      </c>
      <c r="N516" s="60">
        <f ca="1">VALUE(LEFT(C516))</f>
        <v>0</v>
      </c>
      <c r="O516" s="61">
        <f ca="1">INT(IF(N516&gt;0,1+MAX(N516*N516-(IF(D516="",TODAY()+(5-N516)*15,D516)-TODAY())/4,N516),IF(TODAY()-M516&gt;10,0,1)))</f>
        <v>0</v>
      </c>
      <c r="P516" s="1" t="str">
        <f ca="1">IF(ISNA(VLOOKUP(A516,Projects!B:B,1,FALSE)),"","Yes")</f>
        <v/>
      </c>
    </row>
    <row r="517" spans="1:16">
      <c r="A517" s="4" t="s">
        <v>1576</v>
      </c>
      <c r="B517" s="5" t="s">
        <v>37</v>
      </c>
      <c r="C517" s="6" t="s">
        <v>48</v>
      </c>
      <c r="F517" s="13" t="str">
        <f ca="1">VLOOKUP(LEFT(A517,IF(ISERROR(FIND(".",A517)),LEN(A517)+1,FIND(".",A517))-1),WorkList!A:C,3,FALSE)</f>
        <v>Admin</v>
      </c>
      <c r="G517" s="14" t="str">
        <f ca="1">VLOOKUP(CONCATENATE(A517),WorkList!A:C,3,FALSE)</f>
        <v>Develop plan for Parth</v>
      </c>
      <c r="H517" s="13" t="str">
        <f ca="1">VLOOKUP(CONCATENATE(A517),WorkList!A:D,4,FALSE)</f>
        <v>Neil</v>
      </c>
      <c r="I517" s="15">
        <f ca="1">VLOOKUP(CONCATENATE(A517),WorkList!A:E,5,FALSE)</f>
        <v>40455</v>
      </c>
      <c r="J517" s="49">
        <f ca="1">VLOOKUP(CONCATENATE(A517),WorkList!A:F,6,FALSE)</f>
        <v>1</v>
      </c>
      <c r="K517" s="49" t="str">
        <f ca="1">VLOOKUP(CONCATENATE(A517),WorkList!A:G,7,FALSE)</f>
        <v>Other</v>
      </c>
      <c r="L517" s="7" t="s">
        <v>13</v>
      </c>
      <c r="M517" s="16">
        <v>40477</v>
      </c>
      <c r="N517" s="60">
        <f ca="1">VALUE(LEFT(C517))</f>
        <v>0</v>
      </c>
      <c r="O517" s="61">
        <f ca="1">INT(IF(N517&gt;0,1+MAX(N517*N517-(IF(D517="",TODAY()+(5-N517)*15,D517)-TODAY())/4,N517),IF(TODAY()-M517&gt;10,0,1)))</f>
        <v>0</v>
      </c>
      <c r="P517" s="1" t="str">
        <f ca="1">IF(ISNA(VLOOKUP(A517,Projects!B:B,1,FALSE)),"","Yes")</f>
        <v/>
      </c>
    </row>
    <row r="518" spans="1:16" ht="25.5">
      <c r="A518" s="4" t="s">
        <v>1578</v>
      </c>
      <c r="B518" s="5" t="s">
        <v>32</v>
      </c>
      <c r="C518" s="7" t="s">
        <v>38</v>
      </c>
      <c r="F518" s="13" t="str">
        <f ca="1">VLOOKUP(LEFT(A518,IF(ISERROR(FIND(".",A518)),LEN(A518)+1,FIND(".",A518))-1),WorkList!A:C,3,FALSE)</f>
        <v>Admin</v>
      </c>
      <c r="G518" s="14" t="str">
        <f ca="1">VLOOKUP(CONCATENATE(A518),WorkList!A:C,3,FALSE)</f>
        <v>Figure out scope and priority for Power PT Monthly summary</v>
      </c>
      <c r="H518" s="13" t="str">
        <f ca="1">VLOOKUP(CONCATENATE(A518),WorkList!A:D,4,FALSE)</f>
        <v>Ajay</v>
      </c>
      <c r="I518" s="15">
        <f ca="1">VLOOKUP(CONCATENATE(A518),WorkList!A:E,5,FALSE)</f>
        <v>40455</v>
      </c>
      <c r="J518" s="49">
        <f ca="1">VLOOKUP(CONCATENATE(A518),WorkList!A:F,6,FALSE)</f>
        <v>1</v>
      </c>
      <c r="K518" s="49" t="str">
        <f ca="1">VLOOKUP(CONCATENATE(A518),WorkList!A:G,7,FALSE)</f>
        <v>Other</v>
      </c>
      <c r="L518" s="7" t="s">
        <v>7</v>
      </c>
      <c r="M518" s="16">
        <v>40568</v>
      </c>
      <c r="N518" s="60">
        <f ca="1">VALUE(LEFT(C518))</f>
        <v>2</v>
      </c>
      <c r="O518" s="61">
        <f ca="1">INT(IF(N518&gt;0,1+MAX(N518*N518-(IF(D518="",TODAY()+(5-N518)*15,D518)-TODAY())/4,N518),IF(TODAY()-M518&gt;10,0,1)))</f>
        <v>3</v>
      </c>
      <c r="P518" s="1" t="str">
        <f ca="1">IF(ISNA(VLOOKUP(A518,Projects!B:B,1,FALSE)),"","Yes")</f>
        <v/>
      </c>
    </row>
    <row r="519" spans="1:16">
      <c r="A519" s="4" t="s">
        <v>1686</v>
      </c>
      <c r="B519" s="5" t="s">
        <v>11</v>
      </c>
      <c r="C519" s="7" t="s">
        <v>197</v>
      </c>
      <c r="F519" s="13" t="str">
        <f ca="1">VLOOKUP(LEFT(A519,IF(ISERROR(FIND(".",A519)),LEN(A519)+1,FIND(".",A519))-1),WorkList!A:C,3,FALSE)</f>
        <v>Admin</v>
      </c>
      <c r="G519" s="14" t="str">
        <f ca="1">VLOOKUP(CONCATENATE(A519),WorkList!A:C,3,FALSE)</f>
        <v>Get ODBCConfig working again</v>
      </c>
      <c r="H519" s="13" t="str">
        <f ca="1">VLOOKUP(CONCATENATE(A519),WorkList!A:D,4,FALSE)</f>
        <v>Neil</v>
      </c>
      <c r="I519" s="15">
        <f ca="1">VLOOKUP(CONCATENATE(A519),WorkList!A:E,5,FALSE)</f>
        <v>40490</v>
      </c>
      <c r="J519" s="49">
        <f ca="1">VLOOKUP(CONCATENATE(A519),WorkList!A:F,6,FALSE)</f>
        <v>1</v>
      </c>
      <c r="K519" s="49" t="s">
        <v>289</v>
      </c>
      <c r="L519" s="7" t="s">
        <v>5</v>
      </c>
      <c r="M519" s="16">
        <v>40567</v>
      </c>
      <c r="N519" s="60">
        <f ca="1">VALUE(LEFT(C519))</f>
        <v>1</v>
      </c>
      <c r="O519" s="61">
        <f ca="1">INT(IF(N519&gt;0,1+MAX(N519*N519-(IF(D519="",TODAY()+(5-N519)*15,D519)-TODAY())/4,N519),IF(TODAY()-M519&gt;10,0,1)))</f>
        <v>2</v>
      </c>
      <c r="P519" s="1" t="str">
        <f ca="1">IF(ISNA(VLOOKUP(A519,Projects!B:B,1,FALSE)),"","Yes")</f>
        <v/>
      </c>
    </row>
    <row r="520" spans="1:16">
      <c r="A520" s="4" t="s">
        <v>1756</v>
      </c>
      <c r="B520" s="5" t="s">
        <v>11</v>
      </c>
      <c r="C520" s="7" t="s">
        <v>12</v>
      </c>
      <c r="E520" s="12">
        <v>1</v>
      </c>
      <c r="F520" s="13" t="str">
        <f ca="1">VLOOKUP(LEFT(A520,IF(ISERROR(FIND(".",A520)),LEN(A520)+1,FIND(".",A520))-1),WorkList!A:C,3,FALSE)</f>
        <v>Admin</v>
      </c>
      <c r="G520" s="14" t="str">
        <f ca="1">VLOOKUP(CONCATENATE(A520),WorkList!A:C,3,FALSE)</f>
        <v>Get Intex 5.0.0.6 packaged and released</v>
      </c>
      <c r="H520" s="13" t="str">
        <f ca="1">VLOOKUP(CONCATENATE(A520),WorkList!A:D,4,FALSE)</f>
        <v>Zhuu</v>
      </c>
      <c r="I520" s="15">
        <f ca="1">VLOOKUP(CONCATENATE(A520),WorkList!A:E,5,FALSE)</f>
        <v>40520</v>
      </c>
      <c r="J520" s="49">
        <f ca="1">VLOOKUP(CONCATENATE(A520),WorkList!A:F,6,FALSE)</f>
        <v>1</v>
      </c>
      <c r="K520" s="49" t="str">
        <f ca="1">VLOOKUP(CONCATENATE(A520),WorkList!A:G,7,FALSE)</f>
        <v>Support</v>
      </c>
      <c r="L520" s="7" t="s">
        <v>5</v>
      </c>
      <c r="M520" s="16">
        <v>40520</v>
      </c>
      <c r="N520" s="60">
        <f ca="1">VALUE(LEFT(C520))</f>
        <v>4</v>
      </c>
      <c r="O520" s="61">
        <f ca="1">INT(IF(N520&gt;0,1+MAX(N520*N520-(IF(D520="",TODAY()+(5-N520)*15,D520)-TODAY())/4,N520),IF(TODAY()-M520&gt;10,0,1)))</f>
        <v>13</v>
      </c>
    </row>
    <row r="521" spans="1:16">
      <c r="A521" s="4" t="s">
        <v>1758</v>
      </c>
      <c r="B521" s="5" t="s">
        <v>11</v>
      </c>
      <c r="C521" s="6" t="s">
        <v>48</v>
      </c>
      <c r="F521" s="13" t="str">
        <f ca="1">VLOOKUP(LEFT(A521,IF(ISERROR(FIND(".",A521)),LEN(A521)+1,FIND(".",A521))-1),WorkList!A:C,3,FALSE)</f>
        <v>Admin</v>
      </c>
      <c r="G521" s="14" t="str">
        <f ca="1">VLOOKUP(CONCATENATE(A521),WorkList!A:C,3,FALSE)</f>
        <v>Get PurifyPlus packaged</v>
      </c>
      <c r="H521" s="13" t="str">
        <f ca="1">VLOOKUP(CONCATENATE(A521),WorkList!A:D,4,FALSE)</f>
        <v>Neil</v>
      </c>
      <c r="I521" s="15">
        <f ca="1">VLOOKUP(CONCATENATE(A521),WorkList!A:E,5,FALSE)</f>
        <v>40521</v>
      </c>
      <c r="J521" s="49">
        <f ca="1">VLOOKUP(CONCATENATE(A521),WorkList!A:F,6,FALSE)</f>
        <v>1</v>
      </c>
      <c r="K521" s="49" t="str">
        <f ca="1">VLOOKUP(CONCATENATE(A521),WorkList!A:G,7,FALSE)</f>
        <v>Other</v>
      </c>
      <c r="L521" s="7" t="s">
        <v>13</v>
      </c>
      <c r="M521" s="16">
        <v>40567</v>
      </c>
      <c r="N521" s="60">
        <f ca="1">VALUE(LEFT(C521))</f>
        <v>0</v>
      </c>
      <c r="O521" s="61">
        <f ca="1">INT(IF(N521&gt;0,1+MAX(N521*N521-(IF(D521="",TODAY()+(5-N521)*15,D521)-TODAY())/4,N521),IF(TODAY()-M521&gt;10,0,1)))</f>
        <v>0</v>
      </c>
      <c r="P521" s="1" t="str">
        <f ca="1">IF(ISNA(VLOOKUP(A521,Projects!B:B,1,FALSE)),"","Yes")</f>
        <v/>
      </c>
    </row>
    <row r="522" spans="1:16">
      <c r="A522" s="4" t="s">
        <v>1925</v>
      </c>
      <c r="B522" s="5" t="s">
        <v>11</v>
      </c>
      <c r="C522" s="7" t="s">
        <v>12</v>
      </c>
      <c r="F522" s="13" t="str">
        <f ca="1">VLOOKUP(LEFT(A522,IF(ISERROR(FIND(".",A522)),LEN(A522)+1,FIND(".",A522))-1),WorkList!A:C,3,FALSE)</f>
        <v>Admin</v>
      </c>
      <c r="G522" s="14" t="str">
        <f ca="1">VLOOKUP(CONCATENATE(A522),WorkList!A:C,3,FALSE)</f>
        <v>Get databases rebooted for trace flags</v>
      </c>
      <c r="H522" s="13" t="str">
        <f ca="1">VLOOKUP(CONCATENATE(A522),WorkList!A:D,4,FALSE)</f>
        <v>Neil</v>
      </c>
      <c r="I522" s="15">
        <f ca="1">VLOOKUP(CONCATENATE(A522),WorkList!A:E,5,FALSE)</f>
        <v>40590</v>
      </c>
      <c r="J522" s="49">
        <f ca="1">VLOOKUP(CONCATENATE(A522),WorkList!A:F,6,FALSE)</f>
        <v>1</v>
      </c>
      <c r="K522" s="49" t="str">
        <f ca="1">VLOOKUP(CONCATENATE(A522),WorkList!A:G,7,FALSE)</f>
        <v>Maintenance</v>
      </c>
      <c r="L522" s="7" t="s">
        <v>5</v>
      </c>
      <c r="M522" s="16">
        <v>40590</v>
      </c>
      <c r="N522" s="60">
        <f ca="1">VALUE(LEFT(C522))</f>
        <v>4</v>
      </c>
      <c r="O522" s="61">
        <f ca="1">INT(IF(N522&gt;0,1+MAX(N522*N522-(IF(D522="",TODAY()+(5-N522)*15,D522)-TODAY())/4,N522),IF(TODAY()-M522&gt;10,0,1)))</f>
        <v>13</v>
      </c>
      <c r="P522" s="1" t="str">
        <f ca="1">IF(ISNA(VLOOKUP(A522,Projects!B:B,1,FALSE)),"","Yes")</f>
        <v/>
      </c>
    </row>
    <row r="523" spans="1:16">
      <c r="A523" s="4" t="s">
        <v>1927</v>
      </c>
      <c r="B523" s="5" t="s">
        <v>11</v>
      </c>
      <c r="C523" s="7" t="s">
        <v>684</v>
      </c>
      <c r="F523" s="13" t="str">
        <f ca="1">VLOOKUP(LEFT(A523,IF(ISERROR(FIND(".",A523)),LEN(A523)+1,FIND(".",A523))-1),WorkList!A:C,3,FALSE)</f>
        <v>Admin</v>
      </c>
      <c r="G523" s="14" t="str">
        <f ca="1">VLOOKUP(CONCATENATE(A523),WorkList!A:C,3,FALSE)</f>
        <v>Get travel to Mumbai arranged</v>
      </c>
      <c r="H523" s="13" t="str">
        <f ca="1">VLOOKUP(CONCATENATE(A523),WorkList!A:D,4,FALSE)</f>
        <v>Neil</v>
      </c>
      <c r="I523" s="15">
        <f ca="1">VLOOKUP(CONCATENATE(A523),WorkList!A:E,5,FALSE)</f>
        <v>40590</v>
      </c>
      <c r="J523" s="49">
        <f ca="1">VLOOKUP(CONCATENATE(A523),WorkList!A:F,6,FALSE)</f>
        <v>1</v>
      </c>
      <c r="K523" s="49" t="str">
        <f ca="1">VLOOKUP(CONCATENATE(A523),WorkList!A:G,7,FALSE)</f>
        <v>Other</v>
      </c>
      <c r="L523" s="7" t="s">
        <v>5</v>
      </c>
      <c r="M523" s="16">
        <v>40590</v>
      </c>
      <c r="N523" s="60">
        <f ca="1">VALUE(LEFT(C523))</f>
        <v>5</v>
      </c>
      <c r="O523" s="61">
        <f ca="1">INT(IF(N523&gt;0,1+MAX(N523*N523-(IF(D523="",TODAY()+(5-N523)*15,D523)-TODAY())/4,N523),IF(TODAY()-M523&gt;10,0,1)))</f>
        <v>26</v>
      </c>
      <c r="P523" s="1" t="str">
        <f ca="1">IF(ISNA(VLOOKUP(A523,Projects!B:B,1,FALSE)),"","Yes")</f>
        <v/>
      </c>
    </row>
    <row r="524" spans="1:16">
      <c r="A524" s="43" t="s">
        <v>1958</v>
      </c>
      <c r="B524" s="5" t="s">
        <v>11</v>
      </c>
      <c r="C524" s="7" t="s">
        <v>684</v>
      </c>
      <c r="F524" s="13" t="str">
        <f ca="1">VLOOKUP(LEFT(A524,IF(ISERROR(FIND(".",A524)),LEN(A524)+1,FIND(".",A524))-1),WorkList!A:C,3,FALSE)</f>
        <v>Admin</v>
      </c>
      <c r="G524" s="14" t="str">
        <f ca="1">VLOOKUP(CONCATENATE(A524),WorkList!A:C,3,FALSE)</f>
        <v>Renew SAS License 2011</v>
      </c>
      <c r="H524" s="13" t="str">
        <f ca="1">VLOOKUP(CONCATENATE(A524),WorkList!A:D,4,FALSE)</f>
        <v>Neil</v>
      </c>
      <c r="I524" s="15">
        <f ca="1">VLOOKUP(CONCATENATE(A524),WorkList!A:E,5,FALSE)</f>
        <v>40598</v>
      </c>
      <c r="J524" s="49">
        <f ca="1">VLOOKUP(CONCATENATE(A524),WorkList!A:F,6,FALSE)</f>
        <v>1</v>
      </c>
      <c r="K524" s="49" t="str">
        <f ca="1">VLOOKUP(CONCATENATE(A524),WorkList!A:G,7,FALSE)</f>
        <v>Support</v>
      </c>
      <c r="L524" s="7" t="s">
        <v>5</v>
      </c>
      <c r="M524" s="16">
        <v>40598</v>
      </c>
      <c r="N524" s="60">
        <f ca="1">VALUE(LEFT(C524))</f>
        <v>5</v>
      </c>
      <c r="O524" s="61">
        <f ca="1">INT(IF(N524&gt;0,1+MAX(N524*N524-(IF(D524="",TODAY()+(5-N524)*15,D524)-TODAY())/4,N524),IF(TODAY()-M524&gt;10,0,1)))</f>
        <v>26</v>
      </c>
      <c r="P524" s="1" t="str">
        <f ca="1">IF(ISNA(VLOOKUP(A524,Projects!B:B,1,FALSE)),"","Yes")</f>
        <v/>
      </c>
    </row>
    <row r="525" spans="1:16">
      <c r="A525" s="4" t="s">
        <v>355</v>
      </c>
      <c r="B525" s="5" t="s">
        <v>21</v>
      </c>
      <c r="C525" s="7" t="s">
        <v>197</v>
      </c>
      <c r="D525" s="11"/>
      <c r="F525" s="13" t="str">
        <f ca="1">VLOOKUP(LEFT(A525,IF(ISERROR(FIND(".",A525)),LEN(A525)+1,FIND(".",A525))-1),WorkList!A:C,3,FALSE)</f>
        <v>Admin</v>
      </c>
      <c r="G525" s="14" t="str">
        <f ca="1">VLOOKUP(CONCATENATE(A525),WorkList!A:C,3,FALSE)</f>
        <v>Copy old Lehman files</v>
      </c>
      <c r="H525" s="13" t="str">
        <f ca="1">VLOOKUP(CONCATENATE(A525),WorkList!A:D,4,FALSE)</f>
        <v>Danny</v>
      </c>
      <c r="I525" s="15">
        <f ca="1">VLOOKUP(CONCATENATE(A525),WorkList!A:E,5,FALSE)</f>
        <v>40053</v>
      </c>
      <c r="J525" s="49">
        <f ca="1">VLOOKUP(CONCATENATE(A525),WorkList!A:F,6,FALSE)</f>
        <v>1</v>
      </c>
      <c r="K525" s="49" t="str">
        <f ca="1">VLOOKUP(CONCATENATE(A525),WorkList!A:G,7,FALSE)</f>
        <v>NewDevelopment</v>
      </c>
      <c r="L525" s="7" t="s">
        <v>7</v>
      </c>
      <c r="M525" s="16">
        <v>40239</v>
      </c>
      <c r="N525" s="60">
        <f ca="1">VALUE(LEFT(C525))</f>
        <v>1</v>
      </c>
      <c r="O525" s="61">
        <f ca="1">INT(IF(N525&gt;0,1+MAX(N525*N525-(IF(D525="",TODAY()+(5-N525)*15,D525)-TODAY())/4,N525),IF(TODAY()-M525&gt;10,0,1)))</f>
        <v>2</v>
      </c>
      <c r="P525" s="1" t="str">
        <f ca="1">IF(ISNA(VLOOKUP(A525,Projects!B:B,1,FALSE)),"","Yes")</f>
        <v/>
      </c>
    </row>
    <row r="526" spans="1:16">
      <c r="A526" s="4" t="s">
        <v>394</v>
      </c>
      <c r="B526" s="5" t="s">
        <v>11</v>
      </c>
      <c r="C526" s="6" t="s">
        <v>48</v>
      </c>
      <c r="D526" s="11"/>
      <c r="F526" s="13" t="str">
        <f ca="1">VLOOKUP(LEFT(A526,IF(ISERROR(FIND(".",A526)),LEN(A526)+1,FIND(".",A526))-1),WorkList!A:C,3,FALSE)</f>
        <v>Admin</v>
      </c>
      <c r="G526" s="14" t="str">
        <f ca="1">VLOOKUP(CONCATENATE(A526),WorkList!A:C,3,FALSE)</f>
        <v>Get dedicated PC for Danny</v>
      </c>
      <c r="H526" s="13" t="str">
        <f ca="1">VLOOKUP(CONCATENATE(A526),WorkList!A:D,4,FALSE)</f>
        <v>Danny</v>
      </c>
      <c r="I526" s="15">
        <f ca="1">VLOOKUP(CONCATENATE(A526),WorkList!A:E,5,FALSE)</f>
        <v>40053</v>
      </c>
      <c r="J526" s="49">
        <f ca="1">VLOOKUP(CONCATENATE(A526),WorkList!A:F,6,FALSE)</f>
        <v>0.5</v>
      </c>
      <c r="K526" s="49" t="str">
        <f ca="1">VLOOKUP(CONCATENATE(A526),WorkList!A:G,7,FALSE)</f>
        <v>Enhancement</v>
      </c>
      <c r="L526" s="7" t="s">
        <v>13</v>
      </c>
      <c r="M526" s="16">
        <v>40406</v>
      </c>
      <c r="N526" s="60">
        <f ca="1">VALUE(LEFT(C526))</f>
        <v>0</v>
      </c>
      <c r="O526" s="61">
        <f ca="1">INT(IF(N526&gt;0,1+MAX(N526*N526-(IF(D526="",TODAY()+(5-N526)*15,D526)-TODAY())/4,N526),IF(TODAY()-M526&gt;10,0,1)))</f>
        <v>0</v>
      </c>
      <c r="P526" s="1" t="str">
        <f ca="1">IF(ISNA(VLOOKUP(A526,Projects!B:B,1,FALSE)),"","Yes")</f>
        <v/>
      </c>
    </row>
    <row r="527" spans="1:16">
      <c r="A527" s="4" t="s">
        <v>416</v>
      </c>
      <c r="B527" s="5" t="s">
        <v>11</v>
      </c>
      <c r="C527" s="6" t="s">
        <v>48</v>
      </c>
      <c r="D527" s="11"/>
      <c r="F527" s="13" t="str">
        <f ca="1">VLOOKUP(LEFT(A527,IF(ISERROR(FIND(".",A527)),LEN(A527)+1,FIND(".",A527))-1),WorkList!A:C,3,FALSE)</f>
        <v>Admin</v>
      </c>
      <c r="G527" s="14" t="str">
        <f ca="1">VLOOKUP(CONCATENATE(A527),WorkList!A:C,3,FALSE)</f>
        <v>Get Intex PC moved</v>
      </c>
      <c r="H527" s="13" t="str">
        <f ca="1">VLOOKUP(CONCATENATE(A527),WorkList!A:D,4,FALSE)</f>
        <v>Neil</v>
      </c>
      <c r="I527" s="15">
        <f ca="1">VLOOKUP(CONCATENATE(A527),WorkList!A:E,5,FALSE)</f>
        <v>40045</v>
      </c>
      <c r="J527" s="49">
        <f ca="1">VLOOKUP(CONCATENATE(A527),WorkList!A:F,6,FALSE)</f>
        <v>0</v>
      </c>
      <c r="K527" s="49">
        <f ca="1">VLOOKUP(CONCATENATE(A527),WorkList!A:G,7,FALSE)</f>
        <v>0</v>
      </c>
      <c r="L527" s="7" t="s">
        <v>13</v>
      </c>
      <c r="M527" s="16">
        <v>40052</v>
      </c>
      <c r="N527" s="60">
        <f ca="1">VALUE(LEFT(C527))</f>
        <v>0</v>
      </c>
      <c r="O527" s="61">
        <f ca="1">INT(IF(N527&gt;0,1+MAX(N527*N527-(IF(D527="",TODAY()+(5-N527)*15,D527)-TODAY())/4,N527),IF(TODAY()-M527&gt;10,0,1)))</f>
        <v>0</v>
      </c>
      <c r="P527" s="1" t="str">
        <f ca="1">IF(ISNA(VLOOKUP(A527,Projects!B:B,1,FALSE)),"","Yes")</f>
        <v/>
      </c>
    </row>
    <row r="528" spans="1:16">
      <c r="A528" s="4" t="s">
        <v>505</v>
      </c>
      <c r="B528" s="5" t="s">
        <v>11</v>
      </c>
      <c r="C528" s="7" t="s">
        <v>48</v>
      </c>
      <c r="D528" s="11"/>
      <c r="F528" s="13" t="str">
        <f ca="1">VLOOKUP(LEFT(A528,IF(ISERROR(FIND(".",A528)),LEN(A528)+1,FIND(".",A528))-1),WorkList!A:C,3,FALSE)</f>
        <v>Admin</v>
      </c>
      <c r="G528" s="14" t="str">
        <f ca="1">VLOOKUP(CONCATENATE(A528),WorkList!A:C,3,FALSE)</f>
        <v>Make Plan Outlook folder shared</v>
      </c>
      <c r="H528" s="13" t="str">
        <f ca="1">VLOOKUP(CONCATENATE(A528),WorkList!A:D,4,FALSE)</f>
        <v>Neil</v>
      </c>
      <c r="I528" s="15">
        <f ca="1">VLOOKUP(CONCATENATE(A528),WorkList!A:E,5,FALSE)</f>
        <v>40086</v>
      </c>
      <c r="J528" s="49">
        <f ca="1">VLOOKUP(CONCATENATE(A528),WorkList!A:F,6,FALSE)</f>
        <v>0.5</v>
      </c>
      <c r="K528" s="49">
        <f ca="1">VLOOKUP(CONCATENATE(A528),WorkList!A:G,7,FALSE)</f>
        <v>0</v>
      </c>
      <c r="L528" s="7" t="s">
        <v>13</v>
      </c>
      <c r="M528" s="16">
        <v>40283</v>
      </c>
      <c r="N528" s="60">
        <f ca="1">VALUE(LEFT(C528))</f>
        <v>0</v>
      </c>
      <c r="O528" s="61">
        <f ca="1">INT(IF(N528&gt;0,1+MAX(N528*N528-(IF(D528="",TODAY()+(5-N528)*15,D528)-TODAY())/4,N528),IF(TODAY()-M528&gt;10,0,1)))</f>
        <v>0</v>
      </c>
      <c r="P528" s="1" t="str">
        <f ca="1">IF(ISNA(VLOOKUP(A528,Projects!B:B,1,FALSE)),"","Yes")</f>
        <v/>
      </c>
    </row>
    <row r="529" spans="1:16">
      <c r="A529" s="4" t="s">
        <v>714</v>
      </c>
      <c r="B529" s="5" t="s">
        <v>11</v>
      </c>
      <c r="C529" s="7" t="s">
        <v>12</v>
      </c>
      <c r="D529" s="11"/>
      <c r="F529" s="13" t="str">
        <f ca="1">VLOOKUP(LEFT(A529,IF(ISERROR(FIND(".",A529)),LEN(A529)+1,FIND(".",A529))-1),WorkList!A:C,3,FALSE)</f>
        <v>Admin</v>
      </c>
      <c r="G529" s="14" t="str">
        <f ca="1">VLOOKUP(CONCATENATE(A529),WorkList!A:C,3,FALSE)</f>
        <v>Management</v>
      </c>
      <c r="H529" s="13" t="str">
        <f ca="1">VLOOKUP(CONCATENATE(A529),WorkList!A:D,4,FALSE)</f>
        <v>Neil</v>
      </c>
      <c r="I529" s="15">
        <f ca="1">VLOOKUP(CONCATENATE(A529),WorkList!A:E,5,FALSE)</f>
        <v>40135</v>
      </c>
      <c r="J529" s="49">
        <f ca="1">VLOOKUP(CONCATENATE(A529),WorkList!A:F,6,FALSE)</f>
        <v>52</v>
      </c>
      <c r="K529" s="49" t="str">
        <f ca="1">VLOOKUP(CONCATENATE(A529),WorkList!A:G,7,FALSE)</f>
        <v>Support</v>
      </c>
      <c r="L529" s="7" t="s">
        <v>289</v>
      </c>
      <c r="M529" s="16">
        <v>40304</v>
      </c>
      <c r="N529" s="60">
        <f ca="1">VALUE(LEFT(C529))</f>
        <v>4</v>
      </c>
      <c r="O529" s="61">
        <f ca="1">INT(IF(N529&gt;0,1+MAX(N529*N529-(IF(D529="",TODAY()+(5-N529)*15,D529)-TODAY())/4,N529),IF(TODAY()-M529&gt;10,0,1)))</f>
        <v>13</v>
      </c>
      <c r="P529" s="1" t="str">
        <f ca="1">IF(ISNA(VLOOKUP(A529,Projects!B:B,1,FALSE)),"","Yes")</f>
        <v/>
      </c>
    </row>
    <row r="530" spans="1:16" ht="25.5">
      <c r="A530" s="4" t="s">
        <v>812</v>
      </c>
      <c r="B530" s="5" t="s">
        <v>919</v>
      </c>
      <c r="C530" s="6" t="s">
        <v>48</v>
      </c>
      <c r="D530" s="11"/>
      <c r="F530" s="13" t="str">
        <f ca="1">VLOOKUP(LEFT(A530,IF(ISERROR(FIND(".",A530)),LEN(A530)+1,FIND(".",A530))-1),WorkList!A:C,3,FALSE)</f>
        <v>Admin</v>
      </c>
      <c r="G530" s="14" t="str">
        <f ca="1">VLOOKUP(CONCATENATE(A530),WorkList!A:C,3,FALSE)</f>
        <v>Find a better way to show accurate loan load status info on the wiki</v>
      </c>
      <c r="H530" s="13" t="str">
        <f ca="1">VLOOKUP(CONCATENATE(A530),WorkList!A:D,4,FALSE)</f>
        <v>Neil</v>
      </c>
      <c r="I530" s="15">
        <f ca="1">VLOOKUP(CONCATENATE(A530),WorkList!A:E,5,FALSE)</f>
        <v>40182</v>
      </c>
      <c r="J530" s="49">
        <f ca="1">VLOOKUP(CONCATENATE(A530),WorkList!A:F,6,FALSE)</f>
        <v>15</v>
      </c>
      <c r="K530" s="49">
        <f ca="1">VLOOKUP(CONCATENATE(A530),WorkList!A:G,7,FALSE)</f>
        <v>0</v>
      </c>
      <c r="L530" s="7" t="s">
        <v>13</v>
      </c>
      <c r="M530" s="16">
        <v>40245</v>
      </c>
      <c r="N530" s="60">
        <f ca="1">VALUE(LEFT(C530))</f>
        <v>0</v>
      </c>
      <c r="O530" s="61">
        <f ca="1">INT(IF(N530&gt;0,1+MAX(N530*N530-(IF(D530="",TODAY()+(5-N530)*15,D530)-TODAY())/4,N530),IF(TODAY()-M530&gt;10,0,1)))</f>
        <v>0</v>
      </c>
      <c r="P530" s="1" t="str">
        <f ca="1">IF(ISNA(VLOOKUP(A530,Projects!B:B,1,FALSE)),"","Yes")</f>
        <v/>
      </c>
    </row>
    <row r="531" spans="1:16">
      <c r="A531" s="4" t="s">
        <v>847</v>
      </c>
      <c r="B531" s="5" t="s">
        <v>11</v>
      </c>
      <c r="C531" s="6" t="s">
        <v>48</v>
      </c>
      <c r="D531" s="11"/>
      <c r="F531" s="13" t="str">
        <f ca="1">VLOOKUP(LEFT(A531,IF(ISERROR(FIND(".",A531)),LEN(A531)+1,FIND(".",A531))-1),WorkList!A:C,3,FALSE)</f>
        <v>Admin</v>
      </c>
      <c r="G531" s="14" t="str">
        <f ca="1">VLOOKUP(CONCATENATE(A531),WorkList!A:C,3,FALSE)</f>
        <v>SAS Server move</v>
      </c>
      <c r="H531" s="13" t="str">
        <f ca="1">VLOOKUP(CONCATENATE(A531),WorkList!A:D,4,FALSE)</f>
        <v>Neil</v>
      </c>
      <c r="I531" s="15">
        <f ca="1">VLOOKUP(CONCATENATE(A531),WorkList!A:E,5,FALSE)</f>
        <v>40192</v>
      </c>
      <c r="J531" s="49">
        <f ca="1">VLOOKUP(CONCATENATE(A531),WorkList!A:F,6,FALSE)</f>
        <v>2</v>
      </c>
      <c r="K531" s="49" t="str">
        <f ca="1">VLOOKUP(CONCATENATE(A531),WorkList!A:G,7,FALSE)</f>
        <v>NewDevelopment</v>
      </c>
      <c r="L531" s="7" t="s">
        <v>13</v>
      </c>
      <c r="M531" s="16">
        <v>40364</v>
      </c>
      <c r="N531" s="60">
        <f ca="1">VALUE(LEFT(C531))</f>
        <v>0</v>
      </c>
      <c r="O531" s="61">
        <f ca="1">INT(IF(N531&gt;0,1+MAX(N531*N531-(IF(D531="",TODAY()+(5-N531)*15,D531)-TODAY())/4,N531),IF(TODAY()-M531&gt;10,0,1)))</f>
        <v>0</v>
      </c>
      <c r="P531" s="1" t="str">
        <f ca="1">IF(ISNA(VLOOKUP(A531,Projects!B:B,1,FALSE)),"","Yes")</f>
        <v/>
      </c>
    </row>
    <row r="532" spans="1:16">
      <c r="A532" s="4" t="s">
        <v>1636</v>
      </c>
      <c r="B532" s="5" t="s">
        <v>11</v>
      </c>
      <c r="C532" s="6" t="s">
        <v>48</v>
      </c>
      <c r="F532" s="13" t="str">
        <f ca="1">VLOOKUP(LEFT(A532,IF(ISERROR(FIND(".",A532)),LEN(A532)+1,FIND(".",A532))-1),WorkList!A:C,3,FALSE)</f>
        <v>Admin</v>
      </c>
      <c r="G532" s="14" t="str">
        <f ca="1">VLOOKUP(CONCATENATE(A532),WorkList!A:C,3,FALSE)</f>
        <v>NoHo Migration: Develop plan</v>
      </c>
      <c r="H532" s="13" t="str">
        <f ca="1">VLOOKUP(CONCATENATE(A532),WorkList!A:D,4,FALSE)</f>
        <v>Neil</v>
      </c>
      <c r="I532" s="15">
        <f ca="1">VLOOKUP(CONCATENATE(A532),WorkList!A:E,5,FALSE)</f>
        <v>40438</v>
      </c>
      <c r="J532" s="49">
        <f ca="1">VLOOKUP(CONCATENATE(A532),WorkList!A:F,6,FALSE)</f>
        <v>2</v>
      </c>
      <c r="K532" s="49" t="str">
        <f ca="1">VLOOKUP(CONCATENATE(A532),WorkList!A:G,7,FALSE)</f>
        <v>Support</v>
      </c>
      <c r="L532" s="7" t="s">
        <v>13</v>
      </c>
      <c r="M532" s="16">
        <v>40520</v>
      </c>
      <c r="N532" s="60">
        <f ca="1">VALUE(LEFT(C532))</f>
        <v>0</v>
      </c>
      <c r="O532" s="61">
        <f ca="1">INT(IF(N532&gt;0,1+MAX(N532*N532-(IF(D532="",TODAY()+(5-N532)*15,D532)-TODAY())/4,N532),IF(TODAY()-M532&gt;10,0,1)))</f>
        <v>0</v>
      </c>
      <c r="P532" s="1" t="str">
        <f ca="1">IF(ISNA(VLOOKUP(A532,Projects!B:B,1,FALSE)),"","Yes")</f>
        <v>Yes</v>
      </c>
    </row>
    <row r="533" spans="1:16">
      <c r="A533" s="4" t="s">
        <v>1635</v>
      </c>
      <c r="B533" s="5" t="s">
        <v>32</v>
      </c>
      <c r="C533" s="6" t="s">
        <v>48</v>
      </c>
      <c r="F533" s="13" t="str">
        <f ca="1">VLOOKUP(LEFT(A533,IF(ISERROR(FIND(".",A533)),LEN(A533)+1,FIND(".",A533))-1),WorkList!A:C,3,FALSE)</f>
        <v>Admin</v>
      </c>
      <c r="G533" s="14" t="str">
        <f ca="1">VLOOKUP(CONCATENATE(A533),WorkList!A:C,3,FALSE)</f>
        <v>NoHo Migration: Develop plan</v>
      </c>
      <c r="H533" s="13" t="str">
        <f ca="1">VLOOKUP(CONCATENATE(A533),WorkList!A:D,4,FALSE)</f>
        <v>Neil</v>
      </c>
      <c r="I533" s="15">
        <f ca="1">VLOOKUP(CONCATENATE(A533),WorkList!A:E,5,FALSE)</f>
        <v>40477</v>
      </c>
      <c r="J533" s="49">
        <f ca="1">VLOOKUP(CONCATENATE(A533),WorkList!A:F,6,FALSE)</f>
        <v>2</v>
      </c>
      <c r="K533" s="49" t="str">
        <f ca="1">VLOOKUP(CONCATENATE(A533),WorkList!A:G,7,FALSE)</f>
        <v>Support</v>
      </c>
      <c r="L533" s="7" t="s">
        <v>13</v>
      </c>
      <c r="M533" s="16">
        <v>40505</v>
      </c>
      <c r="N533" s="60">
        <f ca="1">VALUE(LEFT(C533))</f>
        <v>0</v>
      </c>
      <c r="O533" s="61">
        <f ca="1">INT(IF(N533&gt;0,1+MAX(N533*N533-(IF(D533="",TODAY()+(5-N533)*15,D533)-TODAY())/4,N533),IF(TODAY()-M533&gt;10,0,1)))</f>
        <v>0</v>
      </c>
      <c r="P533" s="1" t="str">
        <f ca="1">IF(ISNA(VLOOKUP(A533,Projects!B:B,1,FALSE)),"","Yes")</f>
        <v>Yes</v>
      </c>
    </row>
    <row r="534" spans="1:16">
      <c r="A534" s="4" t="s">
        <v>1518</v>
      </c>
      <c r="B534" s="5" t="s">
        <v>919</v>
      </c>
      <c r="C534" s="6" t="s">
        <v>48</v>
      </c>
      <c r="D534" s="7">
        <v>40487</v>
      </c>
      <c r="F534" s="13" t="str">
        <f ca="1">VLOOKUP(LEFT(A534,IF(ISERROR(FIND(".",A534)),LEN(A534)+1,FIND(".",A534))-1),WorkList!A:C,3,FALSE)</f>
        <v>Admin</v>
      </c>
      <c r="G534" s="14" t="str">
        <f ca="1">VLOOKUP(CONCATENATE(A534),WorkList!A:C,3,FALSE)</f>
        <v>NoHo Migration: Get VM and user accounts set up</v>
      </c>
      <c r="H534" s="13" t="str">
        <f ca="1">VLOOKUP(CONCATENATE(A534),WorkList!A:D,4,FALSE)</f>
        <v>Neil</v>
      </c>
      <c r="I534" s="15">
        <f ca="1">VLOOKUP(CONCATENATE(A534),WorkList!A:E,5,FALSE)</f>
        <v>40438</v>
      </c>
      <c r="J534" s="49">
        <f ca="1">VLOOKUP(CONCATENATE(A534),WorkList!A:F,6,FALSE)</f>
        <v>2</v>
      </c>
      <c r="K534" s="49" t="str">
        <f ca="1">VLOOKUP(CONCATENATE(A534),WorkList!A:G,7,FALSE)</f>
        <v>Maintenance</v>
      </c>
      <c r="L534" s="7" t="s">
        <v>13</v>
      </c>
      <c r="M534" s="16">
        <v>40505</v>
      </c>
      <c r="N534" s="60">
        <f ca="1">VALUE(LEFT(C534))</f>
        <v>0</v>
      </c>
      <c r="O534" s="61">
        <f ca="1">INT(IF(N534&gt;0,1+MAX(N534*N534-(IF(D534="",TODAY()+(5-N534)*15,D534)-TODAY())/4,N534),IF(TODAY()-M534&gt;10,0,1)))</f>
        <v>0</v>
      </c>
      <c r="P534" s="1" t="str">
        <f ca="1">IF(ISNA(VLOOKUP(A534,Projects!B:B,1,FALSE)),"","Yes")</f>
        <v>Yes</v>
      </c>
    </row>
    <row r="535" spans="1:16">
      <c r="A535" s="4" t="s">
        <v>1557</v>
      </c>
      <c r="B535" s="5" t="s">
        <v>11</v>
      </c>
      <c r="C535" s="6" t="s">
        <v>48</v>
      </c>
      <c r="F535" s="13" t="str">
        <f ca="1">VLOOKUP(LEFT(A535,IF(ISERROR(FIND(".",A535)),LEN(A535)+1,FIND(".",A535))-1),WorkList!A:C,3,FALSE)</f>
        <v>Admin</v>
      </c>
      <c r="G535" s="14" t="str">
        <f ca="1">VLOOKUP(CONCATENATE(A535),WorkList!A:C,3,FALSE)</f>
        <v>NoHo Migration: Project Office Tasks</v>
      </c>
      <c r="H535" s="13" t="str">
        <f ca="1">VLOOKUP(CONCATENATE(A535),WorkList!A:D,4,FALSE)</f>
        <v>Neil</v>
      </c>
      <c r="I535" s="15">
        <f ca="1">VLOOKUP(CONCATENATE(A535),WorkList!A:E,5,FALSE)</f>
        <v>40465</v>
      </c>
      <c r="J535" s="49">
        <f ca="1">VLOOKUP(CONCATENATE(A535),WorkList!A:F,6,FALSE)</f>
        <v>5</v>
      </c>
      <c r="K535" s="49" t="str">
        <f ca="1">VLOOKUP(CONCATENATE(A535),WorkList!A:G,7,FALSE)</f>
        <v>Maintenance</v>
      </c>
      <c r="L535" s="7" t="s">
        <v>13</v>
      </c>
      <c r="M535" s="16">
        <v>40520</v>
      </c>
      <c r="N535" s="60">
        <f ca="1">VALUE(LEFT(C535))</f>
        <v>0</v>
      </c>
      <c r="O535" s="61">
        <f ca="1">INT(IF(N535&gt;0,1+MAX(N535*N535-(IF(D535="",TODAY()+(5-N535)*15,D535)-TODAY())/4,N535),IF(TODAY()-M535&gt;10,0,1)))</f>
        <v>0</v>
      </c>
      <c r="P535" s="1" t="str">
        <f ca="1">IF(ISNA(VLOOKUP(A535,Projects!B:B,1,FALSE)),"","Yes")</f>
        <v/>
      </c>
    </row>
    <row r="536" spans="1:16">
      <c r="A536" s="4" t="s">
        <v>1586</v>
      </c>
      <c r="B536" s="5" t="s">
        <v>11</v>
      </c>
      <c r="C536" s="6" t="s">
        <v>48</v>
      </c>
      <c r="F536" s="13" t="str">
        <f ca="1">VLOOKUP(LEFT(A536,IF(ISERROR(FIND(".",A536)),LEN(A536)+1,FIND(".",A536))-1),WorkList!A:C,3,FALSE)</f>
        <v>Admin</v>
      </c>
      <c r="G536" s="14" t="str">
        <f ca="1">VLOOKUP(CONCATENATE(A536),WorkList!A:C,3,FALSE)</f>
        <v>NoHo Migration: DR test before migration</v>
      </c>
      <c r="H536" s="13" t="str">
        <f ca="1">VLOOKUP(CONCATENATE(A536),WorkList!A:D,4,FALSE)</f>
        <v>Neil</v>
      </c>
      <c r="I536" s="15">
        <f ca="1">VLOOKUP(CONCATENATE(A536),WorkList!A:E,5,FALSE)</f>
        <v>40465</v>
      </c>
      <c r="J536" s="49">
        <f ca="1">VLOOKUP(CONCATENATE(A536),WorkList!A:F,6,FALSE)</f>
        <v>5</v>
      </c>
      <c r="K536" s="49" t="str">
        <f ca="1">VLOOKUP(CONCATENATE(A536),WorkList!A:G,7,FALSE)</f>
        <v>Support</v>
      </c>
      <c r="L536" s="7" t="s">
        <v>13</v>
      </c>
      <c r="M536" s="16">
        <v>40520</v>
      </c>
      <c r="N536" s="60">
        <f ca="1">VALUE(LEFT(C536))</f>
        <v>0</v>
      </c>
      <c r="O536" s="61">
        <f ca="1">INT(IF(N536&gt;0,1+MAX(N536*N536-(IF(D536="",TODAY()+(5-N536)*15,D536)-TODAY())/4,N536),IF(TODAY()-M536&gt;10,0,1)))</f>
        <v>0</v>
      </c>
      <c r="P536" s="1" t="str">
        <f ca="1">IF(ISNA(VLOOKUP(A536,Projects!B:B,1,FALSE)),"","Yes")</f>
        <v/>
      </c>
    </row>
    <row r="537" spans="1:16">
      <c r="A537" s="4" t="s">
        <v>1434</v>
      </c>
      <c r="B537" s="5" t="s">
        <v>919</v>
      </c>
      <c r="C537" s="6" t="s">
        <v>48</v>
      </c>
      <c r="F537" s="13" t="str">
        <f ca="1">VLOOKUP(LEFT(A537,IF(ISERROR(FIND(".",A537)),LEN(A537)+1,FIND(".",A537))-1),WorkList!A:C,3,FALSE)</f>
        <v>Admin</v>
      </c>
      <c r="G537" s="14" t="str">
        <f ca="1">VLOOKUP(CONCATENATE(A537),WorkList!A:C,3,FALSE)</f>
        <v>DocQual: Agree Requirements for Batch Apps</v>
      </c>
      <c r="H537" s="13" t="str">
        <f ca="1">VLOOKUP(CONCATENATE(A537),WorkList!A:D,4,FALSE)</f>
        <v>Neil</v>
      </c>
      <c r="I537" s="15">
        <f ca="1">VLOOKUP(CONCATENATE(A537),WorkList!A:E,5,FALSE)</f>
        <v>40410</v>
      </c>
      <c r="J537" s="49">
        <f ca="1">VLOOKUP(CONCATENATE(A537),WorkList!A:F,6,FALSE)</f>
        <v>1</v>
      </c>
      <c r="K537" s="49" t="str">
        <f ca="1">VLOOKUP(CONCATENATE(A537),WorkList!A:G,7,FALSE)</f>
        <v>Support</v>
      </c>
      <c r="L537" s="7" t="s">
        <v>13</v>
      </c>
      <c r="M537" s="16">
        <v>40567</v>
      </c>
      <c r="N537" s="60">
        <f ca="1">VALUE(LEFT(C537))</f>
        <v>0</v>
      </c>
      <c r="O537" s="61">
        <f ca="1">INT(IF(N537&gt;0,1+MAX(N537*N537-(IF(D537="",TODAY()+(5-N537)*15,D537)-TODAY())/4,N537),IF(TODAY()-M537&gt;10,0,1)))</f>
        <v>0</v>
      </c>
      <c r="P537" s="1" t="str">
        <f ca="1">IF(ISNA(VLOOKUP(A537,Projects!B:B,1,FALSE)),"","Yes")</f>
        <v>Yes</v>
      </c>
    </row>
    <row r="538" spans="1:16">
      <c r="A538" s="4" t="s">
        <v>1435</v>
      </c>
      <c r="B538" s="5" t="s">
        <v>1159</v>
      </c>
      <c r="C538" s="7" t="s">
        <v>48</v>
      </c>
      <c r="F538" s="13" t="str">
        <f ca="1">VLOOKUP(LEFT(A538,IF(ISERROR(FIND(".",A538)),LEN(A538)+1,FIND(".",A538))-1),WorkList!A:C,3,FALSE)</f>
        <v>Admin</v>
      </c>
      <c r="G538" s="14" t="str">
        <f ca="1">VLOOKUP(CONCATENATE(A538),WorkList!A:C,3,FALSE)</f>
        <v>DocQual: Agree Requirements for Batch Apps</v>
      </c>
      <c r="H538" s="13" t="str">
        <f ca="1">VLOOKUP(CONCATENATE(A538),WorkList!A:D,4,FALSE)</f>
        <v>Neil</v>
      </c>
      <c r="I538" s="15">
        <f ca="1">VLOOKUP(CONCATENATE(A538),WorkList!A:E,5,FALSE)</f>
        <v>40410</v>
      </c>
      <c r="J538" s="49">
        <f ca="1">VLOOKUP(CONCATENATE(A538),WorkList!A:F,6,FALSE)</f>
        <v>1</v>
      </c>
      <c r="K538" s="49" t="str">
        <f ca="1">VLOOKUP(CONCATENATE(A538),WorkList!A:G,7,FALSE)</f>
        <v>Support</v>
      </c>
      <c r="L538" s="7" t="s">
        <v>13</v>
      </c>
      <c r="M538" s="16">
        <v>40567</v>
      </c>
      <c r="N538" s="60">
        <f ca="1">VALUE(LEFT(C538))</f>
        <v>0</v>
      </c>
      <c r="O538" s="61">
        <f ca="1">INT(IF(N538&gt;0,1+MAX(N538*N538-(IF(D538="",TODAY()+(5-N538)*15,D538)-TODAY())/4,N538),IF(TODAY()-M538&gt;10,0,1)))</f>
        <v>0</v>
      </c>
      <c r="P538" s="1" t="str">
        <f ca="1">IF(ISNA(VLOOKUP(A538,Projects!B:B,1,FALSE)),"","Yes")</f>
        <v>Yes</v>
      </c>
    </row>
    <row r="539" spans="1:16">
      <c r="A539" s="4" t="s">
        <v>1436</v>
      </c>
      <c r="B539" s="5" t="s">
        <v>919</v>
      </c>
      <c r="C539" s="6" t="s">
        <v>48</v>
      </c>
      <c r="F539" s="13" t="str">
        <f ca="1">VLOOKUP(LEFT(A539,IF(ISERROR(FIND(".",A539)),LEN(A539)+1,FIND(".",A539))-1),WorkList!A:C,3,FALSE)</f>
        <v>Admin</v>
      </c>
      <c r="G539" s="14" t="str">
        <f ca="1">VLOOKUP(CONCATENATE(A539),WorkList!A:C,3,FALSE)</f>
        <v>DocQual: Agree Requirements for GUI Apps</v>
      </c>
      <c r="H539" s="13" t="str">
        <f ca="1">VLOOKUP(CONCATENATE(A539),WorkList!A:D,4,FALSE)</f>
        <v>Neil</v>
      </c>
      <c r="I539" s="15">
        <f ca="1">VLOOKUP(CONCATENATE(A539),WorkList!A:E,5,FALSE)</f>
        <v>40410</v>
      </c>
      <c r="J539" s="49">
        <f ca="1">VLOOKUP(CONCATENATE(A539),WorkList!A:F,6,FALSE)</f>
        <v>1</v>
      </c>
      <c r="K539" s="49" t="str">
        <f ca="1">VLOOKUP(CONCATENATE(A539),WorkList!A:G,7,FALSE)</f>
        <v>Support</v>
      </c>
      <c r="L539" s="7" t="s">
        <v>13</v>
      </c>
      <c r="M539" s="16">
        <v>40563</v>
      </c>
      <c r="N539" s="60">
        <f ca="1">VALUE(LEFT(C539))</f>
        <v>0</v>
      </c>
      <c r="O539" s="61">
        <f ca="1">INT(IF(N539&gt;0,1+MAX(N539*N539-(IF(D539="",TODAY()+(5-N539)*15,D539)-TODAY())/4,N539),IF(TODAY()-M539&gt;10,0,1)))</f>
        <v>0</v>
      </c>
      <c r="P539" s="1" t="str">
        <f ca="1">IF(ISNA(VLOOKUP(A539,Projects!B:B,1,FALSE)),"","Yes")</f>
        <v>Yes</v>
      </c>
    </row>
    <row r="540" spans="1:16">
      <c r="A540" s="4" t="s">
        <v>1437</v>
      </c>
      <c r="B540" s="5" t="s">
        <v>1159</v>
      </c>
      <c r="C540" s="6" t="s">
        <v>48</v>
      </c>
      <c r="F540" s="13" t="str">
        <f ca="1">VLOOKUP(LEFT(A540,IF(ISERROR(FIND(".",A540)),LEN(A540)+1,FIND(".",A540))-1),WorkList!A:C,3,FALSE)</f>
        <v>Admin</v>
      </c>
      <c r="G540" s="14" t="str">
        <f ca="1">VLOOKUP(CONCATENATE(A540),WorkList!A:C,3,FALSE)</f>
        <v>DocQual: Agree Requirements for GUI Apps</v>
      </c>
      <c r="H540" s="13" t="str">
        <f ca="1">VLOOKUP(CONCATENATE(A540),WorkList!A:D,4,FALSE)</f>
        <v>Neil</v>
      </c>
      <c r="I540" s="15">
        <f ca="1">VLOOKUP(CONCATENATE(A540),WorkList!A:E,5,FALSE)</f>
        <v>40410</v>
      </c>
      <c r="J540" s="49">
        <f ca="1">VLOOKUP(CONCATENATE(A540),WorkList!A:F,6,FALSE)</f>
        <v>1</v>
      </c>
      <c r="K540" s="49" t="str">
        <f ca="1">VLOOKUP(CONCATENATE(A540),WorkList!A:G,7,FALSE)</f>
        <v>Support</v>
      </c>
      <c r="L540" s="7" t="s">
        <v>13</v>
      </c>
      <c r="M540" s="16">
        <v>40563</v>
      </c>
      <c r="N540" s="60">
        <f ca="1">VALUE(LEFT(C540))</f>
        <v>0</v>
      </c>
      <c r="O540" s="61">
        <f ca="1">INT(IF(N540&gt;0,1+MAX(N540*N540-(IF(D540="",TODAY()+(5-N540)*15,D540)-TODAY())/4,N540),IF(TODAY()-M540&gt;10,0,1)))</f>
        <v>0</v>
      </c>
      <c r="P540" s="1" t="str">
        <f ca="1">IF(ISNA(VLOOKUP(A540,Projects!B:B,1,FALSE)),"","Yes")</f>
        <v>Yes</v>
      </c>
    </row>
    <row r="541" spans="1:16">
      <c r="A541" s="4" t="s">
        <v>1438</v>
      </c>
      <c r="B541" s="5" t="s">
        <v>919</v>
      </c>
      <c r="C541" s="7" t="s">
        <v>48</v>
      </c>
      <c r="F541" s="13" t="str">
        <f ca="1">VLOOKUP(LEFT(A541,IF(ISERROR(FIND(".",A541)),LEN(A541)+1,FIND(".",A541))-1),WorkList!A:C,3,FALSE)</f>
        <v>Admin</v>
      </c>
      <c r="G541" s="14" t="str">
        <f ca="1">VLOOKUP(CONCATENATE(A541),WorkList!A:C,3,FALSE)</f>
        <v>DocQual: Agree Requirements for Libraries</v>
      </c>
      <c r="H541" s="13" t="str">
        <f ca="1">VLOOKUP(CONCATENATE(A541),WorkList!A:D,4,FALSE)</f>
        <v>Neil</v>
      </c>
      <c r="I541" s="15">
        <f ca="1">VLOOKUP(CONCATENATE(A541),WorkList!A:E,5,FALSE)</f>
        <v>40410</v>
      </c>
      <c r="J541" s="49">
        <f ca="1">VLOOKUP(CONCATENATE(A541),WorkList!A:F,6,FALSE)</f>
        <v>1</v>
      </c>
      <c r="K541" s="49" t="str">
        <f ca="1">VLOOKUP(CONCATENATE(A541),WorkList!A:G,7,FALSE)</f>
        <v>Support</v>
      </c>
      <c r="L541" s="7" t="s">
        <v>13</v>
      </c>
      <c r="M541" s="16">
        <v>40590</v>
      </c>
      <c r="N541" s="60">
        <f ca="1">VALUE(LEFT(C541))</f>
        <v>0</v>
      </c>
      <c r="O541" s="61">
        <f ca="1">INT(IF(N541&gt;0,1+MAX(N541*N541-(IF(D541="",TODAY()+(5-N541)*15,D541)-TODAY())/4,N541),IF(TODAY()-M541&gt;10,0,1)))</f>
        <v>1</v>
      </c>
      <c r="P541" s="1" t="str">
        <f ca="1">IF(ISNA(VLOOKUP(A541,Projects!B:B,1,FALSE)),"","Yes")</f>
        <v>Yes</v>
      </c>
    </row>
    <row r="542" spans="1:16">
      <c r="A542" s="4" t="s">
        <v>1439</v>
      </c>
      <c r="B542" s="5" t="s">
        <v>1159</v>
      </c>
      <c r="C542" s="7" t="s">
        <v>48</v>
      </c>
      <c r="F542" s="13" t="str">
        <f ca="1">VLOOKUP(LEFT(A542,IF(ISERROR(FIND(".",A542)),LEN(A542)+1,FIND(".",A542))-1),WorkList!A:C,3,FALSE)</f>
        <v>Admin</v>
      </c>
      <c r="G542" s="14" t="str">
        <f ca="1">VLOOKUP(CONCATENATE(A542),WorkList!A:C,3,FALSE)</f>
        <v>DocQual: Agree Requirements for Libraries</v>
      </c>
      <c r="H542" s="13" t="str">
        <f ca="1">VLOOKUP(CONCATENATE(A542),WorkList!A:D,4,FALSE)</f>
        <v>Neil</v>
      </c>
      <c r="I542" s="15">
        <f ca="1">VLOOKUP(CONCATENATE(A542),WorkList!A:E,5,FALSE)</f>
        <v>40410</v>
      </c>
      <c r="J542" s="49">
        <f ca="1">VLOOKUP(CONCATENATE(A542),WorkList!A:F,6,FALSE)</f>
        <v>1</v>
      </c>
      <c r="K542" s="49" t="str">
        <f ca="1">VLOOKUP(CONCATENATE(A542),WorkList!A:G,7,FALSE)</f>
        <v>Support</v>
      </c>
      <c r="L542" s="7" t="s">
        <v>13</v>
      </c>
      <c r="M542" s="16">
        <v>40590</v>
      </c>
      <c r="N542" s="60">
        <f ca="1">VALUE(LEFT(C542))</f>
        <v>0</v>
      </c>
      <c r="O542" s="61">
        <f ca="1">INT(IF(N542&gt;0,1+MAX(N542*N542-(IF(D542="",TODAY()+(5-N542)*15,D542)-TODAY())/4,N542),IF(TODAY()-M542&gt;10,0,1)))</f>
        <v>1</v>
      </c>
      <c r="P542" s="1" t="str">
        <f ca="1">IF(ISNA(VLOOKUP(A542,Projects!B:B,1,FALSE)),"","Yes")</f>
        <v>Yes</v>
      </c>
    </row>
    <row r="543" spans="1:16">
      <c r="A543" s="4" t="s">
        <v>1440</v>
      </c>
      <c r="B543" s="5" t="s">
        <v>919</v>
      </c>
      <c r="C543" s="7" t="s">
        <v>38</v>
      </c>
      <c r="F543" s="13" t="str">
        <f ca="1">VLOOKUP(LEFT(A543,IF(ISERROR(FIND(".",A543)),LEN(A543)+1,FIND(".",A543))-1),WorkList!A:C,3,FALSE)</f>
        <v>Admin</v>
      </c>
      <c r="G543" s="14" t="str">
        <f ca="1">VLOOKUP(CONCATENATE(A543),WorkList!A:C,3,FALSE)</f>
        <v>DocQual: Implement plan for improving doc quality</v>
      </c>
      <c r="H543" s="13" t="str">
        <f ca="1">VLOOKUP(CONCATENATE(A543),WorkList!A:D,4,FALSE)</f>
        <v>Neil</v>
      </c>
      <c r="I543" s="15">
        <f ca="1">VLOOKUP(CONCATENATE(A543),WorkList!A:E,5,FALSE)</f>
        <v>40410</v>
      </c>
      <c r="J543" s="49">
        <f ca="1">VLOOKUP(CONCATENATE(A543),WorkList!A:F,6,FALSE)</f>
        <v>1</v>
      </c>
      <c r="K543" s="49" t="str">
        <f ca="1">VLOOKUP(CONCATENATE(A543),WorkList!A:G,7,FALSE)</f>
        <v>Support</v>
      </c>
      <c r="L543" s="7" t="s">
        <v>7</v>
      </c>
      <c r="M543" s="16">
        <v>40505</v>
      </c>
      <c r="N543" s="60">
        <f ca="1">VALUE(LEFT(C543))</f>
        <v>2</v>
      </c>
      <c r="O543" s="61">
        <f ca="1">INT(IF(N543&gt;0,1+MAX(N543*N543-(IF(D543="",TODAY()+(5-N543)*15,D543)-TODAY())/4,N543),IF(TODAY()-M543&gt;10,0,1)))</f>
        <v>3</v>
      </c>
      <c r="P543" s="1" t="str">
        <f ca="1">IF(ISNA(VLOOKUP(A543,Projects!B:B,1,FALSE)),"","Yes")</f>
        <v>Yes</v>
      </c>
    </row>
    <row r="544" spans="1:16">
      <c r="A544" s="4" t="s">
        <v>1441</v>
      </c>
      <c r="B544" s="5" t="s">
        <v>1159</v>
      </c>
      <c r="C544" s="7" t="s">
        <v>38</v>
      </c>
      <c r="F544" s="13" t="str">
        <f ca="1">VLOOKUP(LEFT(A544,IF(ISERROR(FIND(".",A544)),LEN(A544)+1,FIND(".",A544))-1),WorkList!A:C,3,FALSE)</f>
        <v>Admin</v>
      </c>
      <c r="G544" s="14" t="str">
        <f ca="1">VLOOKUP(CONCATENATE(A544),WorkList!A:C,3,FALSE)</f>
        <v>DocQual: Implement plan for improving doc quality</v>
      </c>
      <c r="H544" s="13" t="str">
        <f ca="1">VLOOKUP(CONCATENATE(A544),WorkList!A:D,4,FALSE)</f>
        <v>Neil</v>
      </c>
      <c r="I544" s="15">
        <f ca="1">VLOOKUP(CONCATENATE(A544),WorkList!A:E,5,FALSE)</f>
        <v>40410</v>
      </c>
      <c r="J544" s="49">
        <f ca="1">VLOOKUP(CONCATENATE(A544),WorkList!A:F,6,FALSE)</f>
        <v>1</v>
      </c>
      <c r="K544" s="49" t="str">
        <f ca="1">VLOOKUP(CONCATENATE(A544),WorkList!A:G,7,FALSE)</f>
        <v>Support</v>
      </c>
      <c r="L544" s="7" t="s">
        <v>7</v>
      </c>
      <c r="M544" s="16">
        <v>40553</v>
      </c>
      <c r="N544" s="60">
        <f ca="1">VALUE(LEFT(C544))</f>
        <v>2</v>
      </c>
      <c r="O544" s="61">
        <f ca="1">INT(IF(N544&gt;0,1+MAX(N544*N544-(IF(D544="",TODAY()+(5-N544)*15,D544)-TODAY())/4,N544),IF(TODAY()-M544&gt;10,0,1)))</f>
        <v>3</v>
      </c>
      <c r="P544" s="1" t="str">
        <f ca="1">IF(ISNA(VLOOKUP(A544,Projects!B:B,1,FALSE)),"","Yes")</f>
        <v>Yes</v>
      </c>
    </row>
    <row r="545" spans="1:16">
      <c r="A545" s="4" t="s">
        <v>1903</v>
      </c>
      <c r="B545" s="5" t="s">
        <v>21</v>
      </c>
      <c r="C545" s="7" t="s">
        <v>38</v>
      </c>
      <c r="F545" s="13" t="str">
        <f ca="1">VLOOKUP(LEFT(A545,IF(ISERROR(FIND(".",A545)),LEN(A545)+1,FIND(".",A545))-1),WorkList!A:C,3,FALSE)</f>
        <v>Admin</v>
      </c>
      <c r="G545" s="14" t="str">
        <f ca="1">VLOOKUP(CONCATENATE(A545),WorkList!A:C,3,FALSE)</f>
        <v>Document SP more fully SPs used by Nomura Now</v>
      </c>
      <c r="H545" s="13" t="str">
        <f ca="1">VLOOKUP(CONCATENATE(A545),WorkList!A:D,4,FALSE)</f>
        <v>Neil</v>
      </c>
      <c r="I545" s="15">
        <f ca="1">VLOOKUP(CONCATENATE(A545),WorkList!A:E,5,FALSE)</f>
        <v>40588</v>
      </c>
      <c r="J545" s="49">
        <f ca="1">VLOOKUP(CONCATENATE(A545),WorkList!A:F,6,FALSE)</f>
        <v>2</v>
      </c>
      <c r="K545" s="49" t="str">
        <f ca="1">VLOOKUP(CONCATENATE(A545),WorkList!A:G,7,FALSE)</f>
        <v>Maintenance</v>
      </c>
      <c r="L545" s="7" t="s">
        <v>5</v>
      </c>
      <c r="M545" s="16">
        <v>40588</v>
      </c>
      <c r="N545" s="60">
        <f ca="1">VALUE(LEFT(C545))</f>
        <v>2</v>
      </c>
      <c r="O545" s="61">
        <f ca="1">INT(IF(N545&gt;0,1+MAX(N545*N545-(IF(D545="",TODAY()+(5-N545)*15,D545)-TODAY())/4,N545),IF(TODAY()-M545&gt;10,0,1)))</f>
        <v>3</v>
      </c>
      <c r="P545" s="1" t="str">
        <f ca="1">IF(ISNA(VLOOKUP(A545,Projects!B:B,1,FALSE)),"","Yes")</f>
        <v/>
      </c>
    </row>
    <row r="546" spans="1:16">
      <c r="A546" s="4" t="s">
        <v>295</v>
      </c>
      <c r="B546" s="5" t="s">
        <v>32</v>
      </c>
      <c r="C546" s="6" t="s">
        <v>48</v>
      </c>
      <c r="D546" s="11"/>
      <c r="F546" s="13" t="str">
        <f ca="1">VLOOKUP(LEFT(A546,IF(ISERROR(FIND(".",A546)),LEN(A546)+1,FIND(".",A546))-1),WorkList!A:C,3,FALSE)</f>
        <v>Utilities</v>
      </c>
      <c r="G546" s="14" t="str">
        <f ca="1">VLOOKUP(CONCATENATE(A546),WorkList!A:C,3,FALSE)</f>
        <v>Build log file tidy tool</v>
      </c>
      <c r="H546" s="13" t="str">
        <f ca="1">VLOOKUP(CONCATENATE(A546),WorkList!A:D,4,FALSE)</f>
        <v>Neil</v>
      </c>
      <c r="I546" s="15">
        <f ca="1">VLOOKUP(CONCATENATE(A546),WorkList!A:E,5,FALSE)</f>
        <v>40045</v>
      </c>
      <c r="J546" s="49">
        <f ca="1">VLOOKUP(CONCATENATE(A546),WorkList!A:F,6,FALSE)</f>
        <v>0</v>
      </c>
      <c r="K546" s="49">
        <f ca="1">VLOOKUP(CONCATENATE(A546),WorkList!A:G,7,FALSE)</f>
        <v>0</v>
      </c>
      <c r="L546" s="7" t="s">
        <v>13</v>
      </c>
      <c r="M546" s="16">
        <v>40052</v>
      </c>
      <c r="N546" s="60">
        <f ca="1">VALUE(LEFT(C546))</f>
        <v>0</v>
      </c>
      <c r="O546" s="61">
        <f ca="1">INT(IF(N546&gt;0,1+MAX(N546*N546-(IF(D546="",TODAY()+(5-N546)*15,D546)-TODAY())/4,N546),IF(TODAY()-M546&gt;10,0,1)))</f>
        <v>0</v>
      </c>
      <c r="P546" s="1" t="str">
        <f ca="1">IF(ISNA(VLOOKUP(A546,Projects!B:B,1,FALSE)),"","Yes")</f>
        <v/>
      </c>
    </row>
    <row r="547" spans="1:16">
      <c r="A547" s="4" t="s">
        <v>427</v>
      </c>
      <c r="B547" s="5" t="s">
        <v>29</v>
      </c>
      <c r="C547" s="7" t="s">
        <v>10</v>
      </c>
      <c r="D547" s="11"/>
      <c r="F547" s="13" t="str">
        <f ca="1">VLOOKUP(LEFT(A547,IF(ISERROR(FIND(".",A547)),LEN(A547)+1,FIND(".",A547))-1),WorkList!A:C,3,FALSE)</f>
        <v>Utilities</v>
      </c>
      <c r="G547" s="14" t="str">
        <f ca="1">VLOOKUP(CONCATENATE(A547),WorkList!A:C,3,FALSE)</f>
        <v>Backup Prod application area to network</v>
      </c>
      <c r="H547" s="13" t="str">
        <f ca="1">VLOOKUP(CONCATENATE(A547),WorkList!A:D,4,FALSE)</f>
        <v>Neil</v>
      </c>
      <c r="I547" s="15">
        <f ca="1">VLOOKUP(CONCATENATE(A547),WorkList!A:E,5,FALSE)</f>
        <v>40049</v>
      </c>
      <c r="J547" s="49">
        <f ca="1">VLOOKUP(CONCATENATE(A547),WorkList!A:F,6,FALSE)</f>
        <v>1.5</v>
      </c>
      <c r="K547" s="49" t="str">
        <f ca="1">VLOOKUP(CONCATENATE(A547),WorkList!A:G,7,FALSE)</f>
        <v>NewDevelopment</v>
      </c>
      <c r="L547" s="7" t="s">
        <v>7</v>
      </c>
      <c r="M547" s="16">
        <v>40505</v>
      </c>
      <c r="N547" s="60">
        <f ca="1">VALUE(LEFT(C547))</f>
        <v>3</v>
      </c>
      <c r="O547" s="61">
        <f ca="1">INT(IF(N547&gt;0,1+MAX(N547*N547-(IF(D547="",TODAY()+(5-N547)*15,D547)-TODAY())/4,N547),IF(TODAY()-M547&gt;10,0,1)))</f>
        <v>4</v>
      </c>
      <c r="P547" s="1" t="str">
        <f ca="1">IF(ISNA(VLOOKUP(A547,Projects!B:B,1,FALSE)),"","Yes")</f>
        <v/>
      </c>
    </row>
    <row r="548" spans="1:16">
      <c r="A548" s="4" t="s">
        <v>1038</v>
      </c>
      <c r="B548" s="5" t="s">
        <v>32</v>
      </c>
      <c r="C548" s="6" t="s">
        <v>48</v>
      </c>
      <c r="D548" s="11"/>
      <c r="F548" s="13" t="str">
        <f ca="1">VLOOKUP(LEFT(A548,IF(ISERROR(FIND(".",A548)),LEN(A548)+1,FIND(".",A548))-1),WorkList!A:C,3,FALSE)</f>
        <v>Utilities</v>
      </c>
      <c r="G548" s="14" t="str">
        <f ca="1">VLOOKUP(CONCATENATE(A548),WorkList!A:C,3,FALSE)</f>
        <v>Make startup faster in Mumbai - re logging</v>
      </c>
      <c r="H548" s="13" t="str">
        <f ca="1">VLOOKUP(CONCATENATE(A548),WorkList!A:D,4,FALSE)</f>
        <v>Neil</v>
      </c>
      <c r="I548" s="15">
        <f ca="1">VLOOKUP(CONCATENATE(A548),WorkList!A:E,5,FALSE)</f>
        <v>40274</v>
      </c>
      <c r="J548" s="49">
        <f ca="1">VLOOKUP(CONCATENATE(A548),WorkList!A:F,6,FALSE)</f>
        <v>1.5</v>
      </c>
      <c r="K548" s="49" t="str">
        <f ca="1">VLOOKUP(CONCATENATE(A548),WorkList!A:G,7,FALSE)</f>
        <v>Enhancement</v>
      </c>
      <c r="L548" s="7" t="s">
        <v>13</v>
      </c>
      <c r="M548" s="16">
        <v>40455</v>
      </c>
      <c r="N548" s="60">
        <f ca="1">VALUE(LEFT(C548))</f>
        <v>0</v>
      </c>
      <c r="O548" s="61">
        <f ca="1">INT(IF(N548&gt;0,1+MAX(N548*N548-(IF(D548="",TODAY()+(5-N548)*15,D548)-TODAY())/4,N548),IF(TODAY()-M548&gt;10,0,1)))</f>
        <v>0</v>
      </c>
      <c r="P548" s="1" t="str">
        <f ca="1">IF(ISNA(VLOOKUP(A548,Projects!B:B,1,FALSE)),"","Yes")</f>
        <v/>
      </c>
    </row>
    <row r="549" spans="1:16" ht="25.5">
      <c r="A549" s="4" t="s">
        <v>634</v>
      </c>
      <c r="B549" s="5" t="s">
        <v>29</v>
      </c>
      <c r="C549" s="6" t="s">
        <v>48</v>
      </c>
      <c r="D549" s="11"/>
      <c r="F549" s="13" t="str">
        <f ca="1">VLOOKUP(LEFT(A549,IF(ISERROR(FIND(".",A549)),LEN(A549)+1,FIND(".",A549))-1),WorkList!A:C,3,FALSE)</f>
        <v>Utilities</v>
      </c>
      <c r="G549" s="14" t="str">
        <f ca="1">VLOOKUP(CONCATENATE(A549),WorkList!A:C,3,FALSE)</f>
        <v>Automate version control (svn) of SQL Server objects (schema) (duplicate 7.2.2)</v>
      </c>
      <c r="H549" s="13" t="str">
        <f ca="1">VLOOKUP(CONCATENATE(A549),WorkList!A:D,4,FALSE)</f>
        <v>Pramendra</v>
      </c>
      <c r="I549" s="15">
        <f ca="1">VLOOKUP(CONCATENATE(A549),WorkList!A:E,5,FALSE)</f>
        <v>40410</v>
      </c>
      <c r="J549" s="49">
        <f ca="1">VLOOKUP(CONCATENATE(A549),WorkList!A:F,6,FALSE)</f>
        <v>5</v>
      </c>
      <c r="K549" s="49" t="str">
        <f ca="1">VLOOKUP(CONCATENATE(A549),WorkList!A:G,7,FALSE)</f>
        <v>NewDevelopment</v>
      </c>
      <c r="L549" s="7" t="s">
        <v>13</v>
      </c>
      <c r="M549" s="16">
        <v>40410</v>
      </c>
      <c r="N549" s="60">
        <f ca="1">VALUE(LEFT(C549))</f>
        <v>0</v>
      </c>
      <c r="O549" s="61">
        <f ca="1">INT(IF(N549&gt;0,1+MAX(N549*N549-(IF(D549="",TODAY()+(5-N549)*15,D549)-TODAY())/4,N549),IF(TODAY()-M549&gt;10,0,1)))</f>
        <v>0</v>
      </c>
      <c r="P549" s="1" t="str">
        <f ca="1">IF(ISNA(VLOOKUP(A549,Projects!B:B,1,FALSE)),"","Yes")</f>
        <v/>
      </c>
    </row>
    <row r="550" spans="1:16">
      <c r="A550" s="4" t="s">
        <v>1201</v>
      </c>
      <c r="B550" s="5" t="s">
        <v>32</v>
      </c>
      <c r="C550" s="7" t="s">
        <v>48</v>
      </c>
      <c r="F550" s="13" t="str">
        <f ca="1">VLOOKUP(LEFT(A550,IF(ISERROR(FIND(".",A550)),LEN(A550)+1,FIND(".",A550))-1),WorkList!A:C,3,FALSE)</f>
        <v>Utilities</v>
      </c>
      <c r="G550" s="14" t="str">
        <f ca="1">VLOOKUP(CONCATENATE(A550),WorkList!A:C,3,FALSE)</f>
        <v>Add 'Bonds' View</v>
      </c>
      <c r="H550" s="13" t="str">
        <f ca="1">VLOOKUP(CONCATENATE(A550),WorkList!A:D,4,FALSE)</f>
        <v>Ajay</v>
      </c>
      <c r="I550" s="15">
        <f ca="1">VLOOKUP(CONCATENATE(A550),WorkList!A:E,5,FALSE)</f>
        <v>40505</v>
      </c>
      <c r="J550" s="49">
        <f ca="1">VLOOKUP(CONCATENATE(A550),WorkList!A:F,6,FALSE)</f>
        <v>1</v>
      </c>
      <c r="K550" s="49" t="str">
        <f ca="1">VLOOKUP(CONCATENATE(A550),WorkList!A:G,7,FALSE)</f>
        <v>NewDevelopment</v>
      </c>
      <c r="L550" s="7" t="s">
        <v>13</v>
      </c>
      <c r="M550" s="16">
        <v>40338</v>
      </c>
      <c r="N550" s="60">
        <f ca="1">VALUE(LEFT(C550))</f>
        <v>0</v>
      </c>
      <c r="O550" s="61">
        <f ca="1">INT(IF(N550&gt;0,1+MAX(N550*N550-(IF(D550="",TODAY()+(5-N550)*15,D550)-TODAY())/4,N550),IF(TODAY()-M550&gt;10,0,1)))</f>
        <v>0</v>
      </c>
      <c r="P550" s="1" t="str">
        <f ca="1">IF(ISNA(VLOOKUP(A550,Projects!B:B,1,FALSE)),"","Yes")</f>
        <v/>
      </c>
    </row>
    <row r="551" spans="1:16">
      <c r="A551" s="4" t="s">
        <v>1211</v>
      </c>
      <c r="B551" s="5" t="s">
        <v>21</v>
      </c>
      <c r="C551" s="7" t="s">
        <v>12</v>
      </c>
      <c r="F551" s="13" t="str">
        <f ca="1">VLOOKUP(LEFT(A551,IF(ISERROR(FIND(".",A551)),LEN(A551)+1,FIND(".",A551))-1),WorkList!A:C,3,FALSE)</f>
        <v>Utilities</v>
      </c>
      <c r="G551" s="14" t="str">
        <f ca="1">VLOOKUP(CONCATENATE(A551),WorkList!A:C,3,FALSE)</f>
        <v>Create addin for simple field retrieval</v>
      </c>
      <c r="H551" s="13" t="str">
        <f ca="1">VLOOKUP(CONCATENATE(A551),WorkList!A:D,4,FALSE)</f>
        <v>Ajay</v>
      </c>
      <c r="I551" s="15">
        <f ca="1">VLOOKUP(CONCATENATE(A551),WorkList!A:E,5,FALSE)</f>
        <v>40505</v>
      </c>
      <c r="J551" s="49">
        <f ca="1">VLOOKUP(CONCATENATE(A551),WorkList!A:F,6,FALSE)</f>
        <v>3</v>
      </c>
      <c r="K551" s="49" t="str">
        <f ca="1">VLOOKUP(CONCATENATE(A551),WorkList!A:G,7,FALSE)</f>
        <v>NewDevelopment</v>
      </c>
      <c r="L551" s="7" t="s">
        <v>7</v>
      </c>
      <c r="M551" s="16">
        <v>40338</v>
      </c>
      <c r="N551" s="60">
        <f ca="1">VALUE(LEFT(C551))</f>
        <v>4</v>
      </c>
      <c r="O551" s="61">
        <f ca="1">INT(IF(N551&gt;0,1+MAX(N551*N551-(IF(D551="",TODAY()+(5-N551)*15,D551)-TODAY())/4,N551),IF(TODAY()-M551&gt;10,0,1)))</f>
        <v>13</v>
      </c>
      <c r="P551" s="1" t="str">
        <f ca="1">IF(ISNA(VLOOKUP(A551,Projects!B:B,1,FALSE)),"","Yes")</f>
        <v/>
      </c>
    </row>
    <row r="552" spans="1:16">
      <c r="A552" s="4" t="s">
        <v>1545</v>
      </c>
      <c r="B552" s="5" t="s">
        <v>21</v>
      </c>
      <c r="C552" s="7" t="s">
        <v>10</v>
      </c>
      <c r="D552" s="11"/>
      <c r="F552" s="13" t="str">
        <f ca="1">VLOOKUP(LEFT(A552,IF(ISERROR(FIND(".",A552)),LEN(A552)+1,FIND(".",A552))-1),WorkList!A:C,3,FALSE)</f>
        <v>Utilities</v>
      </c>
      <c r="G552" s="14" t="str">
        <f ca="1">VLOOKUP(CONCATENATE(A552),WorkList!A:C,3,FALSE)</f>
        <v>Sheduled job to set DB permissions and refresh Indices</v>
      </c>
      <c r="H552" s="13" t="str">
        <f ca="1">VLOOKUP(CONCATENATE(A552),WorkList!A:D,4,FALSE)</f>
        <v>Neil</v>
      </c>
      <c r="I552" s="15">
        <f ca="1">VLOOKUP(CONCATENATE(A552),WorkList!A:E,5,FALSE)</f>
        <v>40452</v>
      </c>
      <c r="J552" s="49">
        <f ca="1">VLOOKUP(CONCATENATE(A552),WorkList!A:F,6,FALSE)</f>
        <v>2</v>
      </c>
      <c r="K552" s="49" t="str">
        <f ca="1">VLOOKUP(CONCATENATE(A552),WorkList!A:G,7,FALSE)</f>
        <v>NewDevelopment</v>
      </c>
      <c r="L552" s="7" t="s">
        <v>7</v>
      </c>
      <c r="M552" s="16">
        <v>40452</v>
      </c>
      <c r="N552" s="60">
        <f ca="1">VALUE(LEFT(C552))</f>
        <v>3</v>
      </c>
      <c r="O552" s="61">
        <f ca="1">INT(IF(N552&gt;0,1+MAX(N552*N552-(IF(D552="",TODAY()+(5-N552)*15,D552)-TODAY())/4,N552),IF(TODAY()-M552&gt;10,0,1)))</f>
        <v>4</v>
      </c>
      <c r="P552" s="1" t="str">
        <f ca="1">IF(ISNA(VLOOKUP(A552,Projects!B:B,1,FALSE)),"","Yes")</f>
        <v/>
      </c>
    </row>
    <row r="553" spans="1:16">
      <c r="A553" s="4" t="s">
        <v>306</v>
      </c>
      <c r="B553" s="5" t="s">
        <v>37</v>
      </c>
      <c r="C553" s="6" t="s">
        <v>48</v>
      </c>
      <c r="D553" s="11"/>
      <c r="F553" s="13" t="str">
        <f ca="1">VLOOKUP(LEFT(A553,IF(ISERROR(FIND(".",A553)),LEN(A553)+1,FIND(".",A553))-1),WorkList!A:C,3,FALSE)</f>
        <v>Comment Viewer</v>
      </c>
      <c r="G553" s="14" t="str">
        <f ca="1">VLOOKUP(CONCATENATE(A553),WorkList!A:C,3,FALSE)</f>
        <v>Initial Design and plan</v>
      </c>
      <c r="H553" s="13" t="str">
        <f ca="1">VLOOKUP(CONCATENATE(A553),WorkList!A:D,4,FALSE)</f>
        <v>Neil</v>
      </c>
      <c r="I553" s="15">
        <f ca="1">VLOOKUP(CONCATENATE(A553),WorkList!A:E,5,FALSE)</f>
        <v>40001</v>
      </c>
      <c r="J553" s="49">
        <f ca="1">VLOOKUP(CONCATENATE(A553),WorkList!A:F,6,FALSE)</f>
        <v>0</v>
      </c>
      <c r="K553" s="49">
        <f ca="1">VLOOKUP(CONCATENATE(A553),WorkList!A:G,7,FALSE)</f>
        <v>0</v>
      </c>
      <c r="L553" s="7" t="s">
        <v>13</v>
      </c>
      <c r="M553" s="16">
        <v>40025</v>
      </c>
      <c r="N553" s="60">
        <f ca="1">VALUE(LEFT(C553))</f>
        <v>0</v>
      </c>
      <c r="O553" s="61">
        <f ca="1">INT(IF(N553&gt;0,1+MAX(N553*N553-(IF(D553="",TODAY()+(5-N553)*15,D553)-TODAY())/4,N553),IF(TODAY()-M553&gt;10,0,1)))</f>
        <v>0</v>
      </c>
      <c r="P553" s="1" t="str">
        <f ca="1">IF(ISNA(VLOOKUP(A553,Projects!B:B,1,FALSE)),"","Yes")</f>
        <v/>
      </c>
    </row>
    <row r="554" spans="1:16">
      <c r="A554" s="4" t="s">
        <v>358</v>
      </c>
      <c r="B554" s="5" t="s">
        <v>37</v>
      </c>
      <c r="C554" s="6" t="s">
        <v>48</v>
      </c>
      <c r="D554" s="11"/>
      <c r="F554" s="13" t="str">
        <f ca="1">VLOOKUP(LEFT(A554,IF(ISERROR(FIND(".",A554)),LEN(A554)+1,FIND(".",A554))-1),WorkList!A:C,3,FALSE)</f>
        <v>Comment Viewer</v>
      </c>
      <c r="G554" s="14" t="str">
        <f ca="1">VLOOKUP(CONCATENATE(A554),WorkList!A:C,3,FALSE)</f>
        <v>Test and Release</v>
      </c>
      <c r="H554" s="13" t="str">
        <f ca="1">VLOOKUP(CONCATENATE(A554),WorkList!A:D,4,FALSE)</f>
        <v>Neil</v>
      </c>
      <c r="I554" s="15">
        <f ca="1">VLOOKUP(CONCATENATE(A554),WorkList!A:E,5,FALSE)</f>
        <v>40025</v>
      </c>
      <c r="J554" s="49">
        <f ca="1">VLOOKUP(CONCATENATE(A554),WorkList!A:F,6,FALSE)</f>
        <v>0</v>
      </c>
      <c r="K554" s="49">
        <f ca="1">VLOOKUP(CONCATENATE(A554),WorkList!A:G,7,FALSE)</f>
        <v>0</v>
      </c>
      <c r="L554" s="7" t="s">
        <v>13</v>
      </c>
      <c r="M554" s="16">
        <v>40028</v>
      </c>
      <c r="N554" s="60">
        <f ca="1">VALUE(LEFT(C554))</f>
        <v>0</v>
      </c>
      <c r="O554" s="61">
        <f ca="1">INT(IF(N554&gt;0,1+MAX(N554*N554-(IF(D554="",TODAY()+(5-N554)*15,D554)-TODAY())/4,N554),IF(TODAY()-M554&gt;10,0,1)))</f>
        <v>0</v>
      </c>
      <c r="P554" s="1" t="str">
        <f ca="1">IF(ISNA(VLOOKUP(A554,Projects!B:B,1,FALSE)),"","Yes")</f>
        <v/>
      </c>
    </row>
    <row r="555" spans="1:16">
      <c r="A555" s="4" t="s">
        <v>357</v>
      </c>
      <c r="B555" s="5" t="s">
        <v>37</v>
      </c>
      <c r="C555" s="6" t="s">
        <v>48</v>
      </c>
      <c r="D555" s="11"/>
      <c r="F555" s="13" t="str">
        <f ca="1">VLOOKUP(LEFT(A555,IF(ISERROR(FIND(".",A555)),LEN(A555)+1,FIND(".",A555))-1),WorkList!A:C,3,FALSE)</f>
        <v>Comment Viewer</v>
      </c>
      <c r="G555" s="14" t="str">
        <f ca="1">VLOOKUP(CONCATENATE(A555),WorkList!A:C,3,FALSE)</f>
        <v>Take comments and modify</v>
      </c>
      <c r="H555" s="13" t="str">
        <f ca="1">VLOOKUP(CONCATENATE(A555),WorkList!A:D,4,FALSE)</f>
        <v>Neil</v>
      </c>
      <c r="I555" s="15">
        <f ca="1">VLOOKUP(CONCATENATE(A555),WorkList!A:E,5,FALSE)</f>
        <v>40028</v>
      </c>
      <c r="J555" s="49">
        <f ca="1">VLOOKUP(CONCATENATE(A555),WorkList!A:F,6,FALSE)</f>
        <v>0</v>
      </c>
      <c r="K555" s="49">
        <f ca="1">VLOOKUP(CONCATENATE(A555),WorkList!A:G,7,FALSE)</f>
        <v>0</v>
      </c>
      <c r="L555" s="7" t="s">
        <v>13</v>
      </c>
      <c r="M555" s="16">
        <v>40074</v>
      </c>
      <c r="N555" s="60">
        <f ca="1">VALUE(LEFT(C555))</f>
        <v>0</v>
      </c>
      <c r="O555" s="61">
        <f ca="1">INT(IF(N555&gt;0,1+MAX(N555*N555-(IF(D555="",TODAY()+(5-N555)*15,D555)-TODAY())/4,N555),IF(TODAY()-M555&gt;10,0,1)))</f>
        <v>0</v>
      </c>
      <c r="P555" s="1" t="str">
        <f ca="1">IF(ISNA(VLOOKUP(A555,Projects!B:B,1,FALSE)),"","Yes")</f>
        <v/>
      </c>
    </row>
    <row r="556" spans="1:16">
      <c r="A556" s="4" t="s">
        <v>360</v>
      </c>
      <c r="B556" s="5" t="s">
        <v>37</v>
      </c>
      <c r="C556" s="6" t="s">
        <v>48</v>
      </c>
      <c r="D556" s="11"/>
      <c r="F556" s="13" t="str">
        <f ca="1">VLOOKUP(LEFT(A556,IF(ISERROR(FIND(".",A556)),LEN(A556)+1,FIND(".",A556))-1),WorkList!A:C,3,FALSE)</f>
        <v>Comment Viewer</v>
      </c>
      <c r="G556" s="14" t="str">
        <f ca="1">VLOOKUP(CONCATENATE(A556),WorkList!A:C,3,FALSE)</f>
        <v>Test and Release</v>
      </c>
      <c r="H556" s="13" t="str">
        <f ca="1">VLOOKUP(CONCATENATE(A556),WorkList!A:D,4,FALSE)</f>
        <v>Neil</v>
      </c>
      <c r="I556" s="15">
        <f ca="1">VLOOKUP(CONCATENATE(A556),WorkList!A:E,5,FALSE)</f>
        <v>40028</v>
      </c>
      <c r="J556" s="49">
        <f ca="1">VLOOKUP(CONCATENATE(A556),WorkList!A:F,6,FALSE)</f>
        <v>0</v>
      </c>
      <c r="K556" s="49">
        <f ca="1">VLOOKUP(CONCATENATE(A556),WorkList!A:G,7,FALSE)</f>
        <v>0</v>
      </c>
      <c r="L556" s="7" t="s">
        <v>13</v>
      </c>
      <c r="M556" s="16">
        <v>40074</v>
      </c>
      <c r="N556" s="60">
        <f ca="1">VALUE(LEFT(C556))</f>
        <v>0</v>
      </c>
      <c r="O556" s="61">
        <f ca="1">INT(IF(N556&gt;0,1+MAX(N556*N556-(IF(D556="",TODAY()+(5-N556)*15,D556)-TODAY())/4,N556),IF(TODAY()-M556&gt;10,0,1)))</f>
        <v>0</v>
      </c>
      <c r="P556" s="1" t="str">
        <f ca="1">IF(ISNA(VLOOKUP(A556,Projects!B:B,1,FALSE)),"","Yes")</f>
        <v/>
      </c>
    </row>
    <row r="557" spans="1:16">
      <c r="A557" s="4" t="s">
        <v>464</v>
      </c>
      <c r="B557" s="5" t="s">
        <v>37</v>
      </c>
      <c r="C557" s="7" t="s">
        <v>38</v>
      </c>
      <c r="D557" s="11"/>
      <c r="F557" s="13" t="str">
        <f ca="1">VLOOKUP(LEFT(A557,IF(ISERROR(FIND(".",A557)),LEN(A557)+1,FIND(".",A557))-1),WorkList!A:C,3,FALSE)</f>
        <v>Comment Viewer</v>
      </c>
      <c r="G557" s="14" t="str">
        <f ca="1">VLOOKUP(CONCATENATE(A557),WorkList!A:C,3,FALSE)</f>
        <v>Make all Windows refresh when data is changed</v>
      </c>
      <c r="H557" s="13" t="str">
        <f ca="1">VLOOKUP(CONCATENATE(A557),WorkList!A:D,4,FALSE)</f>
        <v>Neil</v>
      </c>
      <c r="I557" s="15">
        <f ca="1">VLOOKUP(CONCATENATE(A557),WorkList!A:E,5,FALSE)</f>
        <v>40074</v>
      </c>
      <c r="J557" s="49">
        <f ca="1">VLOOKUP(CONCATENATE(A557),WorkList!A:F,6,FALSE)</f>
        <v>5</v>
      </c>
      <c r="K557" s="49" t="str">
        <f ca="1">VLOOKUP(CONCATENATE(A557),WorkList!A:G,7,FALSE)</f>
        <v>Enhancement</v>
      </c>
      <c r="L557" s="7" t="s">
        <v>5</v>
      </c>
      <c r="M557" s="16">
        <v>40568</v>
      </c>
      <c r="N557" s="60">
        <f ca="1">VALUE(LEFT(C557))</f>
        <v>2</v>
      </c>
      <c r="O557" s="61">
        <f ca="1">INT(IF(N557&gt;0,1+MAX(N557*N557-(IF(D557="",TODAY()+(5-N557)*15,D557)-TODAY())/4,N557),IF(TODAY()-M557&gt;10,0,1)))</f>
        <v>3</v>
      </c>
      <c r="P557" s="1" t="str">
        <f ca="1">IF(ISNA(VLOOKUP(A557,Projects!B:B,1,FALSE)),"","Yes")</f>
        <v/>
      </c>
    </row>
    <row r="558" spans="1:16">
      <c r="A558" s="4" t="s">
        <v>780</v>
      </c>
      <c r="B558" s="5" t="s">
        <v>37</v>
      </c>
      <c r="C558" s="7" t="s">
        <v>38</v>
      </c>
      <c r="D558" s="11"/>
      <c r="F558" s="13" t="str">
        <f ca="1">VLOOKUP(LEFT(A558,IF(ISERROR(FIND(".",A558)),LEN(A558)+1,FIND(".",A558))-1),WorkList!A:C,3,FALSE)</f>
        <v>Comment Viewer</v>
      </c>
      <c r="G558" s="14" t="str">
        <f ca="1">VLOOKUP(CONCATENATE(A558),WorkList!A:C,3,FALSE)</f>
        <v>Issue with seemingly missing comments</v>
      </c>
      <c r="H558" s="13" t="str">
        <f ca="1">VLOOKUP(CONCATENATE(A558),WorkList!A:D,4,FALSE)</f>
        <v>Neil</v>
      </c>
      <c r="I558" s="15">
        <f ca="1">VLOOKUP(CONCATENATE(A558),WorkList!A:E,5,FALSE)</f>
        <v>40154</v>
      </c>
      <c r="J558" s="49">
        <f ca="1">VLOOKUP(CONCATENATE(A558),WorkList!A:F,6,FALSE)</f>
        <v>1</v>
      </c>
      <c r="K558" s="49" t="str">
        <f ca="1">VLOOKUP(CONCATENATE(A558),WorkList!A:G,7,FALSE)</f>
        <v>Maintenance</v>
      </c>
      <c r="L558" s="7" t="s">
        <v>7</v>
      </c>
      <c r="M558" s="16">
        <v>40568</v>
      </c>
      <c r="N558" s="60">
        <f ca="1">VALUE(LEFT(C558))</f>
        <v>2</v>
      </c>
      <c r="O558" s="61">
        <f ca="1">INT(IF(N558&gt;0,1+MAX(N558*N558-(IF(D558="",TODAY()+(5-N558)*15,D558)-TODAY())/4,N558),IF(TODAY()-M558&gt;10,0,1)))</f>
        <v>3</v>
      </c>
      <c r="P558" s="1" t="str">
        <f ca="1">IF(ISNA(VLOOKUP(A558,Projects!B:B,1,FALSE)),"","Yes")</f>
        <v/>
      </c>
    </row>
    <row r="559" spans="1:16">
      <c r="A559" s="4" t="s">
        <v>1011</v>
      </c>
      <c r="B559" s="5" t="s">
        <v>37</v>
      </c>
      <c r="C559" s="7" t="s">
        <v>38</v>
      </c>
      <c r="D559" s="11"/>
      <c r="F559" s="13" t="str">
        <f ca="1">VLOOKUP(LEFT(A559,IF(ISERROR(FIND(".",A559)),LEN(A559)+1,FIND(".",A559))-1),WorkList!A:C,3,FALSE)</f>
        <v>Comment Viewer</v>
      </c>
      <c r="G559" s="14" t="str">
        <f ca="1">VLOOKUP(CONCATENATE(A559),WorkList!A:C,3,FALSE)</f>
        <v>Write up wiki notes</v>
      </c>
      <c r="H559" s="13" t="str">
        <f ca="1">VLOOKUP(CONCATENATE(A559),WorkList!A:D,4,FALSE)</f>
        <v>Neil</v>
      </c>
      <c r="I559" s="15">
        <f ca="1">VLOOKUP(CONCATENATE(A559),WorkList!A:E,5,FALSE)</f>
        <v>40259</v>
      </c>
      <c r="J559" s="49">
        <f ca="1">VLOOKUP(CONCATENATE(A559),WorkList!A:F,6,FALSE)</f>
        <v>0.5</v>
      </c>
      <c r="K559" s="49" t="str">
        <f ca="1">VLOOKUP(CONCATENATE(A559),WorkList!A:G,7,FALSE)</f>
        <v>NewDevelopment</v>
      </c>
      <c r="L559" s="7" t="s">
        <v>7</v>
      </c>
      <c r="M559" s="16">
        <v>40505</v>
      </c>
      <c r="N559" s="60">
        <f ca="1">VALUE(LEFT(C559))</f>
        <v>2</v>
      </c>
      <c r="O559" s="61">
        <f ca="1">INT(IF(N559&gt;0,1+MAX(N559*N559-(IF(D559="",TODAY()+(5-N559)*15,D559)-TODAY())/4,N559),IF(TODAY()-M559&gt;10,0,1)))</f>
        <v>3</v>
      </c>
      <c r="P559" s="1" t="str">
        <f ca="1">IF(ISNA(VLOOKUP(A559,Projects!B:B,1,FALSE)),"","Yes")</f>
        <v/>
      </c>
    </row>
    <row r="560" spans="1:16" ht="25.5">
      <c r="A560" s="4" t="s">
        <v>1185</v>
      </c>
      <c r="B560" s="5" t="s">
        <v>11</v>
      </c>
      <c r="C560" s="7" t="s">
        <v>48</v>
      </c>
      <c r="D560" s="7">
        <v>40433</v>
      </c>
      <c r="F560" s="13" t="str">
        <f ca="1">VLOOKUP(LEFT(A560,IF(ISERROR(FIND(".",A560)),LEN(A560)+1,FIND(".",A560))-1),WorkList!A:C,3,FALSE)</f>
        <v>Comment Viewer</v>
      </c>
      <c r="G560" s="14" t="str">
        <f ca="1">VLOOKUP(CONCATENATE(A560),WorkList!A:C,3,FALSE)</f>
        <v>Make Comment Date and Author visible on the comment window itself.</v>
      </c>
      <c r="H560" s="13" t="str">
        <f ca="1">VLOOKUP(CONCATENATE(A560),WorkList!A:D,4,FALSE)</f>
        <v>David Covey</v>
      </c>
      <c r="I560" s="15">
        <f ca="1">VLOOKUP(CONCATENATE(A560),WorkList!A:E,5,FALSE)</f>
        <v>40332</v>
      </c>
      <c r="J560" s="49">
        <f ca="1">VLOOKUP(CONCATENATE(A560),WorkList!A:F,6,FALSE)</f>
        <v>1</v>
      </c>
      <c r="K560" s="49" t="str">
        <f ca="1">VLOOKUP(CONCATENATE(A560),WorkList!A:G,7,FALSE)</f>
        <v>Enhancement</v>
      </c>
      <c r="L560" s="7" t="s">
        <v>13</v>
      </c>
      <c r="M560" s="16">
        <v>40438</v>
      </c>
      <c r="N560" s="60">
        <f ca="1">VALUE(LEFT(C560))</f>
        <v>0</v>
      </c>
      <c r="O560" s="61">
        <f ca="1">INT(IF(N560&gt;0,1+MAX(N560*N560-(IF(D560="",TODAY()+(5-N560)*15,D560)-TODAY())/4,N560),IF(TODAY()-M560&gt;10,0,1)))</f>
        <v>0</v>
      </c>
      <c r="P560" s="1" t="str">
        <f ca="1">IF(ISNA(VLOOKUP(A560,Projects!B:B,1,FALSE)),"","Yes")</f>
        <v/>
      </c>
    </row>
    <row r="561" spans="1:16">
      <c r="A561" s="4" t="s">
        <v>313</v>
      </c>
      <c r="B561" s="5" t="s">
        <v>11</v>
      </c>
      <c r="C561" s="6" t="s">
        <v>48</v>
      </c>
      <c r="D561" s="11"/>
      <c r="F561" s="13" t="str">
        <f ca="1">VLOOKUP(LEFT(A561,IF(ISERROR(FIND(".",A561)),LEN(A561)+1,FIND(".",A561))-1),WorkList!A:C,3,FALSE)</f>
        <v>Stratification tool / PALS</v>
      </c>
      <c r="G561" s="14" t="str">
        <f ca="1">VLOOKUP(CONCATENATE(A561),WorkList!A:C,3,FALSE)</f>
        <v>Determine detailed requirements</v>
      </c>
      <c r="H561" s="13" t="str">
        <f ca="1">VLOOKUP(CONCATENATE(A561),WorkList!A:D,4,FALSE)</f>
        <v>David</v>
      </c>
      <c r="I561" s="15">
        <v>40009</v>
      </c>
      <c r="J561" s="49">
        <f ca="1">VLOOKUP(CONCATENATE(A561),WorkList!A:F,6,FALSE)</f>
        <v>0</v>
      </c>
      <c r="K561" s="49">
        <f ca="1">VLOOKUP(CONCATENATE(A561),WorkList!A:G,7,FALSE)</f>
        <v>0</v>
      </c>
      <c r="L561" s="7" t="s">
        <v>13</v>
      </c>
      <c r="M561" s="16">
        <v>40043</v>
      </c>
      <c r="N561" s="60">
        <f ca="1">VALUE(LEFT(C561))</f>
        <v>0</v>
      </c>
      <c r="O561" s="61">
        <f ca="1">INT(IF(N561&gt;0,1+MAX(N561*N561-(IF(D561="",TODAY()+(5-N561)*15,D561)-TODAY())/4,N561),IF(TODAY()-M561&gt;10,0,1)))</f>
        <v>0</v>
      </c>
      <c r="P561" s="1" t="str">
        <f ca="1">IF(ISNA(VLOOKUP(A561,Projects!B:B,1,FALSE)),"","Yes")</f>
        <v/>
      </c>
    </row>
    <row r="562" spans="1:16">
      <c r="A562" s="4" t="s">
        <v>404</v>
      </c>
      <c r="B562" s="5" t="s">
        <v>11</v>
      </c>
      <c r="C562" s="6" t="s">
        <v>48</v>
      </c>
      <c r="D562" s="11"/>
      <c r="F562" s="13" t="str">
        <f ca="1">VLOOKUP(LEFT(A562,IF(ISERROR(FIND(".",A562)),LEN(A562)+1,FIND(".",A562))-1),WorkList!A:C,3,FALSE)</f>
        <v>Stratification tool / PALS</v>
      </c>
      <c r="G562" s="14" t="str">
        <f ca="1">VLOOKUP(CONCATENATE(A562),WorkList!A:C,3,FALSE)</f>
        <v>Implement first version of application</v>
      </c>
      <c r="H562" s="13" t="str">
        <f ca="1">VLOOKUP(CONCATENATE(A562),WorkList!A:D,4,FALSE)</f>
        <v>David</v>
      </c>
      <c r="I562" s="15">
        <f ca="1">VLOOKUP(CONCATENATE(A562),WorkList!A:E,5,FALSE)</f>
        <v>40043</v>
      </c>
      <c r="J562" s="49">
        <f ca="1">VLOOKUP(CONCATENATE(A562),WorkList!A:F,6,FALSE)</f>
        <v>0</v>
      </c>
      <c r="K562" s="49">
        <f ca="1">VLOOKUP(CONCATENATE(A562),WorkList!A:G,7,FALSE)</f>
        <v>0</v>
      </c>
      <c r="L562" s="7" t="s">
        <v>13</v>
      </c>
      <c r="M562" s="16">
        <v>40050</v>
      </c>
      <c r="N562" s="60">
        <f ca="1">VALUE(LEFT(C562))</f>
        <v>0</v>
      </c>
      <c r="O562" s="61">
        <f ca="1">INT(IF(N562&gt;0,1+MAX(N562*N562-(IF(D562="",TODAY()+(5-N562)*15,D562)-TODAY())/4,N562),IF(TODAY()-M562&gt;10,0,1)))</f>
        <v>0</v>
      </c>
      <c r="P562" s="1" t="str">
        <f ca="1">IF(ISNA(VLOOKUP(A562,Projects!B:B,1,FALSE)),"","Yes")</f>
        <v/>
      </c>
    </row>
    <row r="563" spans="1:16">
      <c r="A563" s="4" t="s">
        <v>406</v>
      </c>
      <c r="B563" s="5" t="s">
        <v>11</v>
      </c>
      <c r="C563" s="6" t="s">
        <v>48</v>
      </c>
      <c r="D563" s="11"/>
      <c r="F563" s="13" t="str">
        <f ca="1">VLOOKUP(LEFT(A563,IF(ISERROR(FIND(".",A563)),LEN(A563)+1,FIND(".",A563))-1),WorkList!A:C,3,FALSE)</f>
        <v>Stratification tool / PALS</v>
      </c>
      <c r="G563" s="14" t="str">
        <f ca="1">VLOOKUP(CONCATENATE(A563),WorkList!A:C,3,FALSE)</f>
        <v>Modify according to feedback</v>
      </c>
      <c r="H563" s="13" t="str">
        <f ca="1">VLOOKUP(CONCATENATE(A563),WorkList!A:D,4,FALSE)</f>
        <v>Neil</v>
      </c>
      <c r="I563" s="15">
        <f ca="1">VLOOKUP(CONCATENATE(A563),WorkList!A:E,5,FALSE)</f>
        <v>40045</v>
      </c>
      <c r="J563" s="49">
        <f ca="1">VLOOKUP(CONCATENATE(A563),WorkList!A:F,6,FALSE)</f>
        <v>0</v>
      </c>
      <c r="K563" s="49">
        <f ca="1">VLOOKUP(CONCATENATE(A563),WorkList!A:G,7,FALSE)</f>
        <v>0</v>
      </c>
      <c r="L563" s="7" t="s">
        <v>13</v>
      </c>
      <c r="M563" s="16">
        <v>40053</v>
      </c>
      <c r="N563" s="60">
        <f ca="1">VALUE(LEFT(C563))</f>
        <v>0</v>
      </c>
      <c r="O563" s="61">
        <f ca="1">INT(IF(N563&gt;0,1+MAX(N563*N563-(IF(D563="",TODAY()+(5-N563)*15,D563)-TODAY())/4,N563),IF(TODAY()-M563&gt;10,0,1)))</f>
        <v>0</v>
      </c>
      <c r="P563" s="1" t="str">
        <f ca="1">IF(ISNA(VLOOKUP(A563,Projects!B:B,1,FALSE)),"","Yes")</f>
        <v/>
      </c>
    </row>
    <row r="564" spans="1:16">
      <c r="A564" s="4" t="s">
        <v>837</v>
      </c>
      <c r="B564" s="5" t="s">
        <v>21</v>
      </c>
      <c r="C564" s="7" t="s">
        <v>10</v>
      </c>
      <c r="D564" s="11"/>
      <c r="F564" s="13" t="str">
        <f ca="1">VLOOKUP(LEFT(A564,IF(ISERROR(FIND(".",A564)),LEN(A564)+1,FIND(".",A564))-1),WorkList!A:C,3,FALSE)</f>
        <v>Stratification tool / PALS</v>
      </c>
      <c r="G564" s="14" t="str">
        <f ca="1">VLOOKUP(CONCATENATE(A564),WorkList!A:C,3,FALSE)</f>
        <v>Add BTL flag on filter</v>
      </c>
      <c r="H564" s="13" t="str">
        <f ca="1">VLOOKUP(CONCATENATE(A564),WorkList!A:D,4,FALSE)</f>
        <v>David</v>
      </c>
      <c r="I564" s="15">
        <f ca="1">VLOOKUP(CONCATENATE(A564),WorkList!A:E,5,FALSE)</f>
        <v>40196</v>
      </c>
      <c r="J564" s="49">
        <f ca="1">VLOOKUP(CONCATENATE(A564),WorkList!A:F,6,FALSE)</f>
        <v>1</v>
      </c>
      <c r="K564" s="49" t="str">
        <f ca="1">VLOOKUP(CONCATENATE(A564),WorkList!A:G,7,FALSE)</f>
        <v>NewDevelopment</v>
      </c>
      <c r="L564" s="7" t="s">
        <v>537</v>
      </c>
      <c r="M564" s="16">
        <v>40283</v>
      </c>
      <c r="N564" s="60">
        <f ca="1">VALUE(LEFT(C564))</f>
        <v>3</v>
      </c>
      <c r="O564" s="61">
        <f ca="1">INT(IF(N564&gt;0,1+MAX(N564*N564-(IF(D564="",TODAY()+(5-N564)*15,D564)-TODAY())/4,N564),IF(TODAY()-M564&gt;10,0,1)))</f>
        <v>4</v>
      </c>
      <c r="P564" s="1" t="str">
        <f ca="1">IF(ISNA(VLOOKUP(A564,Projects!B:B,1,FALSE)),"","Yes")</f>
        <v/>
      </c>
    </row>
    <row r="565" spans="1:16">
      <c r="A565" s="4" t="s">
        <v>1109</v>
      </c>
      <c r="B565" s="5" t="s">
        <v>21</v>
      </c>
      <c r="C565" s="6" t="s">
        <v>10</v>
      </c>
      <c r="D565" s="11"/>
      <c r="F565" s="13" t="str">
        <f ca="1">VLOOKUP(LEFT(A565,IF(ISERROR(FIND(".",A565)),LEN(A565)+1,FIND(".",A565))-1),WorkList!A:C,3,FALSE)</f>
        <v>Stratification tool / PALS</v>
      </c>
      <c r="G565" s="14" t="str">
        <f ca="1">VLOOKUP(CONCATENATE(A565),WorkList!A:C,3,FALSE)</f>
        <v>Use DealId in database not BBG Deal Name</v>
      </c>
      <c r="H565" s="13" t="str">
        <f ca="1">VLOOKUP(CONCATENATE(A565),WorkList!A:D,4,FALSE)</f>
        <v>Neil</v>
      </c>
      <c r="I565" s="15">
        <f ca="1">VLOOKUP(CONCATENATE(A565),WorkList!A:E,5,FALSE)</f>
        <v>40302</v>
      </c>
      <c r="J565" s="49">
        <f ca="1">VLOOKUP(CONCATENATE(A565),WorkList!A:F,6,FALSE)</f>
        <v>2</v>
      </c>
      <c r="K565" s="49" t="str">
        <f ca="1">VLOOKUP(CONCATENATE(A565),WorkList!A:G,7,FALSE)</f>
        <v>Maintenance</v>
      </c>
      <c r="L565" s="7" t="s">
        <v>7</v>
      </c>
      <c r="M565" s="16">
        <v>40505</v>
      </c>
      <c r="N565" s="60">
        <f ca="1">VALUE(LEFT(C565))</f>
        <v>3</v>
      </c>
      <c r="O565" s="61">
        <f ca="1">INT(IF(N565&gt;0,1+MAX(N565*N565-(IF(D565="",TODAY()+(5-N565)*15,D565)-TODAY())/4,N565),IF(TODAY()-M565&gt;10,0,1)))</f>
        <v>4</v>
      </c>
      <c r="P565" s="1" t="str">
        <f ca="1">IF(ISNA(VLOOKUP(A565,Projects!B:B,1,FALSE)),"","Yes")</f>
        <v/>
      </c>
    </row>
    <row r="566" spans="1:16">
      <c r="A566" s="4" t="s">
        <v>1880</v>
      </c>
      <c r="B566" s="5" t="s">
        <v>21</v>
      </c>
      <c r="C566" s="7" t="s">
        <v>38</v>
      </c>
      <c r="F566" s="13" t="str">
        <f ca="1">VLOOKUP(LEFT(A566,IF(ISERROR(FIND(".",A566)),LEN(A566)+1,FIND(".",A566))-1),WorkList!A:C,3,FALSE)</f>
        <v>Stratification tool / PALS</v>
      </c>
      <c r="G566" s="14" t="str">
        <f ca="1">VLOOKUP(CONCATENATE(A566),WorkList!A:C,3,FALSE)</f>
        <v>Enhancements suggested by Danny</v>
      </c>
      <c r="H566" s="13" t="str">
        <f ca="1">VLOOKUP(CONCATENATE(A566),WorkList!A:D,4,FALSE)</f>
        <v>Danny</v>
      </c>
      <c r="I566" s="15">
        <f ca="1">VLOOKUP(CONCATENATE(A566),WorkList!A:E,5,FALSE)</f>
        <v>40563</v>
      </c>
      <c r="J566" s="49">
        <f ca="1">VLOOKUP(CONCATENATE(A566),WorkList!A:F,6,FALSE)</f>
        <v>3</v>
      </c>
      <c r="K566" s="49" t="str">
        <f ca="1">VLOOKUP(CONCATENATE(A566),WorkList!A:G,7,FALSE)</f>
        <v>Enhancement</v>
      </c>
      <c r="L566" s="7" t="s">
        <v>7</v>
      </c>
      <c r="M566" s="16">
        <v>40563</v>
      </c>
      <c r="N566" s="60">
        <f ca="1">VALUE(LEFT(C566))</f>
        <v>2</v>
      </c>
      <c r="O566" s="61">
        <f ca="1">INT(IF(N566&gt;0,1+MAX(N566*N566-(IF(D566="",TODAY()+(5-N566)*15,D566)-TODAY())/4,N566),IF(TODAY()-M566&gt;10,0,1)))</f>
        <v>3</v>
      </c>
      <c r="P566" s="1" t="str">
        <f ca="1">IF(ISNA(VLOOKUP(A566,Projects!B:B,1,FALSE)),"","Yes")</f>
        <v/>
      </c>
    </row>
    <row r="567" spans="1:16">
      <c r="A567" s="4" t="s">
        <v>332</v>
      </c>
      <c r="B567" s="5" t="s">
        <v>32</v>
      </c>
      <c r="C567" s="6" t="s">
        <v>48</v>
      </c>
      <c r="D567" s="11"/>
      <c r="F567" s="13" t="str">
        <f ca="1">VLOOKUP(LEFT(A567,IF(ISERROR(FIND(".",A567)),LEN(A567)+1,FIND(".",A567))-1),WorkList!A:C,3,FALSE)</f>
        <v>Excel DB Transition</v>
      </c>
      <c r="G567" s="14" t="str">
        <f ca="1">VLOOKUP(CONCATENATE(A567),WorkList!A:C,3,FALSE)</f>
        <v>Initial Plan</v>
      </c>
      <c r="H567" s="13" t="str">
        <f ca="1">VLOOKUP(CONCATENATE(A567),WorkList!A:D,4,FALSE)</f>
        <v>Neil</v>
      </c>
      <c r="I567" s="15">
        <f ca="1">VLOOKUP(CONCATENATE(A567),WorkList!A:E,5,FALSE)</f>
        <v>40014</v>
      </c>
      <c r="J567" s="49">
        <f ca="1">VLOOKUP(CONCATENATE(A567),WorkList!A:F,6,FALSE)</f>
        <v>0</v>
      </c>
      <c r="K567" s="49">
        <f ca="1">VLOOKUP(CONCATENATE(A567),WorkList!A:G,7,FALSE)</f>
        <v>0</v>
      </c>
      <c r="L567" s="7" t="s">
        <v>13</v>
      </c>
      <c r="M567" s="16">
        <v>40025</v>
      </c>
      <c r="N567" s="60">
        <f ca="1">VALUE(LEFT(C567))</f>
        <v>0</v>
      </c>
      <c r="O567" s="61">
        <f ca="1">INT(IF(N567&gt;0,1+MAX(N567*N567-(IF(D567="",TODAY()+(5-N567)*15,D567)-TODAY())/4,N567),IF(TODAY()-M567&gt;10,0,1)))</f>
        <v>0</v>
      </c>
      <c r="P567" s="1" t="str">
        <f ca="1">IF(ISNA(VLOOKUP(A567,Projects!B:B,1,FALSE)),"","Yes")</f>
        <v/>
      </c>
    </row>
    <row r="568" spans="1:16">
      <c r="A568" s="4" t="s">
        <v>336</v>
      </c>
      <c r="B568" s="5" t="s">
        <v>32</v>
      </c>
      <c r="C568" s="4" t="s">
        <v>48</v>
      </c>
      <c r="D568" s="11"/>
      <c r="F568" s="13" t="str">
        <f ca="1">VLOOKUP(LEFT(A568,IF(ISERROR(FIND(".",A568)),LEN(A568)+1,FIND(".",A568))-1),WorkList!A:C,3,FALSE)</f>
        <v>Excel DB Transition</v>
      </c>
      <c r="G568" s="14" t="str">
        <f ca="1">VLOOKUP(CONCATENATE(A568),WorkList!A:C,3,FALSE)</f>
        <v>Access Surveillance DB from UKNC spread sheet</v>
      </c>
      <c r="H568" s="13" t="str">
        <f ca="1">VLOOKUP(CONCATENATE(A568),WorkList!A:D,4,FALSE)</f>
        <v>Pramendra</v>
      </c>
      <c r="I568" s="15">
        <f ca="1">VLOOKUP(CONCATENATE(A568),WorkList!A:E,5,FALSE)</f>
        <v>40025</v>
      </c>
      <c r="J568" s="49">
        <f ca="1">VLOOKUP(CONCATENATE(A568),WorkList!A:F,6,FALSE)</f>
        <v>0</v>
      </c>
      <c r="K568" s="49">
        <f ca="1">VLOOKUP(CONCATENATE(A568),WorkList!A:G,7,FALSE)</f>
        <v>0</v>
      </c>
      <c r="L568" s="7" t="s">
        <v>13</v>
      </c>
      <c r="M568" s="16">
        <v>40120</v>
      </c>
      <c r="N568" s="60">
        <f ca="1">VALUE(LEFT(C568))</f>
        <v>0</v>
      </c>
      <c r="O568" s="61">
        <f ca="1">INT(IF(N568&gt;0,1+MAX(N568*N568-(IF(D568="",TODAY()+(5-N568)*15,D568)-TODAY())/4,N568),IF(TODAY()-M568&gt;10,0,1)))</f>
        <v>0</v>
      </c>
      <c r="P568" s="1" t="str">
        <f ca="1">IF(ISNA(VLOOKUP(A568,Projects!B:B,1,FALSE)),"","Yes")</f>
        <v/>
      </c>
    </row>
    <row r="569" spans="1:16">
      <c r="A569" s="4" t="s">
        <v>470</v>
      </c>
      <c r="B569" s="7" t="s">
        <v>32</v>
      </c>
      <c r="C569" s="6" t="s">
        <v>48</v>
      </c>
      <c r="D569" s="11"/>
      <c r="F569" s="13" t="str">
        <f ca="1">VLOOKUP(LEFT(A569,IF(ISERROR(FIND(".",A569)),LEN(A569)+1,FIND(".",A569))-1),WorkList!A:C,3,FALSE)</f>
        <v>Excel DB Transition</v>
      </c>
      <c r="G569" s="14" t="str">
        <f ca="1">VLOOKUP(CONCATENATE(A569),WorkList!A:C,3,FALSE)</f>
        <v>Formulate full plan for transition</v>
      </c>
      <c r="H569" s="13" t="str">
        <f ca="1">VLOOKUP(CONCATENATE(A569),WorkList!A:D,4,FALSE)</f>
        <v>Pramendra</v>
      </c>
      <c r="I569" s="15">
        <f ca="1">VLOOKUP(CONCATENATE(A569),WorkList!A:E,5,FALSE)</f>
        <v>40086</v>
      </c>
      <c r="J569" s="49">
        <f ca="1">VLOOKUP(CONCATENATE(A569),WorkList!A:F,6,FALSE)</f>
        <v>0</v>
      </c>
      <c r="K569" s="49">
        <f ca="1">VLOOKUP(CONCATENATE(A569),WorkList!A:G,7,FALSE)</f>
        <v>0</v>
      </c>
      <c r="L569" s="7" t="s">
        <v>13</v>
      </c>
      <c r="M569" s="16">
        <v>40120</v>
      </c>
      <c r="N569" s="60">
        <f ca="1">VALUE(LEFT(C569))</f>
        <v>0</v>
      </c>
      <c r="O569" s="61">
        <f ca="1">INT(IF(N569&gt;0,1+MAX(N569*N569-(IF(D569="",TODAY()+(5-N569)*15,D569)-TODAY())/4,N569),IF(TODAY()-M569&gt;10,0,1)))</f>
        <v>0</v>
      </c>
      <c r="P569" s="1" t="str">
        <f ca="1">IF(ISNA(VLOOKUP(A569,Projects!B:B,1,FALSE)),"","Yes")</f>
        <v/>
      </c>
    </row>
    <row r="570" spans="1:16">
      <c r="A570" s="4" t="s">
        <v>654</v>
      </c>
      <c r="B570" s="5" t="s">
        <v>32</v>
      </c>
      <c r="C570" s="7" t="s">
        <v>48</v>
      </c>
      <c r="D570" s="11"/>
      <c r="F570" s="13" t="str">
        <f ca="1">VLOOKUP(LEFT(A570,IF(ISERROR(FIND(".",A570)),LEN(A570)+1,FIND(".",A570))-1),WorkList!A:C,3,FALSE)</f>
        <v>Excel DB Transition</v>
      </c>
      <c r="G570" s="14" t="str">
        <f ca="1">VLOOKUP(CONCATENATE(A570),WorkList!A:C,3,FALSE)</f>
        <v>Create Excel Addin</v>
      </c>
      <c r="H570" s="13" t="str">
        <f ca="1">VLOOKUP(CONCATENATE(A570),WorkList!A:D,4,FALSE)</f>
        <v>Pramendra</v>
      </c>
      <c r="I570" s="15">
        <f ca="1">VLOOKUP(CONCATENATE(A570),WorkList!A:E,5,FALSE)</f>
        <v>40120</v>
      </c>
      <c r="J570" s="49">
        <f ca="1">VLOOKUP(CONCATENATE(A570),WorkList!A:F,6,FALSE)</f>
        <v>0</v>
      </c>
      <c r="K570" s="49">
        <f ca="1">VLOOKUP(CONCATENATE(A570),WorkList!A:G,7,FALSE)</f>
        <v>0</v>
      </c>
      <c r="L570" s="7" t="s">
        <v>13</v>
      </c>
      <c r="M570" s="16">
        <v>40120</v>
      </c>
      <c r="N570" s="60">
        <f ca="1">VALUE(LEFT(C570))</f>
        <v>0</v>
      </c>
      <c r="O570" s="61">
        <f ca="1">INT(IF(N570&gt;0,1+MAX(N570*N570-(IF(D570="",TODAY()+(5-N570)*15,D570)-TODAY())/4,N570),IF(TODAY()-M570&gt;10,0,1)))</f>
        <v>0</v>
      </c>
      <c r="P570" s="1" t="str">
        <f ca="1">IF(ISNA(VLOOKUP(A570,Projects!B:B,1,FALSE)),"","Yes")</f>
        <v/>
      </c>
    </row>
    <row r="571" spans="1:16">
      <c r="A571" s="4" t="s">
        <v>667</v>
      </c>
      <c r="B571" s="5" t="s">
        <v>32</v>
      </c>
      <c r="C571" s="6" t="s">
        <v>48</v>
      </c>
      <c r="D571" s="11"/>
      <c r="F571" s="13" t="str">
        <f ca="1">VLOOKUP(LEFT(A571,IF(ISERROR(FIND(".",A571)),LEN(A571)+1,FIND(".",A571))-1),WorkList!A:C,3,FALSE)</f>
        <v>Excel DB Transition</v>
      </c>
      <c r="G571" s="14" t="str">
        <f ca="1">VLOOKUP(CONCATENATE(A571),WorkList!A:C,3,FALSE)</f>
        <v>Move Deal Transaction Participants to DB + Addin</v>
      </c>
      <c r="H571" s="13" t="str">
        <f ca="1">VLOOKUP(CONCATENATE(A571),WorkList!A:D,4,FALSE)</f>
        <v>Pramendra</v>
      </c>
      <c r="I571" s="15">
        <v>40127</v>
      </c>
      <c r="J571" s="49">
        <f ca="1">VLOOKUP(CONCATENATE(A571),WorkList!A:F,6,FALSE)</f>
        <v>3</v>
      </c>
      <c r="K571" s="49">
        <f ca="1">VLOOKUP(CONCATENATE(A571),WorkList!A:G,7,FALSE)</f>
        <v>0</v>
      </c>
      <c r="L571" s="7" t="s">
        <v>13</v>
      </c>
      <c r="M571" s="16">
        <v>40182</v>
      </c>
      <c r="N571" s="60">
        <f ca="1">VALUE(LEFT(C571))</f>
        <v>0</v>
      </c>
      <c r="O571" s="61">
        <f ca="1">INT(IF(N571&gt;0,1+MAX(N571*N571-(IF(D571="",TODAY()+(5-N571)*15,D571)-TODAY())/4,N571),IF(TODAY()-M571&gt;10,0,1)))</f>
        <v>0</v>
      </c>
      <c r="P571" s="1" t="str">
        <f ca="1">IF(ISNA(VLOOKUP(A571,Projects!B:B,1,FALSE)),"","Yes")</f>
        <v/>
      </c>
    </row>
    <row r="572" spans="1:16">
      <c r="A572" s="4" t="s">
        <v>668</v>
      </c>
      <c r="B572" s="5" t="s">
        <v>32</v>
      </c>
      <c r="C572" s="6" t="s">
        <v>48</v>
      </c>
      <c r="D572" s="11"/>
      <c r="F572" s="13" t="str">
        <f ca="1">VLOOKUP(LEFT(A572,IF(ISERROR(FIND(".",A572)),LEN(A572)+1,FIND(".",A572))-1),WorkList!A:C,3,FALSE)</f>
        <v>Excel DB Transition</v>
      </c>
      <c r="G572" s="14" t="str">
        <f ca="1">VLOOKUP(CONCATENATE(A572),WorkList!A:C,3,FALSE)</f>
        <v>Move trigger definition and state to DB</v>
      </c>
      <c r="H572" s="13" t="str">
        <f ca="1">VLOOKUP(CONCATENATE(A572),WorkList!A:D,4,FALSE)</f>
        <v>Pramendra</v>
      </c>
      <c r="I572" s="15">
        <f ca="1">VLOOKUP(CONCATENATE(A572),WorkList!A:E,5,FALSE)</f>
        <v>40127</v>
      </c>
      <c r="J572" s="49">
        <f ca="1">VLOOKUP(CONCATENATE(A572),WorkList!A:F,6,FALSE)</f>
        <v>10</v>
      </c>
      <c r="K572" s="49">
        <f ca="1">VLOOKUP(CONCATENATE(A572),WorkList!A:G,7,FALSE)</f>
        <v>0</v>
      </c>
      <c r="L572" s="7" t="s">
        <v>13</v>
      </c>
      <c r="M572" s="16">
        <v>40200</v>
      </c>
      <c r="N572" s="60">
        <f ca="1">VALUE(LEFT(C572))</f>
        <v>0</v>
      </c>
      <c r="O572" s="61">
        <f ca="1">INT(IF(N572&gt;0,1+MAX(N572*N572-(IF(D572="",TODAY()+(5-N572)*15,D572)-TODAY())/4,N572),IF(TODAY()-M572&gt;10,0,1)))</f>
        <v>0</v>
      </c>
      <c r="P572" s="1" t="str">
        <f ca="1">IF(ISNA(VLOOKUP(A572,Projects!B:B,1,FALSE)),"","Yes")</f>
        <v/>
      </c>
    </row>
    <row r="573" spans="1:16">
      <c r="A573" s="4" t="s">
        <v>669</v>
      </c>
      <c r="B573" s="5" t="s">
        <v>21</v>
      </c>
      <c r="C573" s="7" t="s">
        <v>10</v>
      </c>
      <c r="D573" s="11"/>
      <c r="F573" s="13" t="str">
        <f ca="1">VLOOKUP(LEFT(A573,IF(ISERROR(FIND(".",A573)),LEN(A573)+1,FIND(".",A573))-1),WorkList!A:C,3,FALSE)</f>
        <v>Excel DB Transition</v>
      </c>
      <c r="G573" s="14" t="str">
        <f ca="1">VLOOKUP(CONCATENATE(A573),WorkList!A:C,3,FALSE)</f>
        <v>Add trigger definitions to Addin</v>
      </c>
      <c r="H573" s="13" t="str">
        <f ca="1">VLOOKUP(CONCATENATE(A573),WorkList!A:D,4,FALSE)</f>
        <v>Pramendra</v>
      </c>
      <c r="I573" s="15">
        <f ca="1">VLOOKUP(CONCATENATE(A573),WorkList!A:E,5,FALSE)</f>
        <v>40127</v>
      </c>
      <c r="J573" s="49">
        <f ca="1">VLOOKUP(CONCATENATE(A573),WorkList!A:F,6,FALSE)</f>
        <v>3</v>
      </c>
      <c r="K573" s="49" t="str">
        <f ca="1">VLOOKUP(CONCATENATE(A573),WorkList!A:G,7,FALSE)</f>
        <v>NewDevelopment</v>
      </c>
      <c r="L573" s="7" t="s">
        <v>5</v>
      </c>
      <c r="M573" s="16">
        <v>40283</v>
      </c>
      <c r="N573" s="60">
        <f ca="1">VALUE(LEFT(C573))</f>
        <v>3</v>
      </c>
      <c r="O573" s="61">
        <f ca="1">INT(IF(N573&gt;0,1+MAX(N573*N573-(IF(D573="",TODAY()+(5-N573)*15,D573)-TODAY())/4,N573),IF(TODAY()-M573&gt;10,0,1)))</f>
        <v>4</v>
      </c>
      <c r="P573" s="1" t="str">
        <f ca="1">IF(ISNA(VLOOKUP(A573,Projects!B:B,1,FALSE)),"","Yes")</f>
        <v/>
      </c>
    </row>
    <row r="574" spans="1:16" ht="25.5">
      <c r="A574" s="4" t="s">
        <v>670</v>
      </c>
      <c r="B574" s="5" t="s">
        <v>21</v>
      </c>
      <c r="C574" s="7" t="s">
        <v>197</v>
      </c>
      <c r="D574" s="11"/>
      <c r="F574" s="13" t="str">
        <f ca="1">VLOOKUP(LEFT(A574,IF(ISERROR(FIND(".",A574)),LEN(A574)+1,FIND(".",A574))-1),WorkList!A:C,3,FALSE)</f>
        <v>Excel DB Transition</v>
      </c>
      <c r="G574" s="14" t="str">
        <f ca="1">VLOOKUP(CONCATENATE(A574),WorkList!A:C,3,FALSE)</f>
        <v>Develop schema to hold aggregate loan data (independent of source)</v>
      </c>
      <c r="H574" s="13" t="str">
        <f ca="1">VLOOKUP(CONCATENATE(A574),WorkList!A:D,4,FALSE)</f>
        <v>Pramendra</v>
      </c>
      <c r="I574" s="15">
        <f ca="1">VLOOKUP(CONCATENATE(A574),WorkList!A:E,5,FALSE)</f>
        <v>40127</v>
      </c>
      <c r="J574" s="49">
        <f ca="1">VLOOKUP(CONCATENATE(A574),WorkList!A:F,6,FALSE)</f>
        <v>3</v>
      </c>
      <c r="K574" s="49" t="str">
        <f ca="1">VLOOKUP(CONCATENATE(A574),WorkList!A:G,7,FALSE)</f>
        <v>NewDevelopment</v>
      </c>
      <c r="L574" s="7" t="s">
        <v>7</v>
      </c>
      <c r="M574" s="16">
        <v>40218</v>
      </c>
      <c r="N574" s="60">
        <f ca="1">VALUE(LEFT(C574))</f>
        <v>1</v>
      </c>
      <c r="O574" s="61">
        <f ca="1">INT(IF(N574&gt;0,1+MAX(N574*N574-(IF(D574="",TODAY()+(5-N574)*15,D574)-TODAY())/4,N574),IF(TODAY()-M574&gt;10,0,1)))</f>
        <v>2</v>
      </c>
      <c r="P574" s="1" t="str">
        <f ca="1">IF(ISNA(VLOOKUP(A574,Projects!B:B,1,FALSE)),"","Yes")</f>
        <v/>
      </c>
    </row>
    <row r="575" spans="1:16" ht="25.5">
      <c r="A575" s="4" t="s">
        <v>671</v>
      </c>
      <c r="B575" s="5" t="s">
        <v>21</v>
      </c>
      <c r="C575" s="7" t="s">
        <v>197</v>
      </c>
      <c r="D575" s="11"/>
      <c r="F575" s="13" t="str">
        <f ca="1">VLOOKUP(LEFT(A575,IF(ISERROR(FIND(".",A575)),LEN(A575)+1,FIND(".",A575))-1),WorkList!A:C,3,FALSE)</f>
        <v>Excel DB Transition</v>
      </c>
      <c r="G575" s="14" t="str">
        <f ca="1">VLOOKUP(CONCATENATE(A575),WorkList!A:C,3,FALSE)</f>
        <v>Automatically generate aggregate loan data where possible</v>
      </c>
      <c r="H575" s="13" t="str">
        <f ca="1">VLOOKUP(CONCATENATE(A575),WorkList!A:D,4,FALSE)</f>
        <v>Pramendra</v>
      </c>
      <c r="I575" s="15">
        <f ca="1">VLOOKUP(CONCATENATE(A575),WorkList!A:E,5,FALSE)</f>
        <v>40403</v>
      </c>
      <c r="J575" s="49">
        <f ca="1">VLOOKUP(CONCATENATE(A575),WorkList!A:F,6,FALSE)</f>
        <v>10</v>
      </c>
      <c r="K575" s="49" t="str">
        <f ca="1">VLOOKUP(CONCATENATE(A575),WorkList!A:G,7,FALSE)</f>
        <v>NewDevelopment</v>
      </c>
      <c r="L575" s="7" t="s">
        <v>7</v>
      </c>
      <c r="M575" s="16">
        <v>40218</v>
      </c>
      <c r="N575" s="60">
        <f ca="1">VALUE(LEFT(C575))</f>
        <v>1</v>
      </c>
      <c r="O575" s="61">
        <f ca="1">INT(IF(N575&gt;0,1+MAX(N575*N575-(IF(D575="",TODAY()+(5-N575)*15,D575)-TODAY())/4,N575),IF(TODAY()-M575&gt;10,0,1)))</f>
        <v>2</v>
      </c>
      <c r="P575" s="1" t="str">
        <f ca="1">IF(ISNA(VLOOKUP(A575,Projects!B:B,1,FALSE)),"","Yes")</f>
        <v/>
      </c>
    </row>
    <row r="576" spans="1:16">
      <c r="A576" s="4" t="s">
        <v>672</v>
      </c>
      <c r="B576" s="5" t="s">
        <v>32</v>
      </c>
      <c r="C576" s="6" t="s">
        <v>48</v>
      </c>
      <c r="D576" s="11"/>
      <c r="F576" s="13" t="str">
        <f ca="1">VLOOKUP(LEFT(A576,IF(ISERROR(FIND(".",A576)),LEN(A576)+1,FIND(".",A576))-1),WorkList!A:C,3,FALSE)</f>
        <v>Excel DB Transition</v>
      </c>
      <c r="G576" s="14" t="str">
        <f ca="1">VLOOKUP(CONCATENATE(A576),WorkList!A:C,3,FALSE)</f>
        <v>Copy deal structure to comments.</v>
      </c>
      <c r="H576" s="13" t="str">
        <f ca="1">VLOOKUP(CONCATENATE(A576),WorkList!A:D,4,FALSE)</f>
        <v>Pramendra</v>
      </c>
      <c r="I576" s="15">
        <f ca="1">VLOOKUP(CONCATENATE(A576),WorkList!A:E,5,FALSE)</f>
        <v>40127</v>
      </c>
      <c r="J576" s="49">
        <f ca="1">VLOOKUP(CONCATENATE(A576),WorkList!A:F,6,FALSE)</f>
        <v>7</v>
      </c>
      <c r="K576" s="49">
        <f ca="1">VLOOKUP(CONCATENATE(A576),WorkList!A:G,7,FALSE)</f>
        <v>0</v>
      </c>
      <c r="L576" s="7" t="s">
        <v>13</v>
      </c>
      <c r="M576" s="16">
        <v>40218</v>
      </c>
      <c r="N576" s="60">
        <f ca="1">VALUE(LEFT(C576))</f>
        <v>0</v>
      </c>
      <c r="O576" s="61">
        <f ca="1">INT(IF(N576&gt;0,1+MAX(N576*N576-(IF(D576="",TODAY()+(5-N576)*15,D576)-TODAY())/4,N576),IF(TODAY()-M576&gt;10,0,1)))</f>
        <v>0</v>
      </c>
      <c r="P576" s="1" t="str">
        <f ca="1">IF(ISNA(VLOOKUP(A576,Projects!B:B,1,FALSE)),"","Yes")</f>
        <v/>
      </c>
    </row>
    <row r="577" spans="1:16">
      <c r="A577" s="4" t="s">
        <v>856</v>
      </c>
      <c r="B577" s="5" t="s">
        <v>32</v>
      </c>
      <c r="C577" s="6" t="s">
        <v>48</v>
      </c>
      <c r="D577" s="11"/>
      <c r="F577" s="13" t="str">
        <f ca="1">VLOOKUP(LEFT(A577,IF(ISERROR(FIND(".",A577)),LEN(A577)+1,FIND(".",A577))-1),WorkList!A:C,3,FALSE)</f>
        <v>Excel DB Transition</v>
      </c>
      <c r="G577" s="14" t="str">
        <f ca="1">VLOOKUP(CONCATENATE(A577),WorkList!A:C,3,FALSE)</f>
        <v>Get Reseach to fully populate triggers in DealsDB</v>
      </c>
      <c r="H577" s="13" t="str">
        <f ca="1">VLOOKUP(CONCATENATE(A577),WorkList!A:D,4,FALSE)</f>
        <v>Pramendra</v>
      </c>
      <c r="I577" s="15">
        <f ca="1">VLOOKUP(CONCATENATE(A577),WorkList!A:E,5,FALSE)</f>
        <v>40200</v>
      </c>
      <c r="J577" s="49">
        <f ca="1">VLOOKUP(CONCATENATE(A577),WorkList!A:F,6,FALSE)</f>
        <v>2</v>
      </c>
      <c r="K577" s="49">
        <f ca="1">VLOOKUP(CONCATENATE(A577),WorkList!A:G,7,FALSE)</f>
        <v>0</v>
      </c>
      <c r="L577" s="7" t="s">
        <v>13</v>
      </c>
      <c r="M577" s="16">
        <v>40218</v>
      </c>
      <c r="N577" s="60">
        <f ca="1">VALUE(LEFT(C577))</f>
        <v>0</v>
      </c>
      <c r="O577" s="61">
        <f ca="1">INT(IF(N577&gt;0,1+MAX(N577*N577-(IF(D577="",TODAY()+(5-N577)*15,D577)-TODAY())/4,N577),IF(TODAY()-M577&gt;10,0,1)))</f>
        <v>0</v>
      </c>
      <c r="P577" s="1" t="str">
        <f ca="1">IF(ISNA(VLOOKUP(A577,Projects!B:B,1,FALSE)),"","Yes")</f>
        <v/>
      </c>
    </row>
    <row r="578" spans="1:16">
      <c r="A578" s="4" t="s">
        <v>673</v>
      </c>
      <c r="B578" s="5" t="s">
        <v>32</v>
      </c>
      <c r="C578" s="6" t="s">
        <v>48</v>
      </c>
      <c r="D578" s="11"/>
      <c r="F578" s="13" t="str">
        <f ca="1">VLOOKUP(LEFT(A578,IF(ISERROR(FIND(".",A578)),LEN(A578)+1,FIND(".",A578))-1),WorkList!A:C,3,FALSE)</f>
        <v>Excel DB Transition</v>
      </c>
      <c r="G578" s="14" t="str">
        <f ca="1">VLOOKUP(CONCATENATE(A578),WorkList!A:C,3,FALSE)</f>
        <v>Set up Counterparties (DealDB app)</v>
      </c>
      <c r="H578" s="13" t="str">
        <f ca="1">VLOOKUP(CONCATENATE(A578),WorkList!A:D,4,FALSE)</f>
        <v>Pramendra</v>
      </c>
      <c r="I578" s="15">
        <f ca="1">VLOOKUP(CONCATENATE(A578),WorkList!A:E,5,FALSE)</f>
        <v>40127</v>
      </c>
      <c r="J578" s="49">
        <f ca="1">VLOOKUP(CONCATENATE(A578),WorkList!A:F,6,FALSE)</f>
        <v>3</v>
      </c>
      <c r="K578" s="49">
        <f ca="1">VLOOKUP(CONCATENATE(A578),WorkList!A:G,7,FALSE)</f>
        <v>0</v>
      </c>
      <c r="L578" s="7" t="s">
        <v>13</v>
      </c>
      <c r="M578" s="16">
        <v>40218</v>
      </c>
      <c r="N578" s="60">
        <f ca="1">VALUE(LEFT(C578))</f>
        <v>0</v>
      </c>
      <c r="O578" s="61">
        <f ca="1">INT(IF(N578&gt;0,1+MAX(N578*N578-(IF(D578="",TODAY()+(5-N578)*15,D578)-TODAY())/4,N578),IF(TODAY()-M578&gt;10,0,1)))</f>
        <v>0</v>
      </c>
      <c r="P578" s="1" t="str">
        <f ca="1">IF(ISNA(VLOOKUP(A578,Projects!B:B,1,FALSE)),"","Yes")</f>
        <v/>
      </c>
    </row>
    <row r="579" spans="1:16" ht="25.5">
      <c r="A579" s="4" t="s">
        <v>674</v>
      </c>
      <c r="B579" s="5" t="s">
        <v>32</v>
      </c>
      <c r="C579" s="6" t="s">
        <v>48</v>
      </c>
      <c r="D579" s="11"/>
      <c r="F579" s="13" t="str">
        <f ca="1">VLOOKUP(LEFT(A579,IF(ISERROR(FIND(".",A579)),LEN(A579)+1,FIND(".",A579))-1),WorkList!A:C,3,FALSE)</f>
        <v>Excel DB Transition</v>
      </c>
      <c r="G579" s="14" t="str">
        <f ca="1">VLOOKUP(CONCATENATE(A579),WorkList!A:C,3,FALSE)</f>
        <v>Set up Deal Triggers and allow state changes (DealDB app)</v>
      </c>
      <c r="H579" s="13" t="str">
        <f ca="1">VLOOKUP(CONCATENATE(A579),WorkList!A:D,4,FALSE)</f>
        <v>Pramendra</v>
      </c>
      <c r="I579" s="15">
        <f ca="1">VLOOKUP(CONCATENATE(A579),WorkList!A:E,5,FALSE)</f>
        <v>40135</v>
      </c>
      <c r="J579" s="49">
        <f ca="1">VLOOKUP(CONCATENATE(A579),WorkList!A:F,6,FALSE)</f>
        <v>3</v>
      </c>
      <c r="K579" s="49">
        <f ca="1">VLOOKUP(CONCATENATE(A579),WorkList!A:G,7,FALSE)</f>
        <v>0</v>
      </c>
      <c r="L579" s="7" t="s">
        <v>13</v>
      </c>
      <c r="M579" s="16">
        <v>40218</v>
      </c>
      <c r="N579" s="60">
        <f ca="1">VALUE(LEFT(C579))</f>
        <v>0</v>
      </c>
      <c r="O579" s="61">
        <f ca="1">INT(IF(N579&gt;0,1+MAX(N579*N579-(IF(D579="",TODAY()+(5-N579)*15,D579)-TODAY())/4,N579),IF(TODAY()-M579&gt;10,0,1)))</f>
        <v>0</v>
      </c>
      <c r="P579" s="1" t="str">
        <f ca="1">IF(ISNA(VLOOKUP(A579,Projects!B:B,1,FALSE)),"","Yes")</f>
        <v/>
      </c>
    </row>
    <row r="580" spans="1:16">
      <c r="A580" s="4" t="s">
        <v>675</v>
      </c>
      <c r="B580" s="5" t="s">
        <v>21</v>
      </c>
      <c r="C580" s="7" t="s">
        <v>197</v>
      </c>
      <c r="D580" s="11"/>
      <c r="F580" s="13" t="str">
        <f ca="1">VLOOKUP(LEFT(A580,IF(ISERROR(FIND(".",A580)),LEN(A580)+1,FIND(".",A580))-1),WorkList!A:C,3,FALSE)</f>
        <v>Excel DB Transition</v>
      </c>
      <c r="G580" s="14" t="str">
        <f ca="1">VLOOKUP(CONCATENATE(A580),WorkList!A:C,3,FALSE)</f>
        <v>App to allow manual entry of aggregate loan data</v>
      </c>
      <c r="H580" s="13" t="str">
        <f ca="1">VLOOKUP(CONCATENATE(A580),WorkList!A:D,4,FALSE)</f>
        <v>Pramendra</v>
      </c>
      <c r="I580" s="15">
        <f ca="1">VLOOKUP(CONCATENATE(A580),WorkList!A:E,5,FALSE)</f>
        <v>40127</v>
      </c>
      <c r="J580" s="49">
        <f ca="1">VLOOKUP(CONCATENATE(A580),WorkList!A:F,6,FALSE)</f>
        <v>3</v>
      </c>
      <c r="K580" s="49" t="str">
        <f ca="1">VLOOKUP(CONCATENATE(A580),WorkList!A:G,7,FALSE)</f>
        <v>NewDevelopment</v>
      </c>
      <c r="L580" s="7" t="s">
        <v>7</v>
      </c>
      <c r="M580" s="16">
        <v>40218</v>
      </c>
      <c r="N580" s="60">
        <f ca="1">VALUE(LEFT(C580))</f>
        <v>1</v>
      </c>
      <c r="O580" s="61">
        <f ca="1">INT(IF(N580&gt;0,1+MAX(N580*N580-(IF(D580="",TODAY()+(5-N580)*15,D580)-TODAY())/4,N580),IF(TODAY()-M580&gt;10,0,1)))</f>
        <v>2</v>
      </c>
      <c r="P580" s="1" t="str">
        <f ca="1">IF(ISNA(VLOOKUP(A580,Projects!B:B,1,FALSE)),"","Yes")</f>
        <v/>
      </c>
    </row>
    <row r="581" spans="1:16">
      <c r="A581" s="4" t="s">
        <v>379</v>
      </c>
      <c r="B581" s="5" t="s">
        <v>32</v>
      </c>
      <c r="C581" s="6" t="s">
        <v>48</v>
      </c>
      <c r="D581" s="11"/>
      <c r="F581" s="13" t="str">
        <f ca="1">VLOOKUP(LEFT(A581,IF(ISERROR(FIND(".",A581)),LEN(A581)+1,FIND(".",A581))-1),WorkList!A:C,3,FALSE)</f>
        <v>Macro Economic Data</v>
      </c>
      <c r="G581" s="14" t="str">
        <f ca="1">VLOOKUP(CONCATENATE(A581),WorkList!A:C,3,FALSE)</f>
        <v>Initial Plan with Ajay</v>
      </c>
      <c r="H581" s="13" t="str">
        <f ca="1">VLOOKUP(CONCATENATE(A581),WorkList!A:D,4,FALSE)</f>
        <v>David</v>
      </c>
      <c r="I581" s="15">
        <f ca="1">VLOOKUP(CONCATENATE(A581),WorkList!A:E,5,FALSE)</f>
        <v>40029</v>
      </c>
      <c r="J581" s="49">
        <f ca="1">VLOOKUP(CONCATENATE(A581),WorkList!A:F,6,FALSE)</f>
        <v>0</v>
      </c>
      <c r="K581" s="49">
        <f ca="1">VLOOKUP(CONCATENATE(A581),WorkList!A:G,7,FALSE)</f>
        <v>0</v>
      </c>
      <c r="L581" s="7" t="s">
        <v>13</v>
      </c>
      <c r="M581" s="16">
        <v>40045</v>
      </c>
      <c r="N581" s="60">
        <f ca="1">VALUE(LEFT(C581))</f>
        <v>0</v>
      </c>
      <c r="O581" s="61">
        <f ca="1">INT(IF(N581&gt;0,1+MAX(N581*N581-(IF(D581="",TODAY()+(5-N581)*15,D581)-TODAY())/4,N581),IF(TODAY()-M581&gt;10,0,1)))</f>
        <v>0</v>
      </c>
      <c r="P581" s="1" t="str">
        <f ca="1">IF(ISNA(VLOOKUP(A581,Projects!B:B,1,FALSE)),"","Yes")</f>
        <v/>
      </c>
    </row>
    <row r="582" spans="1:16">
      <c r="A582" s="4" t="s">
        <v>1013</v>
      </c>
      <c r="B582" s="5" t="s">
        <v>11</v>
      </c>
      <c r="C582" s="7" t="s">
        <v>48</v>
      </c>
      <c r="D582" s="11"/>
      <c r="F582" s="13" t="str">
        <f ca="1">VLOOKUP(LEFT(A582,IF(ISERROR(FIND(".",A582)),LEN(A582)+1,FIND(".",A582))-1),WorkList!A:C,3,FALSE)</f>
        <v>Macro Economic Data</v>
      </c>
      <c r="G582" s="14" t="str">
        <f ca="1">VLOOKUP(CONCATENATE(A582),WorkList!A:C,3,FALSE)</f>
        <v xml:space="preserve">Normalised BBG Rate Data </v>
      </c>
      <c r="H582" s="13" t="str">
        <f ca="1">VLOOKUP(CONCATENATE(A582),WorkList!A:D,4,FALSE)</f>
        <v>Neil</v>
      </c>
      <c r="I582" s="15">
        <f ca="1">VLOOKUP(CONCATENATE(A582),WorkList!A:E,5,FALSE)</f>
        <v>40267</v>
      </c>
      <c r="J582" s="49">
        <f ca="1">VLOOKUP(CONCATENATE(A582),WorkList!A:F,6,FALSE)</f>
        <v>0.5</v>
      </c>
      <c r="K582" s="49">
        <f ca="1">VLOOKUP(CONCATENATE(A582),WorkList!A:G,7,FALSE)</f>
        <v>0</v>
      </c>
      <c r="L582" s="7" t="s">
        <v>13</v>
      </c>
      <c r="M582" s="16">
        <v>40268</v>
      </c>
      <c r="N582" s="60">
        <f ca="1">VALUE(LEFT(C582))</f>
        <v>0</v>
      </c>
      <c r="O582" s="61">
        <f ca="1">INT(IF(N582&gt;0,1+MAX(N582*N582-(IF(D582="",TODAY()+(5-N582)*15,D582)-TODAY())/4,N582),IF(TODAY()-M582&gt;10,0,1)))</f>
        <v>0</v>
      </c>
      <c r="P582" s="1" t="str">
        <f ca="1">IF(ISNA(VLOOKUP(A582,Projects!B:B,1,FALSE)),"","Yes")</f>
        <v/>
      </c>
    </row>
    <row r="583" spans="1:16">
      <c r="A583" s="4" t="s">
        <v>1017</v>
      </c>
      <c r="B583" s="5" t="s">
        <v>32</v>
      </c>
      <c r="C583" s="6" t="s">
        <v>48</v>
      </c>
      <c r="D583" s="11"/>
      <c r="F583" s="13" t="str">
        <f ca="1">VLOOKUP(LEFT(A583,IF(ISERROR(FIND(".",A583)),LEN(A583)+1,FIND(".",A583))-1),WorkList!A:C,3,FALSE)</f>
        <v>Macro Economic Data</v>
      </c>
      <c r="G583" s="14" t="str">
        <f ca="1">VLOOKUP(CONCATENATE(A583),WorkList!A:C,3,FALSE)</f>
        <v xml:space="preserve">Normalised ECB Rate Data </v>
      </c>
      <c r="H583" s="13" t="str">
        <f ca="1">VLOOKUP(CONCATENATE(A583),WorkList!A:D,4,FALSE)</f>
        <v>Neil</v>
      </c>
      <c r="I583" s="15">
        <f ca="1">VLOOKUP(CONCATENATE(A583),WorkList!A:E,5,FALSE)</f>
        <v>40268</v>
      </c>
      <c r="J583" s="49">
        <f ca="1">VLOOKUP(CONCATENATE(A583),WorkList!A:F,6,FALSE)</f>
        <v>2</v>
      </c>
      <c r="K583" s="49" t="str">
        <f ca="1">VLOOKUP(CONCATENATE(A583),WorkList!A:G,7,FALSE)</f>
        <v>Maintenance</v>
      </c>
      <c r="L583" s="7" t="s">
        <v>13</v>
      </c>
      <c r="M583" s="16">
        <v>40296</v>
      </c>
      <c r="N583" s="60">
        <f ca="1">VALUE(LEFT(C583))</f>
        <v>0</v>
      </c>
      <c r="O583" s="61">
        <f ca="1">INT(IF(N583&gt;0,1+MAX(N583*N583-(IF(D583="",TODAY()+(5-N583)*15,D583)-TODAY())/4,N583),IF(TODAY()-M583&gt;10,0,1)))</f>
        <v>0</v>
      </c>
      <c r="P583" s="1" t="str">
        <f ca="1">IF(ISNA(VLOOKUP(A583,Projects!B:B,1,FALSE)),"","Yes")</f>
        <v/>
      </c>
    </row>
    <row r="584" spans="1:16">
      <c r="A584" s="4" t="s">
        <v>1019</v>
      </c>
      <c r="B584" s="5" t="s">
        <v>32</v>
      </c>
      <c r="C584" s="6" t="s">
        <v>48</v>
      </c>
      <c r="D584" s="11"/>
      <c r="F584" s="13" t="str">
        <f ca="1">VLOOKUP(LEFT(A584,IF(ISERROR(FIND(".",A584)),LEN(A584)+1,FIND(".",A584))-1),WorkList!A:C,3,FALSE)</f>
        <v>Macro Economic Data</v>
      </c>
      <c r="G584" s="14" t="str">
        <f ca="1">VLOOKUP(CONCATENATE(A584),WorkList!A:C,3,FALSE)</f>
        <v xml:space="preserve">Normalised BOE Rate Data </v>
      </c>
      <c r="H584" s="13" t="str">
        <f ca="1">VLOOKUP(CONCATENATE(A584),WorkList!A:D,4,FALSE)</f>
        <v>Neil</v>
      </c>
      <c r="I584" s="15">
        <f ca="1">VLOOKUP(CONCATENATE(A584),WorkList!A:E,5,FALSE)</f>
        <v>40268</v>
      </c>
      <c r="J584" s="49">
        <f ca="1">VLOOKUP(CONCATENATE(A584),WorkList!A:F,6,FALSE)</f>
        <v>2</v>
      </c>
      <c r="K584" s="49" t="str">
        <f ca="1">VLOOKUP(CONCATENATE(A584),WorkList!A:G,7,FALSE)</f>
        <v>Maintenance</v>
      </c>
      <c r="L584" s="7" t="s">
        <v>13</v>
      </c>
      <c r="M584" s="16">
        <v>40303</v>
      </c>
      <c r="N584" s="60">
        <f ca="1">VALUE(LEFT(C584))</f>
        <v>0</v>
      </c>
      <c r="O584" s="61">
        <f ca="1">INT(IF(N584&gt;0,1+MAX(N584*N584-(IF(D584="",TODAY()+(5-N584)*15,D584)-TODAY())/4,N584),IF(TODAY()-M584&gt;10,0,1)))</f>
        <v>0</v>
      </c>
      <c r="P584" s="1" t="str">
        <f ca="1">IF(ISNA(VLOOKUP(A584,Projects!B:B,1,FALSE)),"","Yes")</f>
        <v/>
      </c>
    </row>
    <row r="585" spans="1:16">
      <c r="A585" s="4" t="s">
        <v>1020</v>
      </c>
      <c r="B585" s="5" t="s">
        <v>37</v>
      </c>
      <c r="C585" s="6" t="s">
        <v>48</v>
      </c>
      <c r="D585" s="11"/>
      <c r="F585" s="13" t="str">
        <f ca="1">VLOOKUP(LEFT(A585,IF(ISERROR(FIND(".",A585)),LEN(A585)+1,FIND(".",A585))-1),WorkList!A:C,3,FALSE)</f>
        <v>Macro Economic Data</v>
      </c>
      <c r="G585" s="14" t="str">
        <f ca="1">VLOOKUP(CONCATENATE(A585),WorkList!A:C,3,FALSE)</f>
        <v xml:space="preserve">Normalised Dutch HPI Rate Data </v>
      </c>
      <c r="H585" s="13" t="str">
        <f ca="1">VLOOKUP(CONCATENATE(A585),WorkList!A:D,4,FALSE)</f>
        <v>Neil</v>
      </c>
      <c r="I585" s="15">
        <f ca="1">VLOOKUP(CONCATENATE(A585),WorkList!A:E,5,FALSE)</f>
        <v>40268</v>
      </c>
      <c r="J585" s="49">
        <f ca="1">VLOOKUP(CONCATENATE(A585),WorkList!A:F,6,FALSE)</f>
        <v>2</v>
      </c>
      <c r="K585" s="49" t="str">
        <f ca="1">VLOOKUP(CONCATENATE(A585),WorkList!A:G,7,FALSE)</f>
        <v>Maintenance</v>
      </c>
      <c r="L585" s="7" t="s">
        <v>13</v>
      </c>
      <c r="M585" s="16">
        <v>40322</v>
      </c>
      <c r="N585" s="60">
        <f ca="1">VALUE(LEFT(C585))</f>
        <v>0</v>
      </c>
      <c r="O585" s="61">
        <f ca="1">INT(IF(N585&gt;0,1+MAX(N585*N585-(IF(D585="",TODAY()+(5-N585)*15,D585)-TODAY())/4,N585),IF(TODAY()-M585&gt;10,0,1)))</f>
        <v>0</v>
      </c>
      <c r="P585" s="1" t="str">
        <f ca="1">IF(ISNA(VLOOKUP(A585,Projects!B:B,1,FALSE)),"","Yes")</f>
        <v/>
      </c>
    </row>
    <row r="586" spans="1:16">
      <c r="A586" s="4" t="s">
        <v>1021</v>
      </c>
      <c r="B586" s="5" t="s">
        <v>37</v>
      </c>
      <c r="C586" s="6" t="s">
        <v>48</v>
      </c>
      <c r="D586" s="11"/>
      <c r="F586" s="13" t="str">
        <f ca="1">VLOOKUP(LEFT(A586,IF(ISERROR(FIND(".",A586)),LEN(A586)+1,FIND(".",A586))-1),WorkList!A:C,3,FALSE)</f>
        <v>Macro Economic Data</v>
      </c>
      <c r="G586" s="14" t="str">
        <f ca="1">VLOOKUP(CONCATENATE(A586),WorkList!A:C,3,FALSE)</f>
        <v xml:space="preserve">Normalised Spanish HPI Rate Data </v>
      </c>
      <c r="H586" s="13" t="str">
        <f ca="1">VLOOKUP(CONCATENATE(A586),WorkList!A:D,4,FALSE)</f>
        <v>Neil</v>
      </c>
      <c r="I586" s="15">
        <f ca="1">VLOOKUP(CONCATENATE(A586),WorkList!A:E,5,FALSE)</f>
        <v>40268</v>
      </c>
      <c r="J586" s="49">
        <f ca="1">VLOOKUP(CONCATENATE(A586),WorkList!A:F,6,FALSE)</f>
        <v>2</v>
      </c>
      <c r="K586" s="49" t="str">
        <f ca="1">VLOOKUP(CONCATENATE(A586),WorkList!A:G,7,FALSE)</f>
        <v>Maintenance</v>
      </c>
      <c r="L586" s="7" t="s">
        <v>13</v>
      </c>
      <c r="M586" s="16">
        <v>40322</v>
      </c>
      <c r="N586" s="60">
        <f ca="1">VALUE(LEFT(C586))</f>
        <v>0</v>
      </c>
      <c r="O586" s="61">
        <f ca="1">INT(IF(N586&gt;0,1+MAX(N586*N586-(IF(D586="",TODAY()+(5-N586)*15,D586)-TODAY())/4,N586),IF(TODAY()-M586&gt;10,0,1)))</f>
        <v>0</v>
      </c>
      <c r="P586" s="1" t="str">
        <f ca="1">IF(ISNA(VLOOKUP(A586,Projects!B:B,1,FALSE)),"","Yes")</f>
        <v/>
      </c>
    </row>
    <row r="587" spans="1:16">
      <c r="A587" s="4" t="s">
        <v>1110</v>
      </c>
      <c r="B587" s="5" t="s">
        <v>29</v>
      </c>
      <c r="C587" s="4" t="s">
        <v>10</v>
      </c>
      <c r="F587" s="13" t="str">
        <f ca="1">VLOOKUP(LEFT(A587,IF(ISERROR(FIND(".",A587)),LEN(A587)+1,FIND(".",A587))-1),WorkList!A:C,3,FALSE)</f>
        <v>Macro Economic Data</v>
      </c>
      <c r="G587" s="14" t="str">
        <f ca="1">VLOOKUP(CONCATENATE(A587),WorkList!A:C,3,FALSE)</f>
        <v xml:space="preserve">Normalised ECB Amount Data </v>
      </c>
      <c r="H587" s="13" t="str">
        <f ca="1">VLOOKUP(CONCATENATE(A587),WorkList!A:D,4,FALSE)</f>
        <v>Pramendra</v>
      </c>
      <c r="I587" s="15">
        <f ca="1">VLOOKUP(CONCATENATE(A587),WorkList!A:E,5,FALSE)</f>
        <v>40303</v>
      </c>
      <c r="J587" s="49">
        <f ca="1">VLOOKUP(CONCATENATE(A587),WorkList!A:F,6,FALSE)</f>
        <v>2</v>
      </c>
      <c r="K587" s="49" t="str">
        <f ca="1">VLOOKUP(CONCATENATE(A587),WorkList!A:G,7,FALSE)</f>
        <v>Maintenance</v>
      </c>
      <c r="L587" s="7" t="s">
        <v>7</v>
      </c>
      <c r="M587" s="16">
        <v>40410</v>
      </c>
      <c r="N587" s="60">
        <f ca="1">VALUE(LEFT(C587))</f>
        <v>3</v>
      </c>
      <c r="O587" s="61">
        <f ca="1">INT(IF(N587&gt;0,1+MAX(N587*N587-(IF(D587="",TODAY()+(5-N587)*15,D587)-TODAY())/4,N587),IF(TODAY()-M587&gt;10,0,1)))</f>
        <v>4</v>
      </c>
      <c r="P587" s="1" t="str">
        <f ca="1">IF(ISNA(VLOOKUP(A587,Projects!B:B,1,FALSE)),"","Yes")</f>
        <v/>
      </c>
    </row>
    <row r="588" spans="1:16">
      <c r="A588" s="4" t="s">
        <v>1111</v>
      </c>
      <c r="B588" s="5" t="s">
        <v>29</v>
      </c>
      <c r="C588" s="4" t="s">
        <v>10</v>
      </c>
      <c r="F588" s="13" t="str">
        <f ca="1">VLOOKUP(LEFT(A588,IF(ISERROR(FIND(".",A588)),LEN(A588)+1,FIND(".",A588))-1),WorkList!A:C,3,FALSE)</f>
        <v>Macro Economic Data</v>
      </c>
      <c r="G588" s="14" t="str">
        <f ca="1">VLOOKUP(CONCATENATE(A588),WorkList!A:C,3,FALSE)</f>
        <v xml:space="preserve">Normalised BOE Amount Data </v>
      </c>
      <c r="H588" s="13" t="str">
        <f ca="1">VLOOKUP(CONCATENATE(A588),WorkList!A:D,4,FALSE)</f>
        <v>Pramendra</v>
      </c>
      <c r="I588" s="15">
        <f ca="1">VLOOKUP(CONCATENATE(A588),WorkList!A:E,5,FALSE)</f>
        <v>40303</v>
      </c>
      <c r="J588" s="49">
        <f ca="1">VLOOKUP(CONCATENATE(A588),WorkList!A:F,6,FALSE)</f>
        <v>2</v>
      </c>
      <c r="K588" s="49" t="str">
        <f ca="1">VLOOKUP(CONCATENATE(A588),WorkList!A:G,7,FALSE)</f>
        <v>Maintenance</v>
      </c>
      <c r="L588" s="7" t="s">
        <v>7</v>
      </c>
      <c r="M588" s="16">
        <v>40410</v>
      </c>
      <c r="N588" s="60">
        <f ca="1">VALUE(LEFT(C588))</f>
        <v>3</v>
      </c>
      <c r="O588" s="61">
        <f ca="1">INT(IF(N588&gt;0,1+MAX(N588*N588-(IF(D588="",TODAY()+(5-N588)*15,D588)-TODAY())/4,N588),IF(TODAY()-M588&gt;10,0,1)))</f>
        <v>4</v>
      </c>
      <c r="P588" s="1" t="str">
        <f ca="1">IF(ISNA(VLOOKUP(A588,Projects!B:B,1,FALSE)),"","Yes")</f>
        <v/>
      </c>
    </row>
    <row r="589" spans="1:16" ht="25.5">
      <c r="A589" s="4" t="s">
        <v>1338</v>
      </c>
      <c r="B589" s="5" t="s">
        <v>11</v>
      </c>
      <c r="C589" s="7" t="s">
        <v>48</v>
      </c>
      <c r="D589" s="7">
        <v>40364</v>
      </c>
      <c r="F589" s="13" t="str">
        <f ca="1">VLOOKUP(LEFT(A589,IF(ISERROR(FIND(".",A589)),LEN(A589)+1,FIND(".",A589))-1),WorkList!A:C,3,FALSE)</f>
        <v>Macro Economic Data</v>
      </c>
      <c r="G589" s="14" t="str">
        <f ca="1">VLOOKUP(CONCATENATE(A589),WorkList!A:C,3,FALSE)</f>
        <v>ES Repo Rates: Build and release simple app to download files</v>
      </c>
      <c r="H589" s="13" t="str">
        <f ca="1">VLOOKUP(CONCATENATE(A589),WorkList!A:D,4,FALSE)</f>
        <v>Friedel</v>
      </c>
      <c r="I589" s="15">
        <f ca="1">VLOOKUP(CONCATENATE(A589),WorkList!A:E,5,FALSE)</f>
        <v>40388</v>
      </c>
      <c r="J589" s="49">
        <f ca="1">VLOOKUP(CONCATENATE(A589),WorkList!A:F,6,FALSE)</f>
        <v>1</v>
      </c>
      <c r="K589" s="49" t="str">
        <f ca="1">VLOOKUP(CONCATENATE(A589),WorkList!A:G,7,FALSE)</f>
        <v>NewDevelopment</v>
      </c>
      <c r="L589" s="7" t="s">
        <v>13</v>
      </c>
      <c r="M589" s="16">
        <v>40364</v>
      </c>
      <c r="N589" s="60">
        <f ca="1">VALUE(LEFT(C589))</f>
        <v>0</v>
      </c>
      <c r="O589" s="61">
        <f ca="1">INT(IF(N589&gt;0,1+MAX(N589*N589-(IF(D589="",TODAY()+(5-N589)*15,D589)-TODAY())/4,N589),IF(TODAY()-M589&gt;10,0,1)))</f>
        <v>0</v>
      </c>
    </row>
    <row r="590" spans="1:16">
      <c r="A590" s="4" t="s">
        <v>1339</v>
      </c>
      <c r="B590" s="5" t="s">
        <v>21</v>
      </c>
      <c r="C590" s="7" t="s">
        <v>38</v>
      </c>
      <c r="F590" s="13" t="str">
        <f ca="1">VLOOKUP(LEFT(A590,IF(ISERROR(FIND(".",A590)),LEN(A590)+1,FIND(".",A590))-1),WorkList!A:C,3,FALSE)</f>
        <v>Macro Economic Data</v>
      </c>
      <c r="G590" s="14" t="str">
        <f ca="1">VLOOKUP(CONCATENATE(A590),WorkList!A:C,3,FALSE)</f>
        <v>ES Repo Rates: Define Requirements</v>
      </c>
      <c r="H590" s="13" t="str">
        <f ca="1">VLOOKUP(CONCATENATE(A590),WorkList!A:D,4,FALSE)</f>
        <v>Friedel</v>
      </c>
      <c r="I590" s="15">
        <f ca="1">VLOOKUP(CONCATENATE(A590),WorkList!A:E,5,FALSE)</f>
        <v>40364</v>
      </c>
      <c r="J590" s="49">
        <f ca="1">VLOOKUP(CONCATENATE(A590),WorkList!A:F,6,FALSE)</f>
        <v>1</v>
      </c>
      <c r="K590" s="49" t="str">
        <f ca="1">VLOOKUP(CONCATENATE(A590),WorkList!A:G,7,FALSE)</f>
        <v>NewDevelopment</v>
      </c>
      <c r="L590" s="7" t="s">
        <v>7</v>
      </c>
      <c r="M590" s="16">
        <v>40400</v>
      </c>
      <c r="N590" s="60">
        <f ca="1">VALUE(LEFT(C590))</f>
        <v>2</v>
      </c>
      <c r="O590" s="61">
        <f ca="1">INT(IF(N590&gt;0,1+MAX(N590*N590-(IF(D590="",TODAY()+(5-N590)*15,D590)-TODAY())/4,N590),IF(TODAY()-M590&gt;10,0,1)))</f>
        <v>3</v>
      </c>
      <c r="P590" s="1" t="str">
        <f ca="1">IF(ISNA(VLOOKUP(A590,Projects!B:B,1,FALSE)),"","Yes")</f>
        <v>Yes</v>
      </c>
    </row>
    <row r="591" spans="1:16">
      <c r="A591" s="4" t="s">
        <v>1340</v>
      </c>
      <c r="B591" s="5" t="s">
        <v>21</v>
      </c>
      <c r="C591" s="7" t="s">
        <v>38</v>
      </c>
      <c r="F591" s="13" t="str">
        <f ca="1">VLOOKUP(LEFT(A591,IF(ISERROR(FIND(".",A591)),LEN(A591)+1,FIND(".",A591))-1),WorkList!A:C,3,FALSE)</f>
        <v>Macro Economic Data</v>
      </c>
      <c r="G591" s="14" t="str">
        <f ca="1">VLOOKUP(CONCATENATE(A591),WorkList!A:C,3,FALSE)</f>
        <v>ES Repo Rates: Design and implement</v>
      </c>
      <c r="H591" s="13" t="str">
        <f ca="1">VLOOKUP(CONCATENATE(A591),WorkList!A:D,4,FALSE)</f>
        <v>Friedel</v>
      </c>
      <c r="I591" s="15">
        <f ca="1">VLOOKUP(CONCATENATE(A591),WorkList!A:E,5,FALSE)</f>
        <v>40364</v>
      </c>
      <c r="J591" s="49">
        <f ca="1">VLOOKUP(CONCATENATE(A591),WorkList!A:F,6,FALSE)</f>
        <v>4</v>
      </c>
      <c r="K591" s="49" t="str">
        <f ca="1">VLOOKUP(CONCATENATE(A591),WorkList!A:G,7,FALSE)</f>
        <v>NewDevelopment</v>
      </c>
      <c r="L591" s="7" t="s">
        <v>7</v>
      </c>
      <c r="M591" s="16">
        <v>40400</v>
      </c>
      <c r="N591" s="60">
        <f ca="1">VALUE(LEFT(C591))</f>
        <v>2</v>
      </c>
      <c r="O591" s="61">
        <f ca="1">INT(IF(N591&gt;0,1+MAX(N591*N591-(IF(D591="",TODAY()+(5-N591)*15,D591)-TODAY())/4,N591),IF(TODAY()-M591&gt;10,0,1)))</f>
        <v>3</v>
      </c>
      <c r="P591" s="1" t="str">
        <f ca="1">IF(ISNA(VLOOKUP(A591,Projects!B:B,1,FALSE)),"","Yes")</f>
        <v>Yes</v>
      </c>
    </row>
    <row r="592" spans="1:16">
      <c r="A592" s="4" t="s">
        <v>1343</v>
      </c>
      <c r="B592" s="5" t="s">
        <v>21</v>
      </c>
      <c r="C592" s="7" t="s">
        <v>10</v>
      </c>
      <c r="F592" s="13" t="str">
        <f ca="1">VLOOKUP(LEFT(A592,IF(ISERROR(FIND(".",A592)),LEN(A592)+1,FIND(".",A592))-1),WorkList!A:C,3,FALSE)</f>
        <v>Macro Economic Data</v>
      </c>
      <c r="G592" s="14" t="str">
        <f ca="1">VLOOKUP(CONCATENATE(A592),WorkList!A:C,3,FALSE)</f>
        <v>ES Repo Rates: Review</v>
      </c>
      <c r="H592" s="13" t="str">
        <f ca="1">VLOOKUP(CONCATENATE(A592),WorkList!A:D,4,FALSE)</f>
        <v>Friedel</v>
      </c>
      <c r="I592" s="15">
        <f ca="1">VLOOKUP(CONCATENATE(A592),WorkList!A:E,5,FALSE)</f>
        <v>40364</v>
      </c>
      <c r="J592" s="49">
        <f ca="1">VLOOKUP(CONCATENATE(A592),WorkList!A:F,6,FALSE)</f>
        <v>1</v>
      </c>
      <c r="K592" s="49" t="str">
        <f ca="1">VLOOKUP(CONCATENATE(A592),WorkList!A:G,7,FALSE)</f>
        <v>NewDevelopment</v>
      </c>
      <c r="L592" s="7" t="s">
        <v>7</v>
      </c>
      <c r="M592" s="16">
        <v>40364</v>
      </c>
      <c r="N592" s="60">
        <f ca="1">VALUE(LEFT(C592))</f>
        <v>3</v>
      </c>
      <c r="O592" s="61">
        <f ca="1">INT(IF(N592&gt;0,1+MAX(N592*N592-(IF(D592="",TODAY()+(5-N592)*15,D592)-TODAY())/4,N592),IF(TODAY()-M592&gt;10,0,1)))</f>
        <v>4</v>
      </c>
      <c r="P592" s="1" t="str">
        <f ca="1">IF(ISNA(VLOOKUP(A592,Projects!B:B,1,FALSE)),"","Yes")</f>
        <v>Yes</v>
      </c>
    </row>
    <row r="593" spans="1:16">
      <c r="A593" s="4" t="s">
        <v>1345</v>
      </c>
      <c r="B593" s="5" t="s">
        <v>21</v>
      </c>
      <c r="C593" s="7" t="s">
        <v>10</v>
      </c>
      <c r="F593" s="13" t="str">
        <f ca="1">VLOOKUP(LEFT(A593,IF(ISERROR(FIND(".",A593)),LEN(A593)+1,FIND(".",A593))-1),WorkList!A:C,3,FALSE)</f>
        <v>Macro Economic Data</v>
      </c>
      <c r="G593" s="14" t="str">
        <f ca="1">VLOOKUP(CONCATENATE(A593),WorkList!A:C,3,FALSE)</f>
        <v>ES Repo Rates: Release</v>
      </c>
      <c r="H593" s="13" t="str">
        <f ca="1">VLOOKUP(CONCATENATE(A593),WorkList!A:D,4,FALSE)</f>
        <v>Friedel</v>
      </c>
      <c r="I593" s="15">
        <f ca="1">VLOOKUP(CONCATENATE(A593),WorkList!A:E,5,FALSE)</f>
        <v>40364</v>
      </c>
      <c r="J593" s="49">
        <f ca="1">VLOOKUP(CONCATENATE(A593),WorkList!A:F,6,FALSE)</f>
        <v>1</v>
      </c>
      <c r="K593" s="49" t="str">
        <f ca="1">VLOOKUP(CONCATENATE(A593),WorkList!A:G,7,FALSE)</f>
        <v>NewDevelopment</v>
      </c>
      <c r="L593" s="7" t="s">
        <v>7</v>
      </c>
      <c r="M593" s="16">
        <v>40364</v>
      </c>
      <c r="N593" s="60">
        <f ca="1">VALUE(LEFT(C593))</f>
        <v>3</v>
      </c>
      <c r="O593" s="61">
        <f ca="1">INT(IF(N593&gt;0,1+MAX(N593*N593-(IF(D593="",TODAY()+(5-N593)*15,D593)-TODAY())/4,N593),IF(TODAY()-M593&gt;10,0,1)))</f>
        <v>4</v>
      </c>
      <c r="P593" s="1" t="str">
        <f ca="1">IF(ISNA(VLOOKUP(A593,Projects!B:B,1,FALSE)),"","Yes")</f>
        <v>Yes</v>
      </c>
    </row>
    <row r="594" spans="1:16">
      <c r="A594" s="4" t="s">
        <v>1419</v>
      </c>
      <c r="B594" s="5" t="s">
        <v>1159</v>
      </c>
      <c r="C594" s="7" t="s">
        <v>48</v>
      </c>
      <c r="F594" s="13" t="str">
        <f ca="1">VLOOKUP(LEFT(A594,IF(ISERROR(FIND(".",A594)),LEN(A594)+1,FIND(".",A594))-1),WorkList!A:C,3,FALSE)</f>
        <v>Macro Economic Data</v>
      </c>
      <c r="G594" s="14" t="str">
        <f ca="1">VLOOKUP(CONCATENATE(A594),WorkList!A:C,3,FALSE)</f>
        <v>QDB Rates: Requirements and Design</v>
      </c>
      <c r="H594" s="13" t="str">
        <f ca="1">VLOOKUP(CONCATENATE(A594),WorkList!A:D,4,FALSE)</f>
        <v>Neil</v>
      </c>
      <c r="I594" s="15">
        <f ca="1">VLOOKUP(CONCATENATE(A594),WorkList!A:E,5,FALSE)</f>
        <v>40483</v>
      </c>
      <c r="J594" s="49">
        <f ca="1">VLOOKUP(CONCATENATE(A594),WorkList!A:F,6,FALSE)</f>
        <v>4</v>
      </c>
      <c r="K594" s="49" t="str">
        <f ca="1">VLOOKUP(CONCATENATE(A594),WorkList!A:G,7,FALSE)</f>
        <v>NewDevelopment</v>
      </c>
      <c r="L594" s="7" t="s">
        <v>13</v>
      </c>
      <c r="M594" s="16">
        <v>40483</v>
      </c>
      <c r="N594" s="60">
        <f ca="1">VALUE(LEFT(C594))</f>
        <v>0</v>
      </c>
      <c r="O594" s="61">
        <f ca="1">INT(IF(N594&gt;0,1+MAX(N594*N594-(IF(D594="",TODAY()+(5-N594)*15,D594)-TODAY())/4,N594),IF(TODAY()-M594&gt;10,0,1)))</f>
        <v>0</v>
      </c>
      <c r="P594" s="1" t="str">
        <f ca="1">IF(ISNA(VLOOKUP(A594,Projects!B:B,1,FALSE)),"","Yes")</f>
        <v>Yes</v>
      </c>
    </row>
    <row r="595" spans="1:16">
      <c r="A595" s="4" t="s">
        <v>1643</v>
      </c>
      <c r="B595" s="5" t="s">
        <v>1159</v>
      </c>
      <c r="C595" s="7" t="s">
        <v>48</v>
      </c>
      <c r="F595" s="13" t="str">
        <f ca="1">VLOOKUP(LEFT(A595,IF(ISERROR(FIND(".",A595)),LEN(A595)+1,FIND(".",A595))-1),WorkList!A:C,3,FALSE)</f>
        <v>Macro Economic Data</v>
      </c>
      <c r="G595" s="14" t="str">
        <f ca="1">VLOOKUP(CONCATENATE(A595),WorkList!A:C,3,FALSE)</f>
        <v>QDB Rates: Implement</v>
      </c>
      <c r="H595" s="13" t="str">
        <f ca="1">VLOOKUP(CONCATENATE(A595),WorkList!A:D,4,FALSE)</f>
        <v>Neil</v>
      </c>
      <c r="I595" s="15">
        <f ca="1">VLOOKUP(CONCATENATE(A595),WorkList!A:E,5,FALSE)</f>
        <v>40483</v>
      </c>
      <c r="J595" s="49">
        <f ca="1">VLOOKUP(CONCATENATE(A595),WorkList!A:F,6,FALSE)</f>
        <v>5</v>
      </c>
      <c r="K595" s="49" t="str">
        <f ca="1">VLOOKUP(CONCATENATE(A595),WorkList!A:G,7,FALSE)</f>
        <v>NewDevelopment</v>
      </c>
      <c r="L595" s="7" t="s">
        <v>13</v>
      </c>
      <c r="M595" s="16">
        <v>40483</v>
      </c>
      <c r="N595" s="60">
        <f ca="1">VALUE(LEFT(C595))</f>
        <v>0</v>
      </c>
      <c r="O595" s="61">
        <f ca="1">INT(IF(N595&gt;0,1+MAX(N595*N595-(IF(D595="",TODAY()+(5-N595)*15,D595)-TODAY())/4,N595),IF(TODAY()-M595&gt;10,0,1)))</f>
        <v>0</v>
      </c>
      <c r="P595" s="1" t="str">
        <f ca="1">IF(ISNA(VLOOKUP(A595,Projects!B:B,1,FALSE)),"","Yes")</f>
        <v>Yes</v>
      </c>
    </row>
    <row r="596" spans="1:16">
      <c r="A596" s="4" t="s">
        <v>1644</v>
      </c>
      <c r="B596" s="5" t="s">
        <v>1159</v>
      </c>
      <c r="C596" s="7" t="s">
        <v>48</v>
      </c>
      <c r="F596" s="13" t="str">
        <f ca="1">VLOOKUP(LEFT(A596,IF(ISERROR(FIND(".",A596)),LEN(A596)+1,FIND(".",A596))-1),WorkList!A:C,3,FALSE)</f>
        <v>Macro Economic Data</v>
      </c>
      <c r="G596" s="14" t="str">
        <f ca="1">VLOOKUP(CONCATENATE(A596),WorkList!A:C,3,FALSE)</f>
        <v>QDB Rates: Review</v>
      </c>
      <c r="H596" s="13" t="str">
        <f ca="1">VLOOKUP(CONCATENATE(A596),WorkList!A:D,4,FALSE)</f>
        <v>Neil</v>
      </c>
      <c r="I596" s="15">
        <f ca="1">VLOOKUP(CONCATENATE(A596),WorkList!A:E,5,FALSE)</f>
        <v>40483</v>
      </c>
      <c r="J596" s="49">
        <f ca="1">VLOOKUP(CONCATENATE(A596),WorkList!A:F,6,FALSE)</f>
        <v>1</v>
      </c>
      <c r="K596" s="49" t="str">
        <f ca="1">VLOOKUP(CONCATENATE(A596),WorkList!A:G,7,FALSE)</f>
        <v>NewDevelopment</v>
      </c>
      <c r="L596" s="7" t="s">
        <v>13</v>
      </c>
      <c r="M596" s="16">
        <v>40483</v>
      </c>
      <c r="N596" s="60">
        <f ca="1">VALUE(LEFT(C596))</f>
        <v>0</v>
      </c>
      <c r="O596" s="61">
        <f ca="1">INT(IF(N596&gt;0,1+MAX(N596*N596-(IF(D596="",TODAY()+(5-N596)*15,D596)-TODAY())/4,N596),IF(TODAY()-M596&gt;10,0,1)))</f>
        <v>0</v>
      </c>
      <c r="P596" s="1" t="str">
        <f ca="1">IF(ISNA(VLOOKUP(A596,Projects!B:B,1,FALSE)),"","Yes")</f>
        <v>Yes</v>
      </c>
    </row>
    <row r="597" spans="1:16">
      <c r="A597" s="4" t="s">
        <v>1650</v>
      </c>
      <c r="B597" s="5" t="s">
        <v>1159</v>
      </c>
      <c r="C597" s="6" t="s">
        <v>48</v>
      </c>
      <c r="F597" s="13" t="str">
        <f ca="1">VLOOKUP(LEFT(A597,IF(ISERROR(FIND(".",A597)),LEN(A597)+1,FIND(".",A597))-1),WorkList!A:C,3,FALSE)</f>
        <v>Macro Economic Data</v>
      </c>
      <c r="G597" s="14" t="str">
        <f ca="1">VLOOKUP(CONCATENATE(A597),WorkList!A:C,3,FALSE)</f>
        <v>QDB Rates: UAT</v>
      </c>
      <c r="H597" s="13" t="str">
        <f ca="1">VLOOKUP(CONCATENATE(A597),WorkList!A:D,4,FALSE)</f>
        <v>Neil</v>
      </c>
      <c r="I597" s="15">
        <f ca="1">VLOOKUP(CONCATENATE(A597),WorkList!A:E,5,FALSE)</f>
        <v>40483</v>
      </c>
      <c r="J597" s="49">
        <f ca="1">VLOOKUP(CONCATENATE(A597),WorkList!A:F,6,FALSE)</f>
        <v>2</v>
      </c>
      <c r="K597" s="49" t="str">
        <f ca="1">VLOOKUP(CONCATENATE(A597),WorkList!A:G,7,FALSE)</f>
        <v>NewDevelopment</v>
      </c>
      <c r="L597" s="7" t="s">
        <v>13</v>
      </c>
      <c r="M597" s="16">
        <v>40553</v>
      </c>
      <c r="N597" s="60">
        <f ca="1">VALUE(LEFT(C597))</f>
        <v>0</v>
      </c>
      <c r="O597" s="61">
        <f ca="1">INT(IF(N597&gt;0,1+MAX(N597*N597-(IF(D597="",TODAY()+(5-N597)*15,D597)-TODAY())/4,N597),IF(TODAY()-M597&gt;10,0,1)))</f>
        <v>0</v>
      </c>
      <c r="P597" s="1" t="str">
        <f ca="1">IF(ISNA(VLOOKUP(A597,Projects!B:B,1,FALSE)),"","Yes")</f>
        <v>Yes</v>
      </c>
    </row>
    <row r="598" spans="1:16">
      <c r="A598" s="4" t="s">
        <v>1645</v>
      </c>
      <c r="B598" s="5" t="s">
        <v>1159</v>
      </c>
      <c r="C598" s="6" t="s">
        <v>48</v>
      </c>
      <c r="F598" s="13" t="str">
        <f ca="1">VLOOKUP(LEFT(A598,IF(ISERROR(FIND(".",A598)),LEN(A598)+1,FIND(".",A598))-1),WorkList!A:C,3,FALSE)</f>
        <v>Macro Economic Data</v>
      </c>
      <c r="G598" s="14" t="str">
        <f ca="1">VLOOKUP(CONCATENATE(A598),WorkList!A:C,3,FALSE)</f>
        <v>QDB Rates: Release</v>
      </c>
      <c r="H598" s="13" t="str">
        <f ca="1">VLOOKUP(CONCATENATE(A598),WorkList!A:D,4,FALSE)</f>
        <v>Neil</v>
      </c>
      <c r="I598" s="15">
        <f ca="1">VLOOKUP(CONCATENATE(A598),WorkList!A:E,5,FALSE)</f>
        <v>40483</v>
      </c>
      <c r="J598" s="49">
        <f ca="1">VLOOKUP(CONCATENATE(A598),WorkList!A:F,6,FALSE)</f>
        <v>1</v>
      </c>
      <c r="K598" s="49" t="str">
        <f ca="1">VLOOKUP(CONCATENATE(A598),WorkList!A:G,7,FALSE)</f>
        <v>NewDevelopment</v>
      </c>
      <c r="L598" s="7" t="s">
        <v>13</v>
      </c>
      <c r="M598" s="16">
        <v>40553</v>
      </c>
      <c r="N598" s="60">
        <f ca="1">VALUE(LEFT(C598))</f>
        <v>0</v>
      </c>
      <c r="O598" s="61">
        <f ca="1">INT(IF(N598&gt;0,1+MAX(N598*N598-(IF(D598="",TODAY()+(5-N598)*15,D598)-TODAY())/4,N598),IF(TODAY()-M598&gt;10,0,1)))</f>
        <v>0</v>
      </c>
      <c r="P598" s="1" t="str">
        <f ca="1">IF(ISNA(VLOOKUP(A598,Projects!B:B,1,FALSE)),"","Yes")</f>
        <v>Yes</v>
      </c>
    </row>
    <row r="599" spans="1:16">
      <c r="A599" s="4" t="s">
        <v>408</v>
      </c>
      <c r="B599" s="5" t="s">
        <v>32</v>
      </c>
      <c r="C599" s="6" t="s">
        <v>48</v>
      </c>
      <c r="D599" s="11"/>
      <c r="F599" s="13" t="str">
        <f ca="1">VLOOKUP(LEFT(A599,IF(ISERROR(FIND(".",A599)),LEN(A599)+1,FIND(".",A599))-1),WorkList!A:C,3,FALSE)</f>
        <v>Macro Economic Data</v>
      </c>
      <c r="G599" s="14" t="str">
        <f ca="1">VLOOKUP(CONCATENATE(A599),WorkList!A:C,3,FALSE)</f>
        <v>Develop app to download data to DB</v>
      </c>
      <c r="H599" s="13" t="str">
        <f ca="1">VLOOKUP(CONCATENATE(A599),WorkList!A:D,4,FALSE)</f>
        <v>David</v>
      </c>
      <c r="I599" s="15">
        <f ca="1">VLOOKUP(CONCATENATE(A599),WorkList!A:E,5,FALSE)</f>
        <v>40045</v>
      </c>
      <c r="J599" s="49">
        <f ca="1">VLOOKUP(CONCATENATE(A599),WorkList!A:F,6,FALSE)</f>
        <v>0</v>
      </c>
      <c r="K599" s="49">
        <f ca="1">VLOOKUP(CONCATENATE(A599),WorkList!A:G,7,FALSE)</f>
        <v>0</v>
      </c>
      <c r="L599" s="7" t="s">
        <v>13</v>
      </c>
      <c r="M599" s="16">
        <v>40052</v>
      </c>
      <c r="N599" s="60">
        <f ca="1">VALUE(LEFT(C599))</f>
        <v>0</v>
      </c>
      <c r="O599" s="61">
        <f ca="1">INT(IF(N599&gt;0,1+MAX(N599*N599-(IF(D599="",TODAY()+(5-N599)*15,D599)-TODAY())/4,N599),IF(TODAY()-M599&gt;10,0,1)))</f>
        <v>0</v>
      </c>
      <c r="P599" s="1" t="str">
        <f ca="1">IF(ISNA(VLOOKUP(A599,Projects!B:B,1,FALSE)),"","Yes")</f>
        <v/>
      </c>
    </row>
    <row r="600" spans="1:16">
      <c r="A600" s="4" t="s">
        <v>431</v>
      </c>
      <c r="B600" s="5" t="s">
        <v>21</v>
      </c>
      <c r="C600" s="7" t="s">
        <v>38</v>
      </c>
      <c r="D600" s="11"/>
      <c r="F600" s="13" t="str">
        <f ca="1">VLOOKUP(LEFT(A600,IF(ISERROR(FIND(".",A600)),LEN(A600)+1,FIND(".",A600))-1),WorkList!A:C,3,FALSE)</f>
        <v>Macro Economic Data</v>
      </c>
      <c r="G600" s="14" t="str">
        <f ca="1">VLOOKUP(CONCATENATE(A600),WorkList!A:C,3,FALSE)</f>
        <v>Add Nationwide House Price Data</v>
      </c>
      <c r="H600" s="13" t="str">
        <f ca="1">VLOOKUP(CONCATENATE(A600),WorkList!A:D,4,FALSE)</f>
        <v>David</v>
      </c>
      <c r="I600" s="15">
        <f ca="1">VLOOKUP(CONCATENATE(A600),WorkList!A:E,5,FALSE)</f>
        <v>40052</v>
      </c>
      <c r="J600" s="49">
        <f ca="1">VLOOKUP(CONCATENATE(A600),WorkList!A:F,6,FALSE)</f>
        <v>4</v>
      </c>
      <c r="K600" s="49" t="str">
        <f ca="1">VLOOKUP(CONCATENATE(A600),WorkList!A:G,7,FALSE)</f>
        <v>NewDevelopment</v>
      </c>
      <c r="L600" s="7" t="s">
        <v>7</v>
      </c>
      <c r="M600" s="16">
        <v>40254</v>
      </c>
      <c r="N600" s="60">
        <f ca="1">VALUE(LEFT(C600))</f>
        <v>2</v>
      </c>
      <c r="O600" s="61">
        <f ca="1">INT(IF(N600&gt;0,1+MAX(N600*N600-(IF(D600="",TODAY()+(5-N600)*15,D600)-TODAY())/4,N600),IF(TODAY()-M600&gt;10,0,1)))</f>
        <v>3</v>
      </c>
      <c r="P600" s="1" t="str">
        <f ca="1">IF(ISNA(VLOOKUP(A600,Projects!B:B,1,FALSE)),"","Yes")</f>
        <v/>
      </c>
    </row>
    <row r="601" spans="1:16">
      <c r="A601" s="4" t="s">
        <v>442</v>
      </c>
      <c r="B601" s="5" t="s">
        <v>1607</v>
      </c>
      <c r="C601" s="7" t="s">
        <v>10</v>
      </c>
      <c r="D601" s="11"/>
      <c r="F601" s="13" t="str">
        <f ca="1">VLOOKUP(LEFT(A601,IF(ISERROR(FIND(".",A601)),LEN(A601)+1,FIND(".",A601))-1),WorkList!A:C,3,FALSE)</f>
        <v>Macro Economic Data</v>
      </c>
      <c r="G601" s="14" t="str">
        <f ca="1">VLOOKUP(CONCATENATE(A601),WorkList!A:C,3,FALSE)</f>
        <v>Move Halifax HPA data to Surveillance DB</v>
      </c>
      <c r="H601" s="13" t="str">
        <f ca="1">VLOOKUP(CONCATENATE(A601),WorkList!A:D,4,FALSE)</f>
        <v>Neil</v>
      </c>
      <c r="I601" s="15">
        <f ca="1">VLOOKUP(CONCATENATE(A601),WorkList!A:E,5,FALSE)</f>
        <v>40057</v>
      </c>
      <c r="J601" s="49">
        <f ca="1">VLOOKUP(CONCATENATE(A601),WorkList!A:F,6,FALSE)</f>
        <v>2</v>
      </c>
      <c r="K601" s="49" t="str">
        <f ca="1">VLOOKUP(CONCATENATE(A601),WorkList!A:G,7,FALSE)</f>
        <v>Enhancement</v>
      </c>
      <c r="L601" s="7" t="s">
        <v>7</v>
      </c>
      <c r="M601" s="16">
        <v>40325</v>
      </c>
      <c r="N601" s="60">
        <f ca="1">VALUE(LEFT(C601))</f>
        <v>3</v>
      </c>
      <c r="O601" s="61">
        <f ca="1">INT(IF(N601&gt;0,1+MAX(N601*N601-(IF(D601="",TODAY()+(5-N601)*15,D601)-TODAY())/4,N601),IF(TODAY()-M601&gt;10,0,1)))</f>
        <v>4</v>
      </c>
      <c r="P601" s="1" t="str">
        <f ca="1">IF(ISNA(VLOOKUP(A601,Projects!B:B,1,FALSE)),"","Yes")</f>
        <v/>
      </c>
    </row>
    <row r="602" spans="1:16">
      <c r="A602" s="4" t="s">
        <v>874</v>
      </c>
      <c r="B602" s="5" t="s">
        <v>32</v>
      </c>
      <c r="C602" s="7" t="s">
        <v>48</v>
      </c>
      <c r="D602" s="11"/>
      <c r="F602" s="13" t="str">
        <f ca="1">VLOOKUP(LEFT(A602,IF(ISERROR(FIND(".",A602)),LEN(A602)+1,FIND(".",A602))-1),WorkList!A:C,3,FALSE)</f>
        <v>Macro Economic Data</v>
      </c>
      <c r="G602" s="14" t="str">
        <f ca="1">VLOOKUP(CONCATENATE(A602),WorkList!A:C,3,FALSE)</f>
        <v>Add ECB Data</v>
      </c>
      <c r="H602" s="13" t="str">
        <f ca="1">VLOOKUP(CONCATENATE(A602),WorkList!A:D,4,FALSE)</f>
        <v>David</v>
      </c>
      <c r="I602" s="15">
        <f ca="1">VLOOKUP(CONCATENATE(A602),WorkList!A:E,5,FALSE)</f>
        <v>40086</v>
      </c>
      <c r="J602" s="49">
        <f ca="1">VLOOKUP(CONCATENATE(A602),WorkList!A:F,6,FALSE)</f>
        <v>0</v>
      </c>
      <c r="K602" s="49">
        <f ca="1">VLOOKUP(CONCATENATE(A602),WorkList!A:G,7,FALSE)</f>
        <v>0</v>
      </c>
      <c r="L602" s="7" t="s">
        <v>13</v>
      </c>
      <c r="M602" s="16">
        <v>40099</v>
      </c>
      <c r="N602" s="60">
        <f ca="1">VALUE(LEFT(C602))</f>
        <v>0</v>
      </c>
      <c r="O602" s="61">
        <f ca="1">INT(IF(N602&gt;0,1+MAX(N602*N602-(IF(D602="",TODAY()+(5-N602)*15,D602)-TODAY())/4,N602),IF(TODAY()-M602&gt;10,0,1)))</f>
        <v>0</v>
      </c>
      <c r="P602" s="1" t="str">
        <f ca="1">IF(ISNA(VLOOKUP(A602,Projects!B:B,1,FALSE)),"","Yes")</f>
        <v/>
      </c>
    </row>
    <row r="603" spans="1:16">
      <c r="A603" s="4" t="s">
        <v>1687</v>
      </c>
      <c r="B603" s="5" t="s">
        <v>21</v>
      </c>
      <c r="C603" s="7" t="s">
        <v>10</v>
      </c>
      <c r="D603" s="11"/>
      <c r="F603" s="13" t="str">
        <f ca="1">VLOOKUP(LEFT(A603,IF(ISERROR(FIND(".",A603)),LEN(A603)+1,FIND(".",A603))-1),WorkList!A:C,3,FALSE)</f>
        <v>Macro Economic Data</v>
      </c>
      <c r="G603" s="14" t="str">
        <f ca="1">VLOOKUP(CONCATENATE(A603),WorkList!A:C,3,FALSE)</f>
        <v>Automate email to Research</v>
      </c>
      <c r="H603" s="13" t="str">
        <f ca="1">VLOOKUP(CONCATENATE(A603),WorkList!A:D,4,FALSE)</f>
        <v>Neil</v>
      </c>
      <c r="I603" s="15">
        <f ca="1">VLOOKUP(CONCATENATE(A603),WorkList!A:E,5,FALSE)</f>
        <v>40210</v>
      </c>
      <c r="J603" s="49">
        <f ca="1">VLOOKUP(CONCATENATE(A603),WorkList!A:F,6,FALSE)</f>
        <v>3</v>
      </c>
      <c r="K603" s="49" t="str">
        <f ca="1">VLOOKUP(CONCATENATE(A603),WorkList!A:G,7,FALSE)</f>
        <v>Enhancement</v>
      </c>
      <c r="L603" s="7" t="s">
        <v>7</v>
      </c>
      <c r="M603" s="16">
        <v>40283</v>
      </c>
      <c r="N603" s="60">
        <f ca="1">VALUE(LEFT(C603))</f>
        <v>3</v>
      </c>
      <c r="O603" s="61">
        <f ca="1">INT(IF(N603&gt;0,1+MAX(N603*N603-(IF(D603="",TODAY()+(5-N603)*15,D603)-TODAY())/4,N603),IF(TODAY()-M603&gt;10,0,1)))</f>
        <v>4</v>
      </c>
      <c r="P603" s="1" t="str">
        <f ca="1">IF(ISNA(VLOOKUP(A603,Projects!B:B,1,FALSE)),"","Yes")</f>
        <v/>
      </c>
    </row>
    <row r="604" spans="1:16">
      <c r="A604" s="4" t="s">
        <v>1964</v>
      </c>
      <c r="B604" s="5" t="s">
        <v>29</v>
      </c>
      <c r="C604" s="7" t="s">
        <v>48</v>
      </c>
      <c r="D604" s="7">
        <v>40512</v>
      </c>
      <c r="F604" s="13" t="str">
        <f ca="1">VLOOKUP(LEFT(A604,IF(ISERROR(FIND(".",A604)),LEN(A604)+1,FIND(".",A604))-1),WorkList!A:C,3,FALSE)</f>
        <v>Macro Economic Data</v>
      </c>
      <c r="G604" s="14" t="str">
        <f ca="1">VLOOKUP(CONCATENATE(A604),WorkList!A:C,3,FALSE)</f>
        <v>Add ECB lending data</v>
      </c>
      <c r="H604" s="13" t="str">
        <f ca="1">VLOOKUP(CONCATENATE(A604),WorkList!A:D,4,FALSE)</f>
        <v>David</v>
      </c>
      <c r="I604" s="15">
        <f ca="1">VLOOKUP(CONCATENATE(A604),WorkList!A:E,5,FALSE)</f>
        <v>40490</v>
      </c>
      <c r="J604" s="49">
        <f ca="1">VLOOKUP(CONCATENATE(A604),WorkList!A:F,6,FALSE)</f>
        <v>2</v>
      </c>
      <c r="K604" s="49" t="str">
        <f ca="1">VLOOKUP(CONCATENATE(A604),WorkList!A:G,7,FALSE)</f>
        <v>Enhancement</v>
      </c>
      <c r="L604" s="7" t="s">
        <v>13</v>
      </c>
      <c r="M604" s="16">
        <v>40498</v>
      </c>
      <c r="N604" s="60">
        <f ca="1">VALUE(LEFT(C604))</f>
        <v>0</v>
      </c>
      <c r="O604" s="61">
        <f ca="1">INT(IF(N604&gt;0,1+MAX(N604*N604-(IF(D604="",TODAY()+(5-N604)*15,D604)-TODAY())/4,N604),IF(TODAY()-M604&gt;10,0,1)))</f>
        <v>0</v>
      </c>
      <c r="P604" s="1" t="str">
        <f ca="1">IF(ISNA(VLOOKUP(A604,Projects!B:B,1,FALSE)),"","Yes")</f>
        <v/>
      </c>
    </row>
    <row r="605" spans="1:16">
      <c r="A605" s="4" t="s">
        <v>495</v>
      </c>
      <c r="B605" s="5" t="s">
        <v>11</v>
      </c>
      <c r="C605" s="6" t="s">
        <v>48</v>
      </c>
      <c r="D605" s="11"/>
      <c r="F605" s="13" t="str">
        <f ca="1">VLOOKUP(LEFT(A605,IF(ISERROR(FIND(".",A605)),LEN(A605)+1,FIND(".",A605))-1),WorkList!A:C,3,FALSE)</f>
        <v>Macro Economic Data</v>
      </c>
      <c r="G605" s="14" t="str">
        <f ca="1">VLOOKUP(CONCATENATE(A605),WorkList!A:C,3,FALSE)</f>
        <v>Build app to retrieve BBG static data</v>
      </c>
      <c r="H605" s="13" t="str">
        <f ca="1">VLOOKUP(CONCATENATE(A605),WorkList!A:D,4,FALSE)</f>
        <v>Neil</v>
      </c>
      <c r="I605" s="15">
        <f ca="1">VLOOKUP(CONCATENATE(A605),WorkList!A:E,5,FALSE)</f>
        <v>40086</v>
      </c>
      <c r="J605" s="49">
        <f ca="1">VLOOKUP(CONCATENATE(A605),WorkList!A:F,6,FALSE)</f>
        <v>4</v>
      </c>
      <c r="K605" s="49">
        <f ca="1">VLOOKUP(CONCATENATE(A605),WorkList!A:G,7,FALSE)</f>
        <v>0</v>
      </c>
      <c r="L605" s="7" t="s">
        <v>13</v>
      </c>
      <c r="M605" s="16">
        <v>40184</v>
      </c>
      <c r="N605" s="60">
        <f ca="1">VALUE(LEFT(C605))</f>
        <v>0</v>
      </c>
      <c r="O605" s="61">
        <f ca="1">INT(IF(N605&gt;0,1+MAX(N605*N605-(IF(D605="",TODAY()+(5-N605)*15,D605)-TODAY())/4,N605),IF(TODAY()-M605&gt;10,0,1)))</f>
        <v>0</v>
      </c>
      <c r="P605" s="1" t="str">
        <f ca="1">IF(ISNA(VLOOKUP(A605,Projects!B:B,1,FALSE)),"","Yes")</f>
        <v/>
      </c>
    </row>
    <row r="606" spans="1:16">
      <c r="A606" s="4" t="s">
        <v>496</v>
      </c>
      <c r="B606" s="5" t="s">
        <v>11</v>
      </c>
      <c r="C606" s="6" t="s">
        <v>48</v>
      </c>
      <c r="D606" s="11"/>
      <c r="F606" s="13" t="str">
        <f ca="1">VLOOKUP(LEFT(A606,IF(ISERROR(FIND(".",A606)),LEN(A606)+1,FIND(".",A606))-1),WorkList!A:C,3,FALSE)</f>
        <v>Macro Economic Data</v>
      </c>
      <c r="G606" s="14" t="str">
        <f ca="1">VLOOKUP(CONCATENATE(A606),WorkList!A:C,3,FALSE)</f>
        <v>Retrieve 2,3,4,5 yrs GBP Swap rates</v>
      </c>
      <c r="H606" s="13" t="str">
        <f ca="1">VLOOKUP(CONCATENATE(A606),WorkList!A:D,4,FALSE)</f>
        <v>Friedel</v>
      </c>
      <c r="I606" s="15">
        <f ca="1">VLOOKUP(CONCATENATE(A606),WorkList!A:E,5,FALSE)</f>
        <v>40109</v>
      </c>
      <c r="J606" s="49">
        <f ca="1">VLOOKUP(CONCATENATE(A606),WorkList!A:F,6,FALSE)</f>
        <v>2</v>
      </c>
      <c r="K606" s="49">
        <f ca="1">VLOOKUP(CONCATENATE(A606),WorkList!A:G,7,FALSE)</f>
        <v>0</v>
      </c>
      <c r="L606" s="7" t="s">
        <v>13</v>
      </c>
      <c r="M606" s="16">
        <v>40157</v>
      </c>
      <c r="N606" s="60">
        <f ca="1">VALUE(LEFT(C606))</f>
        <v>0</v>
      </c>
      <c r="O606" s="61">
        <f ca="1">INT(IF(N606&gt;0,1+MAX(N606*N606-(IF(D606="",TODAY()+(5-N606)*15,D606)-TODAY())/4,N606),IF(TODAY()-M606&gt;10,0,1)))</f>
        <v>0</v>
      </c>
      <c r="P606" s="1" t="str">
        <f ca="1">IF(ISNA(VLOOKUP(A606,Projects!B:B,1,FALSE)),"","Yes")</f>
        <v/>
      </c>
    </row>
    <row r="607" spans="1:16">
      <c r="A607" s="4" t="s">
        <v>497</v>
      </c>
      <c r="B607" s="5" t="s">
        <v>11</v>
      </c>
      <c r="C607" s="6" t="s">
        <v>48</v>
      </c>
      <c r="D607" s="11"/>
      <c r="F607" s="13" t="str">
        <f ca="1">VLOOKUP(LEFT(A607,IF(ISERROR(FIND(".",A607)),LEN(A607)+1,FIND(".",A607))-1),WorkList!A:C,3,FALSE)</f>
        <v>Macro Economic Data</v>
      </c>
      <c r="G607" s="14" t="str">
        <f ca="1">VLOOKUP(CONCATENATE(A607),WorkList!A:C,3,FALSE)</f>
        <v>Retrieve  BoE base rate</v>
      </c>
      <c r="H607" s="13" t="str">
        <f ca="1">VLOOKUP(CONCATENATE(A607),WorkList!A:D,4,FALSE)</f>
        <v>Friedel</v>
      </c>
      <c r="I607" s="15">
        <f ca="1">VLOOKUP(CONCATENATE(A607),WorkList!A:E,5,FALSE)</f>
        <v>40086</v>
      </c>
      <c r="J607" s="49">
        <f ca="1">VLOOKUP(CONCATENATE(A607),WorkList!A:F,6,FALSE)</f>
        <v>2</v>
      </c>
      <c r="K607" s="49">
        <f ca="1">VLOOKUP(CONCATENATE(A607),WorkList!A:G,7,FALSE)</f>
        <v>0</v>
      </c>
      <c r="L607" s="7" t="s">
        <v>13</v>
      </c>
      <c r="M607" s="16">
        <v>40157</v>
      </c>
      <c r="N607" s="60">
        <f ca="1">VALUE(LEFT(C607))</f>
        <v>0</v>
      </c>
      <c r="O607" s="61">
        <f ca="1">INT(IF(N607&gt;0,1+MAX(N607*N607-(IF(D607="",TODAY()+(5-N607)*15,D607)-TODAY())/4,N607),IF(TODAY()-M607&gt;10,0,1)))</f>
        <v>0</v>
      </c>
      <c r="P607" s="1" t="str">
        <f ca="1">IF(ISNA(VLOOKUP(A607,Projects!B:B,1,FALSE)),"","Yes")</f>
        <v/>
      </c>
    </row>
    <row r="608" spans="1:16">
      <c r="A608" s="4" t="s">
        <v>498</v>
      </c>
      <c r="B608" s="5" t="s">
        <v>21</v>
      </c>
      <c r="C608" s="7" t="s">
        <v>197</v>
      </c>
      <c r="D608" s="11"/>
      <c r="F608" s="13" t="str">
        <f ca="1">VLOOKUP(LEFT(A608,IF(ISERROR(FIND(".",A608)),LEN(A608)+1,FIND(".",A608))-1),WorkList!A:C,3,FALSE)</f>
        <v>Macro Economic Data</v>
      </c>
      <c r="G608" s="14" t="str">
        <f ca="1">VLOOKUP(CONCATENATE(A608),WorkList!A:C,3,FALSE)</f>
        <v>Retrieve Unemployment Rate</v>
      </c>
      <c r="H608" s="13" t="str">
        <f ca="1">VLOOKUP(CONCATENATE(A608),WorkList!A:D,4,FALSE)</f>
        <v>Friedel</v>
      </c>
      <c r="I608" s="15">
        <f ca="1">VLOOKUP(CONCATENATE(A608),WorkList!A:E,5,FALSE)</f>
        <v>40086</v>
      </c>
      <c r="J608" s="49">
        <f ca="1">VLOOKUP(CONCATENATE(A608),WorkList!A:F,6,FALSE)</f>
        <v>4</v>
      </c>
      <c r="K608" s="49" t="str">
        <f ca="1">VLOOKUP(CONCATENATE(A608),WorkList!A:G,7,FALSE)</f>
        <v>NewDevelopment</v>
      </c>
      <c r="L608" s="7" t="s">
        <v>7</v>
      </c>
      <c r="M608" s="16">
        <v>40218</v>
      </c>
      <c r="N608" s="60">
        <f ca="1">VALUE(LEFT(C608))</f>
        <v>1</v>
      </c>
      <c r="O608" s="61">
        <f ca="1">INT(IF(N608&gt;0,1+MAX(N608*N608-(IF(D608="",TODAY()+(5-N608)*15,D608)-TODAY())/4,N608),IF(TODAY()-M608&gt;10,0,1)))</f>
        <v>2</v>
      </c>
      <c r="P608" s="1" t="str">
        <f ca="1">IF(ISNA(VLOOKUP(A608,Projects!B:B,1,FALSE)),"","Yes")</f>
        <v/>
      </c>
    </row>
    <row r="609" spans="1:16">
      <c r="A609" s="4" t="s">
        <v>499</v>
      </c>
      <c r="B609" s="5" t="s">
        <v>11</v>
      </c>
      <c r="C609" s="6" t="s">
        <v>48</v>
      </c>
      <c r="D609" s="11"/>
      <c r="F609" s="13" t="str">
        <f ca="1">VLOOKUP(LEFT(A609,IF(ISERROR(FIND(".",A609)),LEN(A609)+1,FIND(".",A609))-1),WorkList!A:C,3,FALSE)</f>
        <v>Macro Economic Data</v>
      </c>
      <c r="G609" s="14" t="str">
        <f ca="1">VLOOKUP(CONCATENATE(A609),WorkList!A:C,3,FALSE)</f>
        <v>Retrieve Historical FX rates</v>
      </c>
      <c r="H609" s="13" t="str">
        <f ca="1">VLOOKUP(CONCATENATE(A609),WorkList!A:D,4,FALSE)</f>
        <v>Neil</v>
      </c>
      <c r="I609" s="15">
        <f ca="1">VLOOKUP(CONCATENATE(A609),WorkList!A:E,5,FALSE)</f>
        <v>40086</v>
      </c>
      <c r="J609" s="49">
        <f ca="1">VLOOKUP(CONCATENATE(A609),WorkList!A:F,6,FALSE)</f>
        <v>2</v>
      </c>
      <c r="K609" s="49">
        <f ca="1">VLOOKUP(CONCATENATE(A609),WorkList!A:G,7,FALSE)</f>
        <v>0</v>
      </c>
      <c r="L609" s="7" t="s">
        <v>13</v>
      </c>
      <c r="M609" s="16">
        <v>40157</v>
      </c>
      <c r="N609" s="60">
        <f ca="1">VALUE(LEFT(C609))</f>
        <v>0</v>
      </c>
      <c r="O609" s="61">
        <f ca="1">INT(IF(N609&gt;0,1+MAX(N609*N609-(IF(D609="",TODAY()+(5-N609)*15,D609)-TODAY())/4,N609),IF(TODAY()-M609&gt;10,0,1)))</f>
        <v>0</v>
      </c>
      <c r="P609" s="1" t="str">
        <f ca="1">IF(ISNA(VLOOKUP(A609,Projects!B:B,1,FALSE)),"","Yes")</f>
        <v/>
      </c>
    </row>
    <row r="610" spans="1:16" ht="25.5">
      <c r="A610" s="4" t="s">
        <v>531</v>
      </c>
      <c r="B610" s="5" t="s">
        <v>11</v>
      </c>
      <c r="C610" s="6" t="s">
        <v>48</v>
      </c>
      <c r="D610" s="11"/>
      <c r="F610" s="13" t="str">
        <f ca="1">VLOOKUP(LEFT(A610,IF(ISERROR(FIND(".",A610)),LEN(A610)+1,FIND(".",A610))-1),WorkList!A:C,3,FALSE)</f>
        <v>Macro Economic Data</v>
      </c>
      <c r="G610" s="14" t="str">
        <f ca="1">VLOOKUP(CONCATENATE(A610),WorkList!A:C,3,FALSE)</f>
        <v>Retrieve 1m, 3m,6m,9m,12m LIBOR and BBR rate for GBP</v>
      </c>
      <c r="H610" s="13" t="str">
        <f ca="1">VLOOKUP(CONCATENATE(A610),WorkList!A:D,4,FALSE)</f>
        <v>Dan</v>
      </c>
      <c r="I610" s="15">
        <f ca="1">VLOOKUP(CONCATENATE(A610),WorkList!A:E,5,FALSE)</f>
        <v>40109</v>
      </c>
      <c r="J610" s="49">
        <f ca="1">VLOOKUP(CONCATENATE(A610),WorkList!A:F,6,FALSE)</f>
        <v>2</v>
      </c>
      <c r="K610" s="49">
        <f ca="1">VLOOKUP(CONCATENATE(A610),WorkList!A:G,7,FALSE)</f>
        <v>0</v>
      </c>
      <c r="L610" s="7" t="s">
        <v>13</v>
      </c>
      <c r="M610" s="16">
        <v>40157</v>
      </c>
      <c r="N610" s="60">
        <f ca="1">VALUE(LEFT(C610))</f>
        <v>0</v>
      </c>
      <c r="O610" s="61">
        <f ca="1">INT(IF(N610&gt;0,1+MAX(N610*N610-(IF(D610="",TODAY()+(5-N610)*15,D610)-TODAY())/4,N610),IF(TODAY()-M610&gt;10,0,1)))</f>
        <v>0</v>
      </c>
      <c r="P610" s="1" t="str">
        <f ca="1">IF(ISNA(VLOOKUP(A610,Projects!B:B,1,FALSE)),"","Yes")</f>
        <v/>
      </c>
    </row>
    <row r="611" spans="1:16">
      <c r="A611" s="4" t="s">
        <v>1193</v>
      </c>
      <c r="B611" s="5" t="s">
        <v>32</v>
      </c>
      <c r="C611" s="7" t="s">
        <v>38</v>
      </c>
      <c r="D611" s="11"/>
      <c r="F611" s="13" t="str">
        <f ca="1">VLOOKUP(LEFT(A611,IF(ISERROR(FIND(".",A611)),LEN(A611)+1,FIND(".",A611))-1),WorkList!A:C,3,FALSE)</f>
        <v>Macro Economic Data</v>
      </c>
      <c r="G611" s="14" t="str">
        <f ca="1">VLOOKUP(CONCATENATE(A611),WorkList!A:C,3,FALSE)</f>
        <v>Various fixes to BoE downloader</v>
      </c>
      <c r="H611" s="13" t="str">
        <f ca="1">VLOOKUP(CONCATENATE(A611),WorkList!A:D,4,FALSE)</f>
        <v>Neil</v>
      </c>
      <c r="I611" s="15">
        <f ca="1">VLOOKUP(CONCATENATE(A611),WorkList!A:E,5,FALSE)</f>
        <v>40336</v>
      </c>
      <c r="J611" s="49">
        <f ca="1">VLOOKUP(CONCATENATE(A611),WorkList!A:F,6,FALSE)</f>
        <v>2</v>
      </c>
      <c r="K611" s="49" t="str">
        <f ca="1">VLOOKUP(CONCATENATE(A611),WorkList!A:G,7,FALSE)</f>
        <v>Maintenance</v>
      </c>
      <c r="L611" s="7" t="s">
        <v>7</v>
      </c>
      <c r="M611" s="16">
        <v>40568</v>
      </c>
      <c r="N611" s="60">
        <f ca="1">VALUE(LEFT(C611))</f>
        <v>2</v>
      </c>
      <c r="O611" s="61">
        <f ca="1">INT(IF(N611&gt;0,1+MAX(N611*N611-(IF(D611="",TODAY()+(5-N611)*15,D611)-TODAY())/4,N611),IF(TODAY()-M611&gt;10,0,1)))</f>
        <v>3</v>
      </c>
      <c r="P611" s="1" t="str">
        <f ca="1">IF(ISNA(VLOOKUP(A611,Projects!B:B,1,FALSE)),"","Yes")</f>
        <v/>
      </c>
    </row>
    <row r="612" spans="1:16">
      <c r="A612" s="4" t="s">
        <v>509</v>
      </c>
      <c r="B612" s="5" t="s">
        <v>37</v>
      </c>
      <c r="C612" s="6" t="s">
        <v>48</v>
      </c>
      <c r="D612" s="11"/>
      <c r="F612" s="13" t="str">
        <f ca="1">VLOOKUP(LEFT(A612,IF(ISERROR(FIND(".",A612)),LEN(A612)+1,FIND(".",A612))-1),WorkList!A:C,3,FALSE)</f>
        <v>Macro Economic Data</v>
      </c>
      <c r="G612" s="14" t="str">
        <f ca="1">VLOOKUP(CONCATENATE(A612),WorkList!A:C,3,FALSE)</f>
        <v>Retrieve Dutch HPI data</v>
      </c>
      <c r="H612" s="13" t="str">
        <f ca="1">VLOOKUP(CONCATENATE(A612),WorkList!A:D,4,FALSE)</f>
        <v>Shubh</v>
      </c>
      <c r="I612" s="15">
        <f ca="1">VLOOKUP(CONCATENATE(A612),WorkList!A:E,5,FALSE)</f>
        <v>40086</v>
      </c>
      <c r="J612" s="49">
        <f ca="1">VLOOKUP(CONCATENATE(A612),WorkList!A:F,6,FALSE)</f>
        <v>7</v>
      </c>
      <c r="K612" s="49">
        <f ca="1">VLOOKUP(CONCATENATE(A612),WorkList!A:G,7,FALSE)</f>
        <v>0</v>
      </c>
      <c r="L612" s="7" t="s">
        <v>13</v>
      </c>
      <c r="M612" s="16">
        <v>40157</v>
      </c>
      <c r="N612" s="60">
        <f ca="1">VALUE(LEFT(C612))</f>
        <v>0</v>
      </c>
      <c r="O612" s="61">
        <f ca="1">INT(IF(N612&gt;0,1+MAX(N612*N612-(IF(D612="",TODAY()+(5-N612)*15,D612)-TODAY())/4,N612),IF(TODAY()-M612&gt;10,0,1)))</f>
        <v>0</v>
      </c>
      <c r="P612" s="1" t="str">
        <f ca="1">IF(ISNA(VLOOKUP(A612,Projects!B:B,1,FALSE)),"","Yes")</f>
        <v/>
      </c>
    </row>
    <row r="613" spans="1:16">
      <c r="A613" s="4" t="s">
        <v>1730</v>
      </c>
      <c r="B613" s="5" t="s">
        <v>32</v>
      </c>
      <c r="C613" s="7" t="s">
        <v>12</v>
      </c>
      <c r="F613" s="13" t="str">
        <f ca="1">VLOOKUP(LEFT(A613,IF(ISERROR(FIND(".",A613)),LEN(A613)+1,FIND(".",A613))-1),WorkList!A:C,3,FALSE)</f>
        <v>Macro Economic Data</v>
      </c>
      <c r="G613" s="14" t="str">
        <f ca="1">VLOOKUP(CONCATENATE(A613),WorkList!A:C,3,FALSE)</f>
        <v>Elabortate log contents for Spanish INE download data</v>
      </c>
      <c r="H613" s="13" t="str">
        <f ca="1">VLOOKUP(CONCATENATE(A613),WorkList!A:D,4,FALSE)</f>
        <v>Neil</v>
      </c>
      <c r="I613" s="15">
        <f ca="1">VLOOKUP(CONCATENATE(A613),WorkList!A:E,5,FALSE)</f>
        <v>40514</v>
      </c>
      <c r="J613" s="49">
        <f ca="1">VLOOKUP(CONCATENATE(A613),WorkList!A:F,6,FALSE)</f>
        <v>1</v>
      </c>
      <c r="K613" s="49" t="str">
        <f ca="1">VLOOKUP(CONCATENATE(A613),WorkList!A:G,7,FALSE)</f>
        <v>Enhancement</v>
      </c>
      <c r="L613" s="7" t="s">
        <v>7</v>
      </c>
      <c r="M613" s="16">
        <v>40246</v>
      </c>
      <c r="N613" s="60">
        <f ca="1">VALUE(LEFT(C613))</f>
        <v>4</v>
      </c>
      <c r="O613" s="61">
        <f ca="1">INT(IF(N613&gt;0,1+MAX(N613*N613-(IF(D613="",TODAY()+(5-N613)*15,D613)-TODAY())/4,N613),IF(TODAY()-M613&gt;10,0,1)))</f>
        <v>13</v>
      </c>
      <c r="P613" s="1" t="str">
        <f ca="1">IF(ISNA(VLOOKUP(A613,Projects!B:B,1,FALSE)),"","Yes")</f>
        <v/>
      </c>
    </row>
    <row r="614" spans="1:16">
      <c r="A614" s="4" t="s">
        <v>511</v>
      </c>
      <c r="B614" s="5" t="s">
        <v>21</v>
      </c>
      <c r="C614" s="7" t="s">
        <v>10</v>
      </c>
      <c r="D614" s="11"/>
      <c r="F614" s="13" t="str">
        <f ca="1">VLOOKUP(LEFT(A614,IF(ISERROR(FIND(".",A614)),LEN(A614)+1,FIND(".",A614))-1),WorkList!A:C,3,FALSE)</f>
        <v>Macro Economic Data</v>
      </c>
      <c r="G614" s="14" t="str">
        <f ca="1">VLOOKUP(CONCATENATE(A614),WorkList!A:C,3,FALSE)</f>
        <v>Retrieve Italy HPI data</v>
      </c>
      <c r="H614" s="13" t="str">
        <f ca="1">VLOOKUP(CONCATENATE(A614),WorkList!A:D,4,FALSE)</f>
        <v>Shubh</v>
      </c>
      <c r="I614" s="15">
        <f ca="1">VLOOKUP(CONCATENATE(A614),WorkList!A:E,5,FALSE)</f>
        <v>40086</v>
      </c>
      <c r="J614" s="49">
        <f ca="1">VLOOKUP(CONCATENATE(A614),WorkList!A:F,6,FALSE)</f>
        <v>7</v>
      </c>
      <c r="K614" s="49" t="str">
        <f ca="1">VLOOKUP(CONCATENATE(A614),WorkList!A:G,7,FALSE)</f>
        <v>NewDevelopment</v>
      </c>
      <c r="L614" s="7" t="s">
        <v>7</v>
      </c>
      <c r="M614" s="16">
        <v>40283</v>
      </c>
      <c r="N614" s="60">
        <f ca="1">VALUE(LEFT(C614))</f>
        <v>3</v>
      </c>
      <c r="O614" s="61">
        <f ca="1">INT(IF(N614&gt;0,1+MAX(N614*N614-(IF(D614="",TODAY()+(5-N614)*15,D614)-TODAY())/4,N614),IF(TODAY()-M614&gt;10,0,1)))</f>
        <v>4</v>
      </c>
      <c r="P614" s="1" t="str">
        <f ca="1">IF(ISNA(VLOOKUP(A614,Projects!B:B,1,FALSE)),"","Yes")</f>
        <v/>
      </c>
    </row>
    <row r="615" spans="1:16">
      <c r="A615" s="4" t="s">
        <v>512</v>
      </c>
      <c r="B615" s="5" t="s">
        <v>1607</v>
      </c>
      <c r="C615" s="7" t="s">
        <v>38</v>
      </c>
      <c r="D615" s="11"/>
      <c r="F615" s="13" t="str">
        <f ca="1">VLOOKUP(LEFT(A615,IF(ISERROR(FIND(".",A615)),LEN(A615)+1,FIND(".",A615))-1),WorkList!A:C,3,FALSE)</f>
        <v>Macro Economic Data</v>
      </c>
      <c r="G615" s="14" t="str">
        <f ca="1">VLOOKUP(CONCATENATE(A615),WorkList!A:C,3,FALSE)</f>
        <v>Retrieve Ireland HPI data</v>
      </c>
      <c r="H615" s="13" t="str">
        <f ca="1">VLOOKUP(CONCATENATE(A615),WorkList!A:D,4,FALSE)</f>
        <v>Ajay</v>
      </c>
      <c r="I615" s="15">
        <f ca="1">VLOOKUP(CONCATENATE(A615),WorkList!A:E,5,FALSE)</f>
        <v>40455</v>
      </c>
      <c r="J615" s="49">
        <f ca="1">VLOOKUP(CONCATENATE(A615),WorkList!A:F,6,FALSE)</f>
        <v>7</v>
      </c>
      <c r="K615" s="49" t="str">
        <f ca="1">VLOOKUP(CONCATENATE(A615),WorkList!A:G,7,FALSE)</f>
        <v>NewDevelopment</v>
      </c>
      <c r="L615" s="7" t="s">
        <v>7</v>
      </c>
      <c r="M615" s="16">
        <v>40456</v>
      </c>
      <c r="N615" s="60">
        <f ca="1">VALUE(LEFT(C615))</f>
        <v>2</v>
      </c>
      <c r="O615" s="61">
        <f ca="1">INT(IF(N615&gt;0,1+MAX(N615*N615-(IF(D615="",TODAY()+(5-N615)*15,D615)-TODAY())/4,N615),IF(TODAY()-M615&gt;10,0,1)))</f>
        <v>3</v>
      </c>
      <c r="P615" s="1" t="str">
        <f ca="1">IF(ISNA(VLOOKUP(A615,Projects!B:B,1,FALSE)),"","Yes")</f>
        <v/>
      </c>
    </row>
    <row r="616" spans="1:16">
      <c r="A616" s="4" t="s">
        <v>513</v>
      </c>
      <c r="B616" s="5" t="s">
        <v>37</v>
      </c>
      <c r="C616" s="6" t="s">
        <v>48</v>
      </c>
      <c r="D616" s="11"/>
      <c r="F616" s="13" t="str">
        <f ca="1">VLOOKUP(LEFT(A616,IF(ISERROR(FIND(".",A616)),LEN(A616)+1,FIND(".",A616))-1),WorkList!A:C,3,FALSE)</f>
        <v>Macro Economic Data</v>
      </c>
      <c r="G616" s="14" t="str">
        <f ca="1">VLOOKUP(CONCATENATE(A616),WorkList!A:C,3,FALSE)</f>
        <v>Retrieve Spain HPI data + set schema to HPAIndexData</v>
      </c>
      <c r="H616" s="13" t="str">
        <f ca="1">VLOOKUP(CONCATENATE(A616),WorkList!A:D,4,FALSE)</f>
        <v>Shubh</v>
      </c>
      <c r="I616" s="15">
        <f ca="1">VLOOKUP(CONCATENATE(A616),WorkList!A:E,5,FALSE)</f>
        <v>40157</v>
      </c>
      <c r="J616" s="49">
        <f ca="1">VLOOKUP(CONCATENATE(A616),WorkList!A:F,6,FALSE)</f>
        <v>7</v>
      </c>
      <c r="K616" s="49">
        <f ca="1">VLOOKUP(CONCATENATE(A616),WorkList!A:G,7,FALSE)</f>
        <v>0</v>
      </c>
      <c r="L616" s="7" t="s">
        <v>13</v>
      </c>
      <c r="M616" s="16">
        <v>40252</v>
      </c>
      <c r="N616" s="60">
        <f ca="1">VALUE(LEFT(C616))</f>
        <v>0</v>
      </c>
      <c r="O616" s="61">
        <f ca="1">INT(IF(N616&gt;0,1+MAX(N616*N616-(IF(D616="",TODAY()+(5-N616)*15,D616)-TODAY())/4,N616),IF(TODAY()-M616&gt;10,0,1)))</f>
        <v>0</v>
      </c>
      <c r="P616" s="1" t="str">
        <f ca="1">IF(ISNA(VLOOKUP(A616,Projects!B:B,1,FALSE)),"","Yes")</f>
        <v/>
      </c>
    </row>
    <row r="617" spans="1:16">
      <c r="A617" s="4" t="s">
        <v>529</v>
      </c>
      <c r="B617" s="5" t="s">
        <v>21</v>
      </c>
      <c r="C617" s="7" t="s">
        <v>197</v>
      </c>
      <c r="D617" s="11"/>
      <c r="F617" s="13" t="str">
        <f ca="1">VLOOKUP(LEFT(A617,IF(ISERROR(FIND(".",A617)),LEN(A617)+1,FIND(".",A617))-1),WorkList!A:C,3,FALSE)</f>
        <v>Macro Economic Data</v>
      </c>
      <c r="G617" s="14" t="str">
        <f ca="1">VLOOKUP(CONCATENATE(A617),WorkList!A:C,3,FALSE)</f>
        <v>TSP Cache Refresh</v>
      </c>
      <c r="H617" s="13" t="str">
        <f ca="1">VLOOKUP(CONCATENATE(A617),WorkList!A:D,4,FALSE)</f>
        <v>Pramendra</v>
      </c>
      <c r="I617" s="15">
        <f ca="1">VLOOKUP(CONCATENATE(A617),WorkList!A:E,5,FALSE)</f>
        <v>40098</v>
      </c>
      <c r="J617" s="49">
        <f ca="1">VLOOKUP(CONCATENATE(A617),WorkList!A:F,6,FALSE)</f>
        <v>3</v>
      </c>
      <c r="K617" s="49" t="str">
        <f ca="1">VLOOKUP(CONCATENATE(A617),WorkList!A:G,7,FALSE)</f>
        <v>Enhancement</v>
      </c>
      <c r="L617" s="7" t="s">
        <v>7</v>
      </c>
      <c r="M617" s="16">
        <v>40239</v>
      </c>
      <c r="N617" s="60">
        <f ca="1">VALUE(LEFT(C617))</f>
        <v>1</v>
      </c>
      <c r="O617" s="61">
        <f ca="1">INT(IF(N617&gt;0,1+MAX(N617*N617-(IF(D617="",TODAY()+(5-N617)*15,D617)-TODAY())/4,N617),IF(TODAY()-M617&gt;10,0,1)))</f>
        <v>2</v>
      </c>
      <c r="P617" s="1" t="str">
        <f ca="1">IF(ISNA(VLOOKUP(A617,Projects!B:B,1,FALSE)),"","Yes")</f>
        <v/>
      </c>
    </row>
    <row r="618" spans="1:16">
      <c r="A618" s="4" t="s">
        <v>785</v>
      </c>
      <c r="B618" s="5" t="s">
        <v>37</v>
      </c>
      <c r="C618" s="6" t="s">
        <v>48</v>
      </c>
      <c r="D618" s="11"/>
      <c r="F618" s="13" t="str">
        <f ca="1">VLOOKUP(LEFT(A618,IF(ISERROR(FIND(".",A618)),LEN(A618)+1,FIND(".",A618))-1),WorkList!A:C,3,FALSE)</f>
        <v>Macro Economic Data</v>
      </c>
      <c r="G618" s="14" t="str">
        <f ca="1">VLOOKUP(CONCATENATE(A618),WorkList!A:C,3,FALSE)</f>
        <v>Move Dutch HPI to Prod Nomura Now</v>
      </c>
      <c r="H618" s="13" t="str">
        <f ca="1">VLOOKUP(CONCATENATE(A618),WorkList!A:D,4,FALSE)</f>
        <v>David</v>
      </c>
      <c r="I618" s="15">
        <f ca="1">VLOOKUP(CONCATENATE(A618),WorkList!A:E,5,FALSE)</f>
        <v>40157</v>
      </c>
      <c r="J618" s="49">
        <f ca="1">VLOOKUP(CONCATENATE(A618),WorkList!A:F,6,FALSE)</f>
        <v>1</v>
      </c>
      <c r="K618" s="49">
        <f ca="1">VLOOKUP(CONCATENATE(A618),WorkList!A:G,7,FALSE)</f>
        <v>0</v>
      </c>
      <c r="L618" s="7" t="s">
        <v>13</v>
      </c>
      <c r="M618" s="16">
        <v>40246</v>
      </c>
      <c r="N618" s="60">
        <f ca="1">VALUE(LEFT(C618))</f>
        <v>0</v>
      </c>
      <c r="O618" s="61">
        <f ca="1">INT(IF(N618&gt;0,1+MAX(N618*N618-(IF(D618="",TODAY()+(5-N618)*15,D618)-TODAY())/4,N618),IF(TODAY()-M618&gt;10,0,1)))</f>
        <v>0</v>
      </c>
      <c r="P618" s="1" t="str">
        <f ca="1">IF(ISNA(VLOOKUP(A618,Projects!B:B,1,FALSE)),"","Yes")</f>
        <v/>
      </c>
    </row>
    <row r="619" spans="1:16">
      <c r="A619" s="4" t="s">
        <v>787</v>
      </c>
      <c r="B619" s="5" t="s">
        <v>37</v>
      </c>
      <c r="C619" s="6" t="s">
        <v>48</v>
      </c>
      <c r="D619" s="11"/>
      <c r="F619" s="13" t="str">
        <f ca="1">VLOOKUP(LEFT(A619,IF(ISERROR(FIND(".",A619)),LEN(A619)+1,FIND(".",A619))-1),WorkList!A:C,3,FALSE)</f>
        <v>Macro Economic Data</v>
      </c>
      <c r="G619" s="14" t="str">
        <f ca="1">VLOOKUP(CONCATENATE(A619),WorkList!A:C,3,FALSE)</f>
        <v>Fully automate Dutch HPI loading</v>
      </c>
      <c r="H619" s="13" t="str">
        <f ca="1">VLOOKUP(CONCATENATE(A619),WorkList!A:D,4,FALSE)</f>
        <v>Neil</v>
      </c>
      <c r="I619" s="15">
        <f ca="1">VLOOKUP(CONCATENATE(A619),WorkList!A:E,5,FALSE)</f>
        <v>40157</v>
      </c>
      <c r="J619" s="49">
        <f ca="1">VLOOKUP(CONCATENATE(A619),WorkList!A:F,6,FALSE)</f>
        <v>2</v>
      </c>
      <c r="K619" s="49">
        <f ca="1">VLOOKUP(CONCATENATE(A619),WorkList!A:G,7,FALSE)</f>
        <v>0</v>
      </c>
      <c r="L619" s="7" t="s">
        <v>13</v>
      </c>
      <c r="M619" s="16">
        <v>40247</v>
      </c>
      <c r="N619" s="60">
        <f ca="1">VALUE(LEFT(C619))</f>
        <v>0</v>
      </c>
      <c r="O619" s="61">
        <f ca="1">INT(IF(N619&gt;0,1+MAX(N619*N619-(IF(D619="",TODAY()+(5-N619)*15,D619)-TODAY())/4,N619),IF(TODAY()-M619&gt;10,0,1)))</f>
        <v>0</v>
      </c>
      <c r="P619" s="1" t="str">
        <f ca="1">IF(ISNA(VLOOKUP(A619,Projects!B:B,1,FALSE)),"","Yes")</f>
        <v/>
      </c>
    </row>
    <row r="620" spans="1:16">
      <c r="A620" s="4" t="s">
        <v>1278</v>
      </c>
      <c r="B620" s="5" t="s">
        <v>37</v>
      </c>
      <c r="C620" s="7" t="s">
        <v>48</v>
      </c>
      <c r="D620" s="7">
        <v>40396</v>
      </c>
      <c r="F620" s="13" t="str">
        <f ca="1">VLOOKUP(LEFT(A620,IF(ISERROR(FIND(".",A620)),LEN(A620)+1,FIND(".",A620))-1),WorkList!A:C,3,FALSE)</f>
        <v>Macro Economic Data</v>
      </c>
      <c r="G620" s="14" t="str">
        <f ca="1">VLOOKUP(CONCATENATE(A620),WorkList!A:C,3,FALSE)</f>
        <v>Fix Spanish HPI load for data format change</v>
      </c>
      <c r="H620" s="13" t="str">
        <f ca="1">VLOOKUP(CONCATENATE(A620),WorkList!A:D,4,FALSE)</f>
        <v>Paresh</v>
      </c>
      <c r="I620" s="15">
        <f ca="1">VLOOKUP(CONCATENATE(A620),WorkList!A:E,5,FALSE)</f>
        <v>40353</v>
      </c>
      <c r="J620" s="49">
        <f ca="1">VLOOKUP(CONCATENATE(A620),WorkList!A:F,6,FALSE)</f>
        <v>1</v>
      </c>
      <c r="K620" s="49" t="str">
        <f ca="1">VLOOKUP(CONCATENATE(A620),WorkList!A:G,7,FALSE)</f>
        <v>Maintenance</v>
      </c>
      <c r="L620" s="7" t="s">
        <v>13</v>
      </c>
      <c r="M620" s="16">
        <v>40400</v>
      </c>
      <c r="N620" s="60">
        <f ca="1">VALUE(LEFT(C620))</f>
        <v>0</v>
      </c>
      <c r="O620" s="61">
        <f ca="1">INT(IF(N620&gt;0,1+MAX(N620*N620-(IF(D620="",TODAY()+(5-N620)*15,D620)-TODAY())/4,N620),IF(TODAY()-M620&gt;10,0,1)))</f>
        <v>0</v>
      </c>
      <c r="P620" s="1" t="str">
        <f ca="1">IF(ISNA(VLOOKUP(A620,Projects!B:B,1,FALSE)),"","Yes")</f>
        <v>Yes</v>
      </c>
    </row>
    <row r="621" spans="1:16">
      <c r="A621" s="4" t="s">
        <v>1729</v>
      </c>
      <c r="B621" s="5" t="s">
        <v>32</v>
      </c>
      <c r="C621" s="7" t="s">
        <v>12</v>
      </c>
      <c r="F621" s="13" t="str">
        <f ca="1">VLOOKUP(LEFT(A621,IF(ISERROR(FIND(".",A621)),LEN(A621)+1,FIND(".",A621))-1),WorkList!A:C,3,FALSE)</f>
        <v>Macro Economic Data</v>
      </c>
      <c r="G621" s="14" t="str">
        <f ca="1">VLOOKUP(CONCATENATE(A621),WorkList!A:C,3,FALSE)</f>
        <v>Elaborate wiki for Spanish INE download data</v>
      </c>
      <c r="H621" s="13" t="str">
        <f ca="1">VLOOKUP(CONCATENATE(A621),WorkList!A:D,4,FALSE)</f>
        <v>Neil</v>
      </c>
      <c r="I621" s="15">
        <f ca="1">VLOOKUP(CONCATENATE(A621),WorkList!A:E,5,FALSE)</f>
        <v>40514</v>
      </c>
      <c r="J621" s="49">
        <f ca="1">VLOOKUP(CONCATENATE(A621),WorkList!A:F,6,FALSE)</f>
        <v>0.2</v>
      </c>
      <c r="K621" s="49" t="str">
        <f ca="1">VLOOKUP(CONCATENATE(A621),WorkList!A:G,7,FALSE)</f>
        <v>Maintenance</v>
      </c>
      <c r="L621" s="7" t="s">
        <v>7</v>
      </c>
      <c r="M621" s="16">
        <v>40246</v>
      </c>
      <c r="N621" s="60">
        <f ca="1">VALUE(LEFT(C621))</f>
        <v>4</v>
      </c>
      <c r="O621" s="61">
        <f ca="1">INT(IF(N621&gt;0,1+MAX(N621*N621-(IF(D621="",TODAY()+(5-N621)*15,D621)-TODAY())/4,N621),IF(TODAY()-M621&gt;10,0,1)))</f>
        <v>13</v>
      </c>
      <c r="P621" s="1" t="str">
        <f ca="1">IF(ISNA(VLOOKUP(A621,Projects!B:B,1,FALSE)),"","Yes")</f>
        <v/>
      </c>
    </row>
    <row r="622" spans="1:16">
      <c r="A622" s="4" t="s">
        <v>771</v>
      </c>
      <c r="B622" s="5" t="s">
        <v>21</v>
      </c>
      <c r="C622" s="6" t="s">
        <v>38</v>
      </c>
      <c r="D622" s="11"/>
      <c r="F622" s="13" t="str">
        <f ca="1">VLOOKUP(LEFT(A622,IF(ISERROR(FIND(".",A622)),LEN(A622)+1,FIND(".",A622))-1),WorkList!A:C,3,FALSE)</f>
        <v>Macro Economic Data</v>
      </c>
      <c r="G622" s="14" t="str">
        <f ca="1">VLOOKUP(CONCATENATE(A622),WorkList!A:C,3,FALSE)</f>
        <v>Determine Credit Card data requirements</v>
      </c>
      <c r="H622" s="13" t="str">
        <f ca="1">VLOOKUP(CONCATENATE(A622),WorkList!A:D,4,FALSE)</f>
        <v>David</v>
      </c>
      <c r="I622" s="15">
        <f ca="1">VLOOKUP(CONCATENATE(A622),WorkList!A:E,5,FALSE)</f>
        <v>40150</v>
      </c>
      <c r="J622" s="49">
        <f ca="1">VLOOKUP(CONCATENATE(A622),WorkList!A:F,6,FALSE)</f>
        <v>1</v>
      </c>
      <c r="K622" s="49" t="str">
        <f ca="1">VLOOKUP(CONCATENATE(A622),WorkList!A:G,7,FALSE)</f>
        <v>NewDevelopment</v>
      </c>
      <c r="L622" s="7" t="s">
        <v>7</v>
      </c>
      <c r="M622" s="16">
        <v>40218</v>
      </c>
      <c r="N622" s="60">
        <f ca="1">VALUE(LEFT(C622))</f>
        <v>2</v>
      </c>
      <c r="O622" s="61">
        <f ca="1">INT(IF(N622&gt;0,1+MAX(N622*N622-(IF(D622="",TODAY()+(5-N622)*15,D622)-TODAY())/4,N622),IF(TODAY()-M622&gt;10,0,1)))</f>
        <v>3</v>
      </c>
      <c r="P622" s="1" t="str">
        <f ca="1">IF(ISNA(VLOOKUP(A622,Projects!B:B,1,FALSE)),"","Yes")</f>
        <v/>
      </c>
    </row>
    <row r="623" spans="1:16">
      <c r="A623" s="4" t="s">
        <v>951</v>
      </c>
      <c r="B623" s="5" t="s">
        <v>32</v>
      </c>
      <c r="C623" s="6" t="s">
        <v>48</v>
      </c>
      <c r="D623" s="11"/>
      <c r="F623" s="13" t="str">
        <f ca="1">VLOOKUP(LEFT(A623,IF(ISERROR(FIND(".",A623)),LEN(A623)+1,FIND(".",A623))-1),WorkList!A:C,3,FALSE)</f>
        <v>Macro Economic Data</v>
      </c>
      <c r="G623" s="14" t="str">
        <f ca="1">VLOOKUP(CONCATENATE(A623),WorkList!A:C,3,FALSE)</f>
        <v>Italian Land Registry quick and dirty data extraction</v>
      </c>
      <c r="H623" s="13" t="str">
        <f ca="1">VLOOKUP(CONCATENATE(A623),WorkList!A:D,4,FALSE)</f>
        <v>Friedel</v>
      </c>
      <c r="I623" s="15">
        <f ca="1">VLOOKUP(CONCATENATE(A623),WorkList!A:E,5,FALSE)</f>
        <v>40240</v>
      </c>
      <c r="J623" s="49">
        <f ca="1">VLOOKUP(CONCATENATE(A623),WorkList!A:F,6,FALSE)</f>
        <v>2</v>
      </c>
      <c r="K623" s="49">
        <f ca="1">VLOOKUP(CONCATENATE(A623),WorkList!A:G,7,FALSE)</f>
        <v>0</v>
      </c>
      <c r="L623" s="7" t="s">
        <v>13</v>
      </c>
      <c r="M623" s="16">
        <v>40240</v>
      </c>
      <c r="N623" s="60">
        <f ca="1">VALUE(LEFT(C623))</f>
        <v>0</v>
      </c>
      <c r="O623" s="61">
        <f ca="1">INT(IF(N623&gt;0,1+MAX(N623*N623-(IF(D623="",TODAY()+(5-N623)*15,D623)-TODAY())/4,N623),IF(TODAY()-M623&gt;10,0,1)))</f>
        <v>0</v>
      </c>
      <c r="P623" s="1" t="str">
        <f ca="1">IF(ISNA(VLOOKUP(A623,Projects!B:B,1,FALSE)),"","Yes")</f>
        <v/>
      </c>
    </row>
    <row r="624" spans="1:16">
      <c r="A624" s="4" t="s">
        <v>1708</v>
      </c>
      <c r="B624" s="5" t="s">
        <v>21</v>
      </c>
      <c r="C624" s="7" t="s">
        <v>12</v>
      </c>
      <c r="F624" s="13" t="str">
        <f ca="1">VLOOKUP(LEFT(A624,IF(ISERROR(FIND(".",A624)),LEN(A624)+1,FIND(".",A624))-1),WorkList!A:C,3,FALSE)</f>
        <v>Macro Economic Data</v>
      </c>
      <c r="G624" s="14" t="str">
        <f ca="1">VLOOKUP(CONCATENATE(A624),WorkList!A:C,3,FALSE)</f>
        <v>Productionise Italian Land Registry Downloader</v>
      </c>
      <c r="H624" s="13" t="str">
        <f ca="1">VLOOKUP(CONCATENATE(A624),WorkList!A:D,4,FALSE)</f>
        <v>Friedel</v>
      </c>
      <c r="I624" s="15">
        <f ca="1">VLOOKUP(CONCATENATE(A624),WorkList!A:E,5,FALSE)</f>
        <v>40505</v>
      </c>
      <c r="J624" s="49">
        <f ca="1">VLOOKUP(CONCATENATE(A624),WorkList!A:F,6,FALSE)</f>
        <v>3</v>
      </c>
      <c r="K624" s="49" t="str">
        <f ca="1">VLOOKUP(CONCATENATE(A624),WorkList!A:G,7,FALSE)</f>
        <v>Maintenance</v>
      </c>
      <c r="L624" s="7" t="s">
        <v>7</v>
      </c>
      <c r="M624" s="16">
        <v>40239</v>
      </c>
      <c r="N624" s="60">
        <f ca="1">VALUE(LEFT(C624))</f>
        <v>4</v>
      </c>
      <c r="O624" s="61">
        <f ca="1">INT(IF(N624&gt;0,1+MAX(N624*N624-(IF(D624="",TODAY()+(5-N624)*15,D624)-TODAY())/4,N624),IF(TODAY()-M624&gt;10,0,1)))</f>
        <v>13</v>
      </c>
      <c r="P624" s="1" t="str">
        <f ca="1">IF(ISNA(VLOOKUP(A624,Projects!B:B,1,FALSE)),"","Yes")</f>
        <v/>
      </c>
    </row>
    <row r="625" spans="1:16">
      <c r="A625" s="4" t="s">
        <v>619</v>
      </c>
      <c r="B625" s="5" t="s">
        <v>37</v>
      </c>
      <c r="C625" s="6" t="s">
        <v>48</v>
      </c>
      <c r="D625" s="11"/>
      <c r="F625" s="13" t="str">
        <f ca="1">VLOOKUP(LEFT(A625,IF(ISERROR(FIND(".",A625)),LEN(A625)+1,FIND(".",A625))-1),WorkList!A:C,3,FALSE)</f>
        <v>Trade Blotter</v>
      </c>
      <c r="G625" s="14" t="str">
        <f ca="1">VLOOKUP(CONCATENATE(A625),WorkList!A:C,3,FALSE)</f>
        <v>Understand requirements and devise plan</v>
      </c>
      <c r="H625" s="13" t="str">
        <f ca="1">VLOOKUP(CONCATENATE(A625),WorkList!A:D,4,FALSE)</f>
        <v>David</v>
      </c>
      <c r="I625" s="15">
        <f ca="1">VLOOKUP(CONCATENATE(A625),WorkList!A:E,5,FALSE)</f>
        <v>40107</v>
      </c>
      <c r="J625" s="49">
        <f ca="1">VLOOKUP(CONCATENATE(A625),WorkList!A:F,6,FALSE)</f>
        <v>3</v>
      </c>
      <c r="K625" s="49">
        <f ca="1">VLOOKUP(CONCATENATE(A625),WorkList!A:G,7,FALSE)</f>
        <v>0</v>
      </c>
      <c r="L625" s="7" t="s">
        <v>13</v>
      </c>
      <c r="M625" s="16">
        <v>40150</v>
      </c>
      <c r="N625" s="60">
        <f ca="1">VALUE(LEFT(C625))</f>
        <v>0</v>
      </c>
      <c r="O625" s="61">
        <f ca="1">INT(IF(N625&gt;0,1+MAX(N625*N625-(IF(D625="",TODAY()+(5-N625)*15,D625)-TODAY())/4,N625),IF(TODAY()-M625&gt;10,0,1)))</f>
        <v>0</v>
      </c>
      <c r="P625" s="1" t="str">
        <f ca="1">IF(ISNA(VLOOKUP(A625,Projects!B:B,1,FALSE)),"","Yes")</f>
        <v/>
      </c>
    </row>
    <row r="626" spans="1:16">
      <c r="A626" s="4" t="s">
        <v>1516</v>
      </c>
      <c r="B626" s="5" t="s">
        <v>1159</v>
      </c>
      <c r="C626" s="7" t="s">
        <v>48</v>
      </c>
      <c r="D626" s="7">
        <v>40443</v>
      </c>
      <c r="F626" s="13" t="str">
        <f ca="1">VLOOKUP(LEFT(A626,IF(ISERROR(FIND(".",A626)),LEN(A626)+1,FIND(".",A626))-1),WorkList!A:C,3,FALSE)</f>
        <v>Trade Blotter</v>
      </c>
      <c r="G626" s="14" t="str">
        <f ca="1">VLOOKUP(CONCATENATE(A626),WorkList!A:C,3,FALSE)</f>
        <v>Fix boolean filters for ReadOnly Users</v>
      </c>
      <c r="H626" s="13" t="str">
        <f ca="1">VLOOKUP(CONCATENATE(A626),WorkList!A:D,4,FALSE)</f>
        <v>David</v>
      </c>
      <c r="I626" s="15">
        <f ca="1">VLOOKUP(CONCATENATE(A626),WorkList!A:E,5,FALSE)</f>
        <v>40438</v>
      </c>
      <c r="J626" s="49">
        <f ca="1">VLOOKUP(CONCATENATE(A626),WorkList!A:F,6,FALSE)</f>
        <v>1</v>
      </c>
      <c r="K626" s="49" t="str">
        <f ca="1">VLOOKUP(CONCATENATE(A626),WorkList!A:G,7,FALSE)</f>
        <v>Enhancement</v>
      </c>
      <c r="L626" s="7" t="s">
        <v>13</v>
      </c>
      <c r="M626" s="16">
        <v>40457</v>
      </c>
      <c r="N626" s="60">
        <f ca="1">VALUE(LEFT(C626))</f>
        <v>0</v>
      </c>
      <c r="O626" s="61">
        <f ca="1">INT(IF(N626&gt;0,1+MAX(N626*N626-(IF(D626="",TODAY()+(5-N626)*15,D626)-TODAY())/4,N626),IF(TODAY()-M626&gt;10,0,1)))</f>
        <v>0</v>
      </c>
      <c r="P626" s="1" t="str">
        <f ca="1">IF(ISNA(VLOOKUP(A626,Projects!B:B,1,FALSE)),"","Yes")</f>
        <v/>
      </c>
    </row>
    <row r="627" spans="1:16">
      <c r="A627" s="4" t="s">
        <v>1538</v>
      </c>
      <c r="B627" s="5" t="s">
        <v>11</v>
      </c>
      <c r="C627" s="7" t="s">
        <v>48</v>
      </c>
      <c r="F627" s="13" t="str">
        <f ca="1">VLOOKUP(LEFT(A627,IF(ISERROR(FIND(".",A627)),LEN(A627)+1,FIND(".",A627))-1),WorkList!A:C,3,FALSE)</f>
        <v>Trade Blotter</v>
      </c>
      <c r="G627" s="14" t="str">
        <f ca="1">VLOOKUP(CONCATENATE(A627),WorkList!A:C,3,FALSE)</f>
        <v>Fix (or remove) 'Bonds not in DB' report</v>
      </c>
      <c r="H627" s="13" t="str">
        <f ca="1">VLOOKUP(CONCATENATE(A627),WorkList!A:D,4,FALSE)</f>
        <v>Paresh</v>
      </c>
      <c r="I627" s="15">
        <f ca="1">VLOOKUP(CONCATENATE(A627),WorkList!A:E,5,FALSE)</f>
        <v>40443</v>
      </c>
      <c r="J627" s="49">
        <f ca="1">VLOOKUP(CONCATENATE(A627),WorkList!A:F,6,FALSE)</f>
        <v>1</v>
      </c>
      <c r="K627" s="49" t="str">
        <f ca="1">VLOOKUP(CONCATENATE(A627),WorkList!A:G,7,FALSE)</f>
        <v>Enhancement</v>
      </c>
      <c r="L627" s="7" t="s">
        <v>13</v>
      </c>
      <c r="M627" s="16">
        <v>40457</v>
      </c>
      <c r="N627" s="60">
        <f ca="1">VALUE(LEFT(C627))</f>
        <v>0</v>
      </c>
      <c r="O627" s="61">
        <f ca="1">INT(IF(N627&gt;0,1+MAX(N627*N627-(IF(D627="",TODAY()+(5-N627)*15,D627)-TODAY())/4,N627),IF(TODAY()-M627&gt;10,0,1)))</f>
        <v>0</v>
      </c>
      <c r="P627" s="1" t="str">
        <f ca="1">IF(ISNA(VLOOKUP(A627,Projects!B:B,1,FALSE)),"","Yes")</f>
        <v/>
      </c>
    </row>
    <row r="628" spans="1:16">
      <c r="A628" s="4" t="s">
        <v>1540</v>
      </c>
      <c r="B628" s="5" t="s">
        <v>1159</v>
      </c>
      <c r="C628" s="7" t="s">
        <v>48</v>
      </c>
      <c r="F628" s="13" t="str">
        <f ca="1">VLOOKUP(LEFT(A628,IF(ISERROR(FIND(".",A628)),LEN(A628)+1,FIND(".",A628))-1),WorkList!A:C,3,FALSE)</f>
        <v>Trade Blotter</v>
      </c>
      <c r="G628" s="14" t="str">
        <f ca="1">VLOOKUP(CONCATENATE(A628),WorkList!A:C,3,FALSE)</f>
        <v>Make existing three reports more flexible.</v>
      </c>
      <c r="H628" s="13" t="str">
        <f ca="1">VLOOKUP(CONCATENATE(A628),WorkList!A:D,4,FALSE)</f>
        <v>Neil</v>
      </c>
      <c r="I628" s="15">
        <f ca="1">VLOOKUP(CONCATENATE(A628),WorkList!A:E,5,FALSE)</f>
        <v>40443</v>
      </c>
      <c r="J628" s="49">
        <f ca="1">VLOOKUP(CONCATENATE(A628),WorkList!A:F,6,FALSE)</f>
        <v>2</v>
      </c>
      <c r="K628" s="49" t="str">
        <f ca="1">VLOOKUP(CONCATENATE(A628),WorkList!A:G,7,FALSE)</f>
        <v>Enhancement</v>
      </c>
      <c r="L628" s="7" t="s">
        <v>13</v>
      </c>
      <c r="M628" s="16">
        <v>40457</v>
      </c>
      <c r="N628" s="60">
        <f ca="1">VALUE(LEFT(C628))</f>
        <v>0</v>
      </c>
      <c r="O628" s="61">
        <f ca="1">INT(IF(N628&gt;0,1+MAX(N628*N628-(IF(D628="",TODAY()+(5-N628)*15,D628)-TODAY())/4,N628),IF(TODAY()-M628&gt;10,0,1)))</f>
        <v>0</v>
      </c>
      <c r="P628" s="1" t="str">
        <f ca="1">IF(ISNA(VLOOKUP(A628,Projects!B:B,1,FALSE)),"","Yes")</f>
        <v/>
      </c>
    </row>
    <row r="629" spans="1:16">
      <c r="A629" s="4" t="s">
        <v>1591</v>
      </c>
      <c r="B629" s="5" t="s">
        <v>1159</v>
      </c>
      <c r="C629" s="7" t="s">
        <v>48</v>
      </c>
      <c r="F629" s="13" t="str">
        <f ca="1">VLOOKUP(LEFT(A629,IF(ISERROR(FIND(".",A629)),LEN(A629)+1,FIND(".",A629))-1),WorkList!A:C,3,FALSE)</f>
        <v>Trade Blotter</v>
      </c>
      <c r="G629" s="14" t="str">
        <f ca="1">VLOOKUP(CONCATENATE(A629),WorkList!A:C,3,FALSE)</f>
        <v>Trade Blotter Release 5</v>
      </c>
      <c r="H629" s="13" t="str">
        <f ca="1">VLOOKUP(CONCATENATE(A629),WorkList!A:D,4,FALSE)</f>
        <v>Neil</v>
      </c>
      <c r="I629" s="15">
        <f ca="1">VLOOKUP(CONCATENATE(A629),WorkList!A:E,5,FALSE)</f>
        <v>40457</v>
      </c>
      <c r="J629" s="49">
        <f ca="1">VLOOKUP(CONCATENATE(A629),WorkList!A:F,6,FALSE)</f>
        <v>5</v>
      </c>
      <c r="K629" s="49" t="str">
        <f ca="1">VLOOKUP(CONCATENATE(A629),WorkList!A:G,7,FALSE)</f>
        <v>Enhancement</v>
      </c>
      <c r="L629" s="7" t="s">
        <v>13</v>
      </c>
      <c r="M629" s="16">
        <v>40477</v>
      </c>
      <c r="N629" s="60">
        <f ca="1">VALUE(LEFT(C629))</f>
        <v>0</v>
      </c>
      <c r="O629" s="61">
        <f ca="1">INT(IF(N629&gt;0,1+MAX(N629*N629-(IF(D629="",TODAY()+(5-N629)*15,D629)-TODAY())/4,N629),IF(TODAY()-M629&gt;10,0,1)))</f>
        <v>0</v>
      </c>
      <c r="P629" s="1" t="str">
        <f ca="1">IF(ISNA(VLOOKUP(A629,Projects!B:B,1,FALSE)),"","Yes")</f>
        <v/>
      </c>
    </row>
    <row r="630" spans="1:16">
      <c r="A630" s="4" t="s">
        <v>1653</v>
      </c>
      <c r="B630" s="5" t="s">
        <v>11</v>
      </c>
      <c r="C630" s="7" t="s">
        <v>48</v>
      </c>
      <c r="F630" s="13" t="str">
        <f ca="1">VLOOKUP(LEFT(A630,IF(ISERROR(FIND(".",A630)),LEN(A630)+1,FIND(".",A630))-1),WorkList!A:C,3,FALSE)</f>
        <v>Trade Blotter</v>
      </c>
      <c r="G630" s="14" t="str">
        <f ca="1">VLOOKUP(CONCATENATE(A630),WorkList!A:C,3,FALSE)</f>
        <v>Blotter: Add CoverPx functionality</v>
      </c>
      <c r="H630" s="13" t="str">
        <f ca="1">VLOOKUP(CONCATENATE(A630),WorkList!A:D,4,FALSE)</f>
        <v>Neil</v>
      </c>
      <c r="I630" s="15">
        <f ca="1">VLOOKUP(CONCATENATE(A630),WorkList!A:E,5,FALSE)</f>
        <v>40483</v>
      </c>
      <c r="J630" s="49">
        <f ca="1">VLOOKUP(CONCATENATE(A630),WorkList!A:F,6,FALSE)</f>
        <v>2</v>
      </c>
      <c r="K630" s="49" t="str">
        <f ca="1">VLOOKUP(CONCATENATE(A630),WorkList!A:G,7,FALSE)</f>
        <v>Enhancement</v>
      </c>
      <c r="L630" s="7" t="s">
        <v>13</v>
      </c>
      <c r="M630" s="16">
        <v>40483</v>
      </c>
      <c r="N630" s="60">
        <f ca="1">VALUE(LEFT(C630))</f>
        <v>0</v>
      </c>
      <c r="O630" s="61">
        <f ca="1">INT(IF(N630&gt;0,1+MAX(N630*N630-(IF(D630="",TODAY()+(5-N630)*15,D630)-TODAY())/4,N630),IF(TODAY()-M630&gt;10,0,1)))</f>
        <v>0</v>
      </c>
      <c r="P630" s="1" t="str">
        <f ca="1">IF(ISNA(VLOOKUP(A630,Projects!B:B,1,FALSE)),"","Yes")</f>
        <v>Yes</v>
      </c>
    </row>
    <row r="631" spans="1:16">
      <c r="A631" s="4" t="s">
        <v>682</v>
      </c>
      <c r="B631" s="5" t="s">
        <v>37</v>
      </c>
      <c r="C631" s="6" t="s">
        <v>48</v>
      </c>
      <c r="D631" s="11"/>
      <c r="F631" s="13" t="str">
        <f ca="1">VLOOKUP(LEFT(A631,IF(ISERROR(FIND(".",A631)),LEN(A631)+1,FIND(".",A631))-1),WorkList!A:C,3,FALSE)</f>
        <v>Trade Blotter</v>
      </c>
      <c r="G631" s="14" t="str">
        <f ca="1">VLOOKUP(CONCATENATE(A631),WorkList!A:C,3,FALSE)</f>
        <v>Implement data cleaner</v>
      </c>
      <c r="H631" s="13" t="str">
        <f ca="1">VLOOKUP(CONCATENATE(A631),WorkList!A:D,4,FALSE)</f>
        <v>Neil</v>
      </c>
      <c r="I631" s="15">
        <f ca="1">VLOOKUP(CONCATENATE(A631),WorkList!A:E,5,FALSE)</f>
        <v>40133</v>
      </c>
      <c r="J631" s="49">
        <f ca="1">VLOOKUP(CONCATENATE(A631),WorkList!A:F,6,FALSE)</f>
        <v>5</v>
      </c>
      <c r="K631" s="49">
        <f ca="1">VLOOKUP(CONCATENATE(A631),WorkList!A:G,7,FALSE)</f>
        <v>0</v>
      </c>
      <c r="L631" s="7" t="s">
        <v>13</v>
      </c>
      <c r="M631" s="16">
        <v>40232</v>
      </c>
      <c r="N631" s="60">
        <f ca="1">VALUE(LEFT(C631))</f>
        <v>0</v>
      </c>
      <c r="O631" s="61">
        <f ca="1">INT(IF(N631&gt;0,1+MAX(N631*N631-(IF(D631="",TODAY()+(5-N631)*15,D631)-TODAY())/4,N631),IF(TODAY()-M631&gt;10,0,1)))</f>
        <v>0</v>
      </c>
      <c r="P631" s="1" t="str">
        <f ca="1">IF(ISNA(VLOOKUP(A631,Projects!B:B,1,FALSE)),"","Yes")</f>
        <v/>
      </c>
    </row>
    <row r="632" spans="1:16">
      <c r="A632" s="4" t="s">
        <v>697</v>
      </c>
      <c r="B632" s="5" t="s">
        <v>37</v>
      </c>
      <c r="C632" s="6" t="s">
        <v>48</v>
      </c>
      <c r="D632" s="11"/>
      <c r="F632" s="13" t="str">
        <f ca="1">VLOOKUP(LEFT(A632,IF(ISERROR(FIND(".",A632)),LEN(A632)+1,FIND(".",A632))-1),WorkList!A:C,3,FALSE)</f>
        <v>Trade Blotter</v>
      </c>
      <c r="G632" s="14" t="str">
        <f ca="1">VLOOKUP(CONCATENATE(A632),WorkList!A:C,3,FALSE)</f>
        <v>Implement blotter prototype</v>
      </c>
      <c r="H632" s="13" t="str">
        <f ca="1">VLOOKUP(CONCATENATE(A632),WorkList!A:D,4,FALSE)</f>
        <v>David</v>
      </c>
      <c r="I632" s="15">
        <f ca="1">VLOOKUP(CONCATENATE(A632),WorkList!A:E,5,FALSE)</f>
        <v>40150</v>
      </c>
      <c r="J632" s="49">
        <f ca="1">VLOOKUP(CONCATENATE(A632),WorkList!A:F,6,FALSE)</f>
        <v>15</v>
      </c>
      <c r="K632" s="49">
        <f ca="1">VLOOKUP(CONCATENATE(A632),WorkList!A:G,7,FALSE)</f>
        <v>0</v>
      </c>
      <c r="L632" s="7" t="s">
        <v>13</v>
      </c>
      <c r="M632" s="16">
        <v>40232</v>
      </c>
      <c r="N632" s="60">
        <f ca="1">VALUE(LEFT(C632))</f>
        <v>0</v>
      </c>
      <c r="O632" s="61">
        <f ca="1">INT(IF(N632&gt;0,1+MAX(N632*N632-(IF(D632="",TODAY()+(5-N632)*15,D632)-TODAY())/4,N632),IF(TODAY()-M632&gt;10,0,1)))</f>
        <v>0</v>
      </c>
      <c r="P632" s="1" t="str">
        <f ca="1">IF(ISNA(VLOOKUP(A632,Projects!B:B,1,FALSE)),"","Yes")</f>
        <v/>
      </c>
    </row>
    <row r="633" spans="1:16">
      <c r="A633" s="4" t="s">
        <v>763</v>
      </c>
      <c r="B633" s="5" t="s">
        <v>37</v>
      </c>
      <c r="C633" s="6" t="s">
        <v>48</v>
      </c>
      <c r="D633" s="11"/>
      <c r="F633" s="13" t="str">
        <f ca="1">VLOOKUP(LEFT(A633,IF(ISERROR(FIND(".",A633)),LEN(A633)+1,FIND(".",A633))-1),WorkList!A:C,3,FALSE)</f>
        <v>Trade Blotter</v>
      </c>
      <c r="G633" s="14" t="str">
        <f ca="1">VLOOKUP(CONCATENATE(A633),WorkList!A:C,3,FALSE)</f>
        <v>Make first release of blotter for research review</v>
      </c>
      <c r="H633" s="13" t="str">
        <f ca="1">VLOOKUP(CONCATENATE(A633),WorkList!A:D,4,FALSE)</f>
        <v>David</v>
      </c>
      <c r="I633" s="15">
        <f ca="1">VLOOKUP(CONCATENATE(A633),WorkList!A:E,5,FALSE)</f>
        <v>40163</v>
      </c>
      <c r="J633" s="49">
        <f ca="1">VLOOKUP(CONCATENATE(A633),WorkList!A:F,6,FALSE)</f>
        <v>10</v>
      </c>
      <c r="K633" s="49">
        <f ca="1">VLOOKUP(CONCATENATE(A633),WorkList!A:G,7,FALSE)</f>
        <v>0</v>
      </c>
      <c r="L633" s="7" t="s">
        <v>13</v>
      </c>
      <c r="M633" s="16">
        <v>40232</v>
      </c>
      <c r="N633" s="60">
        <f ca="1">VALUE(LEFT(C633))</f>
        <v>0</v>
      </c>
      <c r="O633" s="61">
        <f ca="1">INT(IF(N633&gt;0,1+MAX(N633*N633-(IF(D633="",TODAY()+(5-N633)*15,D633)-TODAY())/4,N633),IF(TODAY()-M633&gt;10,0,1)))</f>
        <v>0</v>
      </c>
      <c r="P633" s="1" t="str">
        <f ca="1">IF(ISNA(VLOOKUP(A633,Projects!B:B,1,FALSE)),"","Yes")</f>
        <v/>
      </c>
    </row>
    <row r="634" spans="1:16">
      <c r="A634" s="4" t="s">
        <v>765</v>
      </c>
      <c r="B634" s="5" t="s">
        <v>37</v>
      </c>
      <c r="C634" s="6" t="s">
        <v>48</v>
      </c>
      <c r="D634" s="11"/>
      <c r="F634" s="13" t="str">
        <f ca="1">VLOOKUP(LEFT(A634,IF(ISERROR(FIND(".",A634)),LEN(A634)+1,FIND(".",A634))-1),WorkList!A:C,3,FALSE)</f>
        <v>Trade Blotter</v>
      </c>
      <c r="G634" s="14" t="str">
        <f ca="1">VLOOKUP(CONCATENATE(A634),WorkList!A:C,3,FALSE)</f>
        <v>Make first release to traders</v>
      </c>
      <c r="H634" s="13" t="str">
        <f ca="1">VLOOKUP(CONCATENATE(A634),WorkList!A:D,4,FALSE)</f>
        <v>David</v>
      </c>
      <c r="I634" s="15">
        <f ca="1">VLOOKUP(CONCATENATE(A634),WorkList!A:E,5,FALSE)</f>
        <v>40150</v>
      </c>
      <c r="J634" s="49">
        <f ca="1">VLOOKUP(CONCATENATE(A634),WorkList!A:F,6,FALSE)</f>
        <v>10</v>
      </c>
      <c r="K634" s="49">
        <f ca="1">VLOOKUP(CONCATENATE(A634),WorkList!A:G,7,FALSE)</f>
        <v>0</v>
      </c>
      <c r="L634" s="7" t="s">
        <v>13</v>
      </c>
      <c r="M634" s="16">
        <v>40232</v>
      </c>
      <c r="N634" s="60">
        <f ca="1">VALUE(LEFT(C634))</f>
        <v>0</v>
      </c>
      <c r="O634" s="61">
        <f ca="1">INT(IF(N634&gt;0,1+MAX(N634*N634-(IF(D634="",TODAY()+(5-N634)*15,D634)-TODAY())/4,N634),IF(TODAY()-M634&gt;10,0,1)))</f>
        <v>0</v>
      </c>
      <c r="P634" s="1" t="str">
        <f ca="1">IF(ISNA(VLOOKUP(A634,Projects!B:B,1,FALSE)),"","Yes")</f>
        <v/>
      </c>
    </row>
    <row r="635" spans="1:16">
      <c r="A635" s="4" t="s">
        <v>927</v>
      </c>
      <c r="B635" s="5" t="s">
        <v>1159</v>
      </c>
      <c r="C635" s="7" t="s">
        <v>12</v>
      </c>
      <c r="D635" s="11"/>
      <c r="F635" s="13" t="str">
        <f ca="1">VLOOKUP(LEFT(A635,IF(ISERROR(FIND(".",A635)),LEN(A635)+1,FIND(".",A635))-1),WorkList!A:C,3,FALSE)</f>
        <v>Trade Blotter</v>
      </c>
      <c r="G635" s="14" t="str">
        <f ca="1">VLOOKUP(CONCATENATE(A635),WorkList!A:C,3,FALSE)</f>
        <v>Need to use triggers to keep a back up of all data</v>
      </c>
      <c r="H635" s="13" t="str">
        <f ca="1">VLOOKUP(CONCATENATE(A635),WorkList!A:D,4,FALSE)</f>
        <v>Pramendra</v>
      </c>
      <c r="I635" s="15">
        <f ca="1">VLOOKUP(CONCATENATE(A635),WorkList!A:E,5,FALSE)</f>
        <v>40233</v>
      </c>
      <c r="J635" s="49">
        <f ca="1">VLOOKUP(CONCATENATE(A635),WorkList!A:F,6,FALSE)</f>
        <v>2</v>
      </c>
      <c r="K635" s="49" t="str">
        <f ca="1">VLOOKUP(CONCATENATE(A635),WorkList!A:G,7,FALSE)</f>
        <v>NewDevelopment</v>
      </c>
      <c r="L635" s="7" t="s">
        <v>7</v>
      </c>
      <c r="M635" s="16">
        <v>40553</v>
      </c>
      <c r="N635" s="60">
        <f ca="1">VALUE(LEFT(C635))</f>
        <v>4</v>
      </c>
      <c r="O635" s="61">
        <f ca="1">INT(IF(N635&gt;0,1+MAX(N635*N635-(IF(D635="",TODAY()+(5-N635)*15,D635)-TODAY())/4,N635),IF(TODAY()-M635&gt;10,0,1)))</f>
        <v>13</v>
      </c>
      <c r="P635" s="1" t="str">
        <f ca="1">IF(ISNA(VLOOKUP(A635,Projects!B:B,1,FALSE)),"","Yes")</f>
        <v/>
      </c>
    </row>
    <row r="636" spans="1:16">
      <c r="A636" s="4" t="s">
        <v>1251</v>
      </c>
      <c r="B636" s="5" t="s">
        <v>919</v>
      </c>
      <c r="C636" s="7" t="s">
        <v>48</v>
      </c>
      <c r="D636" s="7">
        <v>40353</v>
      </c>
      <c r="F636" s="13" t="str">
        <f ca="1">VLOOKUP(LEFT(A636,IF(ISERROR(FIND(".",A636)),LEN(A636)+1,FIND(".",A636))-1),WorkList!A:C,3,FALSE)</f>
        <v>Trade Blotter</v>
      </c>
      <c r="G636" s="14" t="str">
        <f ca="1">VLOOKUP(CONCATENATE(A636),WorkList!A:C,3,FALSE)</f>
        <v>TradeBlotter3: Agree items to include in release</v>
      </c>
      <c r="H636" s="13" t="str">
        <f ca="1">VLOOKUP(CONCATENATE(A636),WorkList!A:D,4,FALSE)</f>
        <v>Neil</v>
      </c>
      <c r="I636" s="15">
        <f ca="1">VLOOKUP(CONCATENATE(A636),WorkList!A:E,5,FALSE)</f>
        <v>40353</v>
      </c>
      <c r="J636" s="49">
        <f ca="1">VLOOKUP(CONCATENATE(A636),WorkList!A:F,6,FALSE)</f>
        <v>0.5</v>
      </c>
      <c r="K636" s="49" t="str">
        <f ca="1">VLOOKUP(CONCATENATE(A636),WorkList!A:G,7,FALSE)</f>
        <v>NewDevelopment</v>
      </c>
      <c r="L636" s="7" t="s">
        <v>13</v>
      </c>
      <c r="M636" s="16">
        <v>40353</v>
      </c>
      <c r="N636" s="60">
        <f ca="1">VALUE(LEFT(C636))</f>
        <v>0</v>
      </c>
      <c r="O636" s="61">
        <f ca="1">INT(IF(N636&gt;0,1+MAX(N636*N636-(IF(D636="",TODAY()+(5-N636)*15,D636)-TODAY())/4,N636),IF(TODAY()-M636&gt;10,0,1)))</f>
        <v>0</v>
      </c>
      <c r="P636" s="1" t="str">
        <f ca="1">IF(ISNA(VLOOKUP(A636,Projects!B:B,1,FALSE)),"","Yes")</f>
        <v>Yes</v>
      </c>
    </row>
    <row r="637" spans="1:16">
      <c r="A637" s="4" t="s">
        <v>1253</v>
      </c>
      <c r="B637" s="5" t="s">
        <v>919</v>
      </c>
      <c r="C637" s="4" t="s">
        <v>48</v>
      </c>
      <c r="D637" s="7">
        <v>40361</v>
      </c>
      <c r="F637" s="13" t="str">
        <f ca="1">VLOOKUP(LEFT(A637,IF(ISERROR(FIND(".",A637)),LEN(A637)+1,FIND(".",A637))-1),WorkList!A:C,3,FALSE)</f>
        <v>Trade Blotter</v>
      </c>
      <c r="G637" s="14" t="str">
        <f ca="1">VLOOKUP(CONCATENATE(A637),WorkList!A:C,3,FALSE)</f>
        <v>TradeBlotter3: Implement changes</v>
      </c>
      <c r="H637" s="13" t="str">
        <f ca="1">VLOOKUP(CONCATENATE(A637),WorkList!A:D,4,FALSE)</f>
        <v>Neil</v>
      </c>
      <c r="I637" s="15">
        <f ca="1">VLOOKUP(CONCATENATE(A637),WorkList!A:E,5,FALSE)</f>
        <v>40353</v>
      </c>
      <c r="J637" s="49">
        <f ca="1">VLOOKUP(CONCATENATE(A637),WorkList!A:F,6,FALSE)</f>
        <v>6</v>
      </c>
      <c r="K637" s="49" t="str">
        <f ca="1">VLOOKUP(CONCATENATE(A637),WorkList!A:G,7,FALSE)</f>
        <v>NewDevelopment</v>
      </c>
      <c r="L637" s="7" t="s">
        <v>13</v>
      </c>
      <c r="M637" s="16">
        <v>40373</v>
      </c>
      <c r="N637" s="60">
        <f ca="1">VALUE(LEFT(C637))</f>
        <v>0</v>
      </c>
      <c r="O637" s="61">
        <f ca="1">INT(IF(N637&gt;0,1+MAX(N637*N637-(IF(D637="",TODAY()+(5-N637)*15,D637)-TODAY())/4,N637),IF(TODAY()-M637&gt;10,0,1)))</f>
        <v>0</v>
      </c>
      <c r="P637" s="1" t="str">
        <f ca="1">IF(ISNA(VLOOKUP(A637,Projects!B:B,1,FALSE)),"","Yes")</f>
        <v>Yes</v>
      </c>
    </row>
    <row r="638" spans="1:16">
      <c r="A638" s="4" t="s">
        <v>1254</v>
      </c>
      <c r="B638" s="5" t="s">
        <v>919</v>
      </c>
      <c r="C638" s="4" t="s">
        <v>48</v>
      </c>
      <c r="D638" s="7">
        <v>40364</v>
      </c>
      <c r="F638" s="13" t="str">
        <f ca="1">VLOOKUP(LEFT(A638,IF(ISERROR(FIND(".",A638)),LEN(A638)+1,FIND(".",A638))-1),WorkList!A:C,3,FALSE)</f>
        <v>Trade Blotter</v>
      </c>
      <c r="G638" s="14" t="str">
        <f ca="1">VLOOKUP(CONCATENATE(A638),WorkList!A:C,3,FALSE)</f>
        <v>TradeBlotter3: Test changes</v>
      </c>
      <c r="H638" s="13" t="str">
        <f ca="1">VLOOKUP(CONCATENATE(A638),WorkList!A:D,4,FALSE)</f>
        <v>Neil</v>
      </c>
      <c r="I638" s="15">
        <f ca="1">VLOOKUP(CONCATENATE(A638),WorkList!A:E,5,FALSE)</f>
        <v>40353</v>
      </c>
      <c r="J638" s="49">
        <f ca="1">VLOOKUP(CONCATENATE(A638),WorkList!A:F,6,FALSE)</f>
        <v>0.5</v>
      </c>
      <c r="K638" s="49" t="str">
        <f ca="1">VLOOKUP(CONCATENATE(A638),WorkList!A:G,7,FALSE)</f>
        <v>NewDevelopment</v>
      </c>
      <c r="L638" s="7" t="s">
        <v>13</v>
      </c>
      <c r="M638" s="16">
        <v>40373</v>
      </c>
      <c r="N638" s="60">
        <f ca="1">VALUE(LEFT(C638))</f>
        <v>0</v>
      </c>
      <c r="O638" s="61">
        <f ca="1">INT(IF(N638&gt;0,1+MAX(N638*N638-(IF(D638="",TODAY()+(5-N638)*15,D638)-TODAY())/4,N638),IF(TODAY()-M638&gt;10,0,1)))</f>
        <v>0</v>
      </c>
      <c r="P638" s="1" t="str">
        <f ca="1">IF(ISNA(VLOOKUP(A638,Projects!B:B,1,FALSE)),"","Yes")</f>
        <v>Yes</v>
      </c>
    </row>
    <row r="639" spans="1:16">
      <c r="A639" s="4" t="s">
        <v>1260</v>
      </c>
      <c r="B639" s="5" t="s">
        <v>919</v>
      </c>
      <c r="C639" s="4" t="s">
        <v>48</v>
      </c>
      <c r="D639" s="7">
        <v>40366</v>
      </c>
      <c r="F639" s="13" t="str">
        <f ca="1">VLOOKUP(LEFT(A639,IF(ISERROR(FIND(".",A639)),LEN(A639)+1,FIND(".",A639))-1),WorkList!A:C,3,FALSE)</f>
        <v>Trade Blotter</v>
      </c>
      <c r="G639" s="14" t="str">
        <f ca="1">VLOOKUP(CONCATENATE(A639),WorkList!A:C,3,FALSE)</f>
        <v>TradeBlotter3: Review changes</v>
      </c>
      <c r="H639" s="13" t="str">
        <f ca="1">VLOOKUP(CONCATENATE(A639),WorkList!A:D,4,FALSE)</f>
        <v>Neil</v>
      </c>
      <c r="I639" s="15">
        <f ca="1">VLOOKUP(CONCATENATE(A639),WorkList!A:E,5,FALSE)</f>
        <v>40353</v>
      </c>
      <c r="J639" s="49">
        <f ca="1">VLOOKUP(CONCATENATE(A639),WorkList!A:F,6,FALSE)</f>
        <v>0.5</v>
      </c>
      <c r="K639" s="49" t="str">
        <f ca="1">VLOOKUP(CONCATENATE(A639),WorkList!A:G,7,FALSE)</f>
        <v>NewDevelopment</v>
      </c>
      <c r="L639" s="7" t="s">
        <v>13</v>
      </c>
      <c r="M639" s="16">
        <v>40373</v>
      </c>
      <c r="N639" s="60">
        <f ca="1">VALUE(LEFT(C639))</f>
        <v>0</v>
      </c>
      <c r="O639" s="61">
        <f ca="1">INT(IF(N639&gt;0,1+MAX(N639*N639-(IF(D639="",TODAY()+(5-N639)*15,D639)-TODAY())/4,N639),IF(TODAY()-M639&gt;10,0,1)))</f>
        <v>0</v>
      </c>
      <c r="P639" s="1" t="str">
        <f ca="1">IF(ISNA(VLOOKUP(A639,Projects!B:B,1,FALSE)),"","Yes")</f>
        <v>Yes</v>
      </c>
    </row>
    <row r="640" spans="1:16">
      <c r="A640" s="4" t="s">
        <v>1262</v>
      </c>
      <c r="B640" s="5" t="s">
        <v>919</v>
      </c>
      <c r="C640" s="6" t="s">
        <v>48</v>
      </c>
      <c r="D640" s="7">
        <v>40372</v>
      </c>
      <c r="F640" s="13" t="str">
        <f ca="1">VLOOKUP(LEFT(A640,IF(ISERROR(FIND(".",A640)),LEN(A640)+1,FIND(".",A640))-1),WorkList!A:C,3,FALSE)</f>
        <v>Trade Blotter</v>
      </c>
      <c r="G640" s="14" t="str">
        <f ca="1">VLOOKUP(CONCATENATE(A640),WorkList!A:C,3,FALSE)</f>
        <v>TradeBlotter3: Final changes and testing</v>
      </c>
      <c r="H640" s="13" t="str">
        <f ca="1">VLOOKUP(CONCATENATE(A640),WorkList!A:D,4,FALSE)</f>
        <v>Neil</v>
      </c>
      <c r="I640" s="15">
        <f ca="1">VLOOKUP(CONCATENATE(A640),WorkList!A:E,5,FALSE)</f>
        <v>40353</v>
      </c>
      <c r="J640" s="49">
        <f ca="1">VLOOKUP(CONCATENATE(A640),WorkList!A:F,6,FALSE)</f>
        <v>2</v>
      </c>
      <c r="K640" s="49" t="str">
        <f ca="1">VLOOKUP(CONCATENATE(A640),WorkList!A:G,7,FALSE)</f>
        <v>NewDevelopment</v>
      </c>
      <c r="L640" s="7" t="s">
        <v>13</v>
      </c>
      <c r="M640" s="16">
        <v>40375</v>
      </c>
      <c r="N640" s="60">
        <f ca="1">VALUE(LEFT(C640))</f>
        <v>0</v>
      </c>
      <c r="O640" s="61">
        <f ca="1">INT(IF(N640&gt;0,1+MAX(N640*N640-(IF(D640="",TODAY()+(5-N640)*15,D640)-TODAY())/4,N640),IF(TODAY()-M640&gt;10,0,1)))</f>
        <v>0</v>
      </c>
      <c r="P640" s="1" t="str">
        <f ca="1">IF(ISNA(VLOOKUP(A640,Projects!B:B,1,FALSE)),"","Yes")</f>
        <v>Yes</v>
      </c>
    </row>
    <row r="641" spans="1:16">
      <c r="A641" s="4" t="s">
        <v>1261</v>
      </c>
      <c r="B641" s="5" t="s">
        <v>919</v>
      </c>
      <c r="C641" s="6" t="s">
        <v>48</v>
      </c>
      <c r="D641" s="7">
        <v>40374</v>
      </c>
      <c r="F641" s="13" t="str">
        <f ca="1">VLOOKUP(LEFT(A641,IF(ISERROR(FIND(".",A641)),LEN(A641)+1,FIND(".",A641))-1),WorkList!A:C,3,FALSE)</f>
        <v>Trade Blotter</v>
      </c>
      <c r="G641" s="14" t="str">
        <f ca="1">VLOOKUP(CONCATENATE(A641),WorkList!A:C,3,FALSE)</f>
        <v>TradeBlotter3: Make release</v>
      </c>
      <c r="H641" s="13" t="str">
        <f ca="1">VLOOKUP(CONCATENATE(A641),WorkList!A:D,4,FALSE)</f>
        <v>Neil</v>
      </c>
      <c r="I641" s="15">
        <f ca="1">VLOOKUP(CONCATENATE(A641),WorkList!A:E,5,FALSE)</f>
        <v>40353</v>
      </c>
      <c r="J641" s="49">
        <f ca="1">VLOOKUP(CONCATENATE(A641),WorkList!A:F,6,FALSE)</f>
        <v>1</v>
      </c>
      <c r="K641" s="49" t="str">
        <f ca="1">VLOOKUP(CONCATENATE(A641),WorkList!A:G,7,FALSE)</f>
        <v>NewDevelopment</v>
      </c>
      <c r="L641" s="7" t="s">
        <v>13</v>
      </c>
      <c r="M641" s="16">
        <v>40375</v>
      </c>
      <c r="N641" s="60">
        <f ca="1">VALUE(LEFT(C641))</f>
        <v>0</v>
      </c>
      <c r="O641" s="61">
        <f ca="1">INT(IF(N641&gt;0,1+MAX(N641*N641-(IF(D641="",TODAY()+(5-N641)*15,D641)-TODAY())/4,N641),IF(TODAY()-M641&gt;10,0,1)))</f>
        <v>0</v>
      </c>
      <c r="P641" s="1" t="str">
        <f ca="1">IF(ISNA(VLOOKUP(A641,Projects!B:B,1,FALSE)),"","Yes")</f>
        <v>Yes</v>
      </c>
    </row>
    <row r="642" spans="1:16">
      <c r="A642" s="4" t="s">
        <v>1003</v>
      </c>
      <c r="B642" s="5" t="s">
        <v>21</v>
      </c>
      <c r="C642" s="6" t="s">
        <v>38</v>
      </c>
      <c r="D642" s="11"/>
      <c r="F642" s="13" t="str">
        <f ca="1">VLOOKUP(LEFT(A642,IF(ISERROR(FIND(".",A642)),LEN(A642)+1,FIND(".",A642))-1),WorkList!A:C,3,FALSE)</f>
        <v>Trade Blotter</v>
      </c>
      <c r="G642" s="14" t="str">
        <f ca="1">VLOOKUP(CONCATENATE(A642),WorkList!A:C,3,FALSE)</f>
        <v>Back load old Lehman Blotter Trades</v>
      </c>
      <c r="H642" s="13" t="str">
        <f ca="1">VLOOKUP(CONCATENATE(A642),WorkList!A:D,4,FALSE)</f>
        <v>Shubh</v>
      </c>
      <c r="I642" s="15">
        <f ca="1">VLOOKUP(CONCATENATE(A642),WorkList!A:E,5,FALSE)</f>
        <v>40253</v>
      </c>
      <c r="J642" s="49">
        <f ca="1">VLOOKUP(CONCATENATE(A642),WorkList!A:F,6,FALSE)</f>
        <v>5</v>
      </c>
      <c r="K642" s="49" t="str">
        <f ca="1">VLOOKUP(CONCATENATE(A642),WorkList!A:G,7,FALSE)</f>
        <v>Other</v>
      </c>
      <c r="L642" s="7" t="s">
        <v>7</v>
      </c>
      <c r="M642" s="16">
        <v>40253</v>
      </c>
      <c r="N642" s="60">
        <f ca="1">VALUE(LEFT(C642))</f>
        <v>2</v>
      </c>
      <c r="O642" s="61">
        <f ca="1">INT(IF(N642&gt;0,1+MAX(N642*N642-(IF(D642="",TODAY()+(5-N642)*15,D642)-TODAY())/4,N642),IF(TODAY()-M642&gt;10,0,1)))</f>
        <v>3</v>
      </c>
      <c r="P642" s="1" t="str">
        <f ca="1">IF(ISNA(VLOOKUP(A642,Projects!B:B,1,FALSE)),"","Yes")</f>
        <v/>
      </c>
    </row>
    <row r="643" spans="1:16">
      <c r="A643" s="4" t="s">
        <v>1103</v>
      </c>
      <c r="B643" s="5" t="s">
        <v>1159</v>
      </c>
      <c r="C643" s="7" t="s">
        <v>12</v>
      </c>
      <c r="D643" s="11"/>
      <c r="F643" s="13" t="str">
        <f ca="1">VLOOKUP(LEFT(A643,IF(ISERROR(FIND(".",A643)),LEN(A643)+1,FIND(".",A643))-1),WorkList!A:C,3,FALSE)</f>
        <v>Trade Blotter</v>
      </c>
      <c r="G643" s="14" t="str">
        <f ca="1">VLOOKUP(CONCATENATE(A643),WorkList!A:C,3,FALSE)</f>
        <v>Make C# application to keep trade blottter data tidy</v>
      </c>
      <c r="H643" s="13" t="str">
        <f ca="1">VLOOKUP(CONCATENATE(A643),WorkList!A:D,4,FALSE)</f>
        <v>Neil</v>
      </c>
      <c r="I643" s="15">
        <f ca="1">VLOOKUP(CONCATENATE(A643),WorkList!A:E,5,FALSE)</f>
        <v>40294</v>
      </c>
      <c r="J643" s="49">
        <f ca="1">VLOOKUP(CONCATENATE(A643),WorkList!A:F,6,FALSE)</f>
        <v>1</v>
      </c>
      <c r="L643" s="7" t="s">
        <v>5</v>
      </c>
      <c r="M643" s="16">
        <v>40567</v>
      </c>
      <c r="N643" s="60">
        <f ca="1">VALUE(LEFT(C643))</f>
        <v>4</v>
      </c>
      <c r="O643" s="61">
        <f ca="1">INT(IF(N643&gt;0,1+MAX(N643*N643-(IF(D643="",TODAY()+(5-N643)*15,D643)-TODAY())/4,N643),IF(TODAY()-M643&gt;10,0,1)))</f>
        <v>13</v>
      </c>
      <c r="P643" s="1" t="str">
        <f ca="1">IF(ISNA(VLOOKUP(A643,Projects!B:B,1,FALSE)),"","Yes")</f>
        <v/>
      </c>
    </row>
    <row r="644" spans="1:16">
      <c r="A644" s="4" t="s">
        <v>1856</v>
      </c>
      <c r="B644" s="5" t="s">
        <v>11</v>
      </c>
      <c r="C644" s="6" t="s">
        <v>48</v>
      </c>
      <c r="D644" s="11"/>
      <c r="F644" s="13" t="str">
        <f ca="1">VLOOKUP(LEFT(A644,IF(ISERROR(FIND(".",A644)),LEN(A644)+1,FIND(".",A644))-1),WorkList!A:C,3,FALSE)</f>
        <v>Roll Rate Analyser</v>
      </c>
      <c r="G644" s="14" t="str">
        <f ca="1">VLOOKUP(CONCATENATE(A644),WorkList!A:C,3,FALSE)</f>
        <v>Add CPR and CDR to predictions.</v>
      </c>
      <c r="H644" s="13" t="str">
        <f ca="1">VLOOKUP(CONCATENATE(A644),WorkList!A:D,4,FALSE)</f>
        <v>David Covey</v>
      </c>
      <c r="I644" s="15">
        <f ca="1">VLOOKUP(CONCATENATE(A644),WorkList!A:E,5,FALSE)</f>
        <v>39947</v>
      </c>
      <c r="J644" s="49">
        <f ca="1">VLOOKUP(CONCATENATE(A644),WorkList!A:F,6,FALSE)</f>
        <v>0</v>
      </c>
      <c r="K644" s="49">
        <f ca="1">VLOOKUP(CONCATENATE(A644),WorkList!A:G,7,FALSE)</f>
        <v>0</v>
      </c>
      <c r="L644" s="7" t="s">
        <v>13</v>
      </c>
      <c r="M644" s="16">
        <v>39994</v>
      </c>
      <c r="N644" s="60">
        <f ca="1">VALUE(LEFT(C644))</f>
        <v>0</v>
      </c>
      <c r="O644" s="61">
        <f ca="1">INT(IF(N644&gt;0,1+MAX(N644*N644-(IF(D644="",TODAY()+(5-N644)*15,D644)-TODAY())/4,N644),IF(TODAY()-M644&gt;10,0,1)))</f>
        <v>0</v>
      </c>
      <c r="P644" s="1" t="str">
        <f ca="1">IF(ISNA(VLOOKUP(A644,Projects!B:B,1,FALSE)),"","Yes")</f>
        <v/>
      </c>
    </row>
    <row r="645" spans="1:16">
      <c r="A645" s="4" t="s">
        <v>1855</v>
      </c>
      <c r="B645" s="5" t="s">
        <v>11</v>
      </c>
      <c r="C645" s="6" t="s">
        <v>48</v>
      </c>
      <c r="D645" s="11"/>
      <c r="F645" s="13" t="str">
        <f ca="1">VLOOKUP(LEFT(A645,IF(ISERROR(FIND(".",A645)),LEN(A645)+1,FIND(".",A645))-1),WorkList!A:C,3,FALSE)</f>
        <v>Roll Rate Analyser</v>
      </c>
      <c r="G645" s="14" t="str">
        <f ca="1">VLOOKUP(CONCATENATE(A645),WorkList!A:C,3,FALSE)</f>
        <v>In 'Extrapolate', highlight if any 'current' values are zero.</v>
      </c>
      <c r="H645" s="13" t="str">
        <f ca="1">VLOOKUP(CONCATENATE(A645),WorkList!A:D,4,FALSE)</f>
        <v>Friedel</v>
      </c>
      <c r="I645" s="15">
        <f ca="1">VLOOKUP(CONCATENATE(A645),WorkList!A:E,5,FALSE)</f>
        <v>39948</v>
      </c>
      <c r="J645" s="49">
        <f ca="1">VLOOKUP(CONCATENATE(A645),WorkList!A:F,6,FALSE)</f>
        <v>0</v>
      </c>
      <c r="K645" s="49">
        <f ca="1">VLOOKUP(CONCATENATE(A645),WorkList!A:G,7,FALSE)</f>
        <v>0</v>
      </c>
      <c r="L645" s="7" t="s">
        <v>13</v>
      </c>
      <c r="M645" s="16">
        <v>39983</v>
      </c>
      <c r="N645" s="60">
        <f ca="1">VALUE(LEFT(C645))</f>
        <v>0</v>
      </c>
      <c r="O645" s="61">
        <f ca="1">INT(IF(N645&gt;0,1+MAX(N645*N645-(IF(D645="",TODAY()+(5-N645)*15,D645)-TODAY())/4,N645),IF(TODAY()-M645&gt;10,0,1)))</f>
        <v>0</v>
      </c>
      <c r="P645" s="1" t="str">
        <f ca="1">IF(ISNA(VLOOKUP(A645,Projects!B:B,1,FALSE)),"","Yes")</f>
        <v/>
      </c>
    </row>
    <row r="646" spans="1:16">
      <c r="A646" s="4" t="s">
        <v>1854</v>
      </c>
      <c r="B646" s="5" t="s">
        <v>11</v>
      </c>
      <c r="C646" s="6" t="s">
        <v>48</v>
      </c>
      <c r="D646" s="11"/>
      <c r="F646" s="13" t="str">
        <f ca="1">VLOOKUP(LEFT(A646,IF(ISERROR(FIND(".",A646)),LEN(A646)+1,FIND(".",A646))-1),WorkList!A:C,3,FALSE)</f>
        <v>Roll Rate Analyser</v>
      </c>
      <c r="G646" s="14" t="str">
        <f ca="1">VLOOKUP(CONCATENATE(A646),WorkList!A:C,3,FALSE)</f>
        <v>In 'Extrapolate', allow the 'Roll Rate' to be  edited.</v>
      </c>
      <c r="H646" s="13" t="str">
        <f ca="1">VLOOKUP(CONCATENATE(A646),WorkList!A:D,4,FALSE)</f>
        <v>Friedel</v>
      </c>
      <c r="I646" s="15">
        <f ca="1">VLOOKUP(CONCATENATE(A646),WorkList!A:E,5,FALSE)</f>
        <v>39948</v>
      </c>
      <c r="J646" s="49">
        <f ca="1">VLOOKUP(CONCATENATE(A646),WorkList!A:F,6,FALSE)</f>
        <v>0</v>
      </c>
      <c r="K646" s="49">
        <f ca="1">VLOOKUP(CONCATENATE(A646),WorkList!A:G,7,FALSE)</f>
        <v>0</v>
      </c>
      <c r="L646" s="7" t="s">
        <v>13</v>
      </c>
      <c r="M646" s="16">
        <v>39983</v>
      </c>
      <c r="N646" s="60">
        <f ca="1">VALUE(LEFT(C646))</f>
        <v>0</v>
      </c>
      <c r="O646" s="61">
        <f ca="1">INT(IF(N646&gt;0,1+MAX(N646*N646-(IF(D646="",TODAY()+(5-N646)*15,D646)-TODAY())/4,N646),IF(TODAY()-M646&gt;10,0,1)))</f>
        <v>0</v>
      </c>
      <c r="P646" s="1" t="str">
        <f ca="1">IF(ISNA(VLOOKUP(A646,Projects!B:B,1,FALSE)),"","Yes")</f>
        <v/>
      </c>
    </row>
    <row r="647" spans="1:16" ht="25.5">
      <c r="A647" s="4" t="s">
        <v>1853</v>
      </c>
      <c r="B647" s="5" t="s">
        <v>11</v>
      </c>
      <c r="C647" s="6" t="s">
        <v>48</v>
      </c>
      <c r="D647" s="11"/>
      <c r="F647" s="13" t="str">
        <f ca="1">VLOOKUP(LEFT(A647,IF(ISERROR(FIND(".",A647)),LEN(A647)+1,FIND(".",A647))-1),WorkList!A:C,3,FALSE)</f>
        <v>Roll Rate Analyser</v>
      </c>
      <c r="G647" s="14" t="str">
        <f ca="1">VLOOKUP(CONCATENATE(A647),WorkList!A:C,3,FALSE)</f>
        <v>In 'Copy' either copy full precision or allow precision to be configured.</v>
      </c>
      <c r="H647" s="13" t="str">
        <f ca="1">VLOOKUP(CONCATENATE(A647),WorkList!A:D,4,FALSE)</f>
        <v>Friedel</v>
      </c>
      <c r="I647" s="15">
        <f ca="1">VLOOKUP(CONCATENATE(A647),WorkList!A:E,5,FALSE)</f>
        <v>40086</v>
      </c>
      <c r="J647" s="49">
        <f ca="1">VLOOKUP(CONCATENATE(A647),WorkList!A:F,6,FALSE)</f>
        <v>0</v>
      </c>
      <c r="K647" s="49">
        <f ca="1">VLOOKUP(CONCATENATE(A647),WorkList!A:G,7,FALSE)</f>
        <v>0</v>
      </c>
      <c r="L647" s="7" t="s">
        <v>13</v>
      </c>
      <c r="M647" s="16">
        <v>39983</v>
      </c>
      <c r="N647" s="60">
        <f ca="1">VALUE(LEFT(C647))</f>
        <v>0</v>
      </c>
      <c r="O647" s="61">
        <f ca="1">INT(IF(N647&gt;0,1+MAX(N647*N647-(IF(D647="",TODAY()+(5-N647)*15,D647)-TODAY())/4,N647),IF(TODAY()-M647&gt;10,0,1)))</f>
        <v>0</v>
      </c>
      <c r="P647" s="1" t="str">
        <f ca="1">IF(ISNA(VLOOKUP(A647,Projects!B:B,1,FALSE)),"","Yes")</f>
        <v/>
      </c>
    </row>
    <row r="648" spans="1:16">
      <c r="A648" s="4" t="s">
        <v>1852</v>
      </c>
      <c r="B648" s="5" t="s">
        <v>11</v>
      </c>
      <c r="C648" s="7" t="s">
        <v>48</v>
      </c>
      <c r="D648" s="11"/>
      <c r="F648" s="13" t="str">
        <f ca="1">VLOOKUP(LEFT(A648,IF(ISERROR(FIND(".",A648)),LEN(A648)+1,FIND(".",A648))-1),WorkList!A:C,3,FALSE)</f>
        <v>Roll Rate Analyser</v>
      </c>
      <c r="G648" s="14" t="str">
        <f ca="1">VLOOKUP(CONCATENATE(A648),WorkList!A:C,3,FALSE)</f>
        <v>Move Roll Rate Analyser to Trunk</v>
      </c>
      <c r="H648" s="13" t="str">
        <f ca="1">VLOOKUP(CONCATENATE(A648),WorkList!A:D,4,FALSE)</f>
        <v>Neil</v>
      </c>
      <c r="I648" s="15">
        <f ca="1">VLOOKUP(CONCATENATE(A648),WorkList!A:E,5,FALSE)</f>
        <v>39966</v>
      </c>
      <c r="J648" s="49">
        <f ca="1">VLOOKUP(CONCATENATE(A648),WorkList!A:F,6,FALSE)</f>
        <v>0</v>
      </c>
      <c r="K648" s="49">
        <f ca="1">VLOOKUP(CONCATENATE(A648),WorkList!A:G,7,FALSE)</f>
        <v>0</v>
      </c>
      <c r="L648" s="7" t="s">
        <v>13</v>
      </c>
      <c r="M648" s="16">
        <v>39966</v>
      </c>
      <c r="N648" s="60">
        <f ca="1">VALUE(LEFT(C648))</f>
        <v>0</v>
      </c>
      <c r="O648" s="61">
        <f ca="1">INT(IF(N648&gt;0,1+MAX(N648*N648-(IF(D648="",TODAY()+(5-N648)*15,D648)-TODAY())/4,N648),IF(TODAY()-M648&gt;10,0,1)))</f>
        <v>0</v>
      </c>
      <c r="P648" s="1" t="str">
        <f ca="1">IF(ISNA(VLOOKUP(A648,Projects!B:B,1,FALSE)),"","Yes")</f>
        <v/>
      </c>
    </row>
    <row r="649" spans="1:16">
      <c r="A649" s="4" t="s">
        <v>1851</v>
      </c>
      <c r="B649" s="5" t="s">
        <v>37</v>
      </c>
      <c r="C649" s="6" t="s">
        <v>1087</v>
      </c>
      <c r="D649" s="11"/>
      <c r="F649" s="13" t="str">
        <f ca="1">VLOOKUP(LEFT(A649,IF(ISERROR(FIND(".",A649)),LEN(A649)+1,FIND(".",A649))-1),WorkList!A:C,3,FALSE)</f>
        <v>Roll Rate Analyser</v>
      </c>
      <c r="G649" s="14" t="str">
        <f ca="1">VLOOKUP(CONCATENATE(A649),WorkList!A:C,3,FALSE)</f>
        <v>Add comments functionality</v>
      </c>
      <c r="H649" s="13" t="str">
        <f ca="1">VLOOKUP(CONCATENATE(A649),WorkList!A:D,4,FALSE)</f>
        <v>David Covey</v>
      </c>
      <c r="I649" s="15">
        <f ca="1">VLOOKUP(CONCATENATE(A649),WorkList!A:E,5,FALSE)</f>
        <v>40283</v>
      </c>
      <c r="J649" s="49">
        <f ca="1">VLOOKUP(CONCATENATE(A649),WorkList!A:F,6,FALSE)</f>
        <v>5</v>
      </c>
      <c r="K649" s="49" t="str">
        <f ca="1">VLOOKUP(CONCATENATE(A649),WorkList!A:G,7,FALSE)</f>
        <v>NewDevelopment</v>
      </c>
      <c r="L649" s="7" t="s">
        <v>1096</v>
      </c>
      <c r="M649" s="16">
        <v>40394</v>
      </c>
      <c r="N649" s="60">
        <f ca="1">VALUE(LEFT(C649))</f>
        <v>0</v>
      </c>
      <c r="O649" s="61">
        <f ca="1">INT(IF(N649&gt;0,1+MAX(N649*N649-(IF(D649="",TODAY()+(5-N649)*15,D649)-TODAY())/4,N649),IF(TODAY()-M649&gt;10,0,1)))</f>
        <v>0</v>
      </c>
      <c r="P649" s="1" t="str">
        <f ca="1">IF(ISNA(VLOOKUP(A649,Projects!B:B,1,FALSE)),"","Yes")</f>
        <v/>
      </c>
    </row>
    <row r="650" spans="1:16" ht="25.5">
      <c r="A650" s="4" t="s">
        <v>1850</v>
      </c>
      <c r="B650" s="5" t="s">
        <v>11</v>
      </c>
      <c r="C650" s="6" t="s">
        <v>48</v>
      </c>
      <c r="D650" s="11"/>
      <c r="F650" s="13" t="str">
        <f ca="1">VLOOKUP(LEFT(A650,IF(ISERROR(FIND(".",A650)),LEN(A650)+1,FIND(".",A650))-1),WorkList!A:C,3,FALSE)</f>
        <v>Roll Rate Analyser</v>
      </c>
      <c r="G650" s="14" t="str">
        <f ca="1">VLOOKUP(CONCATENATE(A650),WorkList!A:C,3,FALSE)</f>
        <v>Add interest rate adjustment to roll rates as specified by Zhuu Ang.</v>
      </c>
      <c r="H650" s="13" t="str">
        <f ca="1">VLOOKUP(CONCATENATE(A650),WorkList!A:D,4,FALSE)</f>
        <v>David Covey</v>
      </c>
      <c r="I650" s="15">
        <f ca="1">VLOOKUP(CONCATENATE(A650),WorkList!A:E,5,FALSE)</f>
        <v>40052</v>
      </c>
      <c r="J650" s="49">
        <f ca="1">VLOOKUP(CONCATENATE(A650),WorkList!A:F,6,FALSE)</f>
        <v>3</v>
      </c>
      <c r="K650" s="49">
        <f ca="1">VLOOKUP(CONCATENATE(A650),WorkList!A:G,7,FALSE)</f>
        <v>0</v>
      </c>
      <c r="L650" s="7" t="s">
        <v>13</v>
      </c>
      <c r="M650" s="16">
        <v>40205</v>
      </c>
      <c r="N650" s="60">
        <f ca="1">VALUE(LEFT(C650))</f>
        <v>0</v>
      </c>
      <c r="O650" s="61">
        <f ca="1">INT(IF(N650&gt;0,1+MAX(N650*N650-(IF(D650="",TODAY()+(5-N650)*15,D650)-TODAY())/4,N650),IF(TODAY()-M650&gt;10,0,1)))</f>
        <v>0</v>
      </c>
      <c r="P650" s="1" t="str">
        <f ca="1">IF(ISNA(VLOOKUP(A650,Projects!B:B,1,FALSE)),"","Yes")</f>
        <v/>
      </c>
    </row>
    <row r="651" spans="1:16">
      <c r="A651" s="4" t="s">
        <v>1849</v>
      </c>
      <c r="B651" s="5" t="s">
        <v>919</v>
      </c>
      <c r="C651" s="6" t="s">
        <v>48</v>
      </c>
      <c r="D651" s="11">
        <v>40506</v>
      </c>
      <c r="F651" s="13" t="str">
        <f ca="1">VLOOKUP(LEFT(A651,IF(ISERROR(FIND(".",A651)),LEN(A651)+1,FIND(".",A651))-1),WorkList!A:C,3,FALSE)</f>
        <v>Roll Rate Analyser</v>
      </c>
      <c r="G651" s="14" t="str">
        <f ca="1">VLOOKUP(CONCATENATE(A651),WorkList!A:C,3,FALSE)</f>
        <v>Add BTL to filter on RR analyser</v>
      </c>
      <c r="H651" s="13" t="str">
        <f ca="1">VLOOKUP(CONCATENATE(A651),WorkList!A:D,4,FALSE)</f>
        <v>David</v>
      </c>
      <c r="I651" s="15">
        <f ca="1">VLOOKUP(CONCATENATE(A651),WorkList!A:E,5,FALSE)</f>
        <v>40196</v>
      </c>
      <c r="J651" s="49">
        <f ca="1">VLOOKUP(CONCATENATE(A651),WorkList!A:F,6,FALSE)</f>
        <v>2</v>
      </c>
      <c r="K651" s="49" t="str">
        <f ca="1">VLOOKUP(CONCATENATE(A651),WorkList!A:G,7,FALSE)</f>
        <v>NewDevelopment</v>
      </c>
      <c r="L651" s="7" t="s">
        <v>13</v>
      </c>
      <c r="M651" s="16">
        <v>40512</v>
      </c>
      <c r="N651" s="60">
        <f ca="1">VALUE(LEFT(C651))</f>
        <v>0</v>
      </c>
      <c r="O651" s="61">
        <f ca="1">INT(IF(N651&gt;0,1+MAX(N651*N651-(IF(D651="",TODAY()+(5-N651)*15,D651)-TODAY())/4,N651),IF(TODAY()-M651&gt;10,0,1)))</f>
        <v>0</v>
      </c>
      <c r="P651" s="1" t="str">
        <f ca="1">IF(ISNA(VLOOKUP(A651,Projects!B:B,1,FALSE)),"","Yes")</f>
        <v/>
      </c>
    </row>
    <row r="652" spans="1:16" ht="25.5">
      <c r="A652" s="4" t="s">
        <v>1848</v>
      </c>
      <c r="B652" s="5" t="s">
        <v>919</v>
      </c>
      <c r="C652" s="6" t="s">
        <v>48</v>
      </c>
      <c r="D652" s="11">
        <v>40506</v>
      </c>
      <c r="F652" s="13" t="str">
        <f ca="1">VLOOKUP(LEFT(A652,IF(ISERROR(FIND(".",A652)),LEN(A652)+1,FIND(".",A652))-1),WorkList!A:C,3,FALSE)</f>
        <v>Roll Rate Analyser</v>
      </c>
      <c r="G652" s="14" t="str">
        <f ca="1">VLOOKUP(CONCATENATE(A652),WorkList!A:C,3,FALSE)</f>
        <v>Add 'Adjusted months in arrears' as an option to RR analyser</v>
      </c>
      <c r="H652" s="13" t="str">
        <f ca="1">VLOOKUP(CONCATENATE(A652),WorkList!A:D,4,FALSE)</f>
        <v>Neil</v>
      </c>
      <c r="I652" s="15">
        <f ca="1">VLOOKUP(CONCATENATE(A652),WorkList!A:E,5,FALSE)</f>
        <v>40394</v>
      </c>
      <c r="J652" s="49">
        <f ca="1">VLOOKUP(CONCATENATE(A652),WorkList!A:F,6,FALSE)</f>
        <v>2</v>
      </c>
      <c r="K652" s="49" t="str">
        <f ca="1">VLOOKUP(CONCATENATE(A652),WorkList!A:G,7,FALSE)</f>
        <v>NewDevelopment</v>
      </c>
      <c r="L652" s="7" t="s">
        <v>13</v>
      </c>
      <c r="M652" s="16">
        <v>40512</v>
      </c>
      <c r="N652" s="60">
        <f ca="1">VALUE(LEFT(C652))</f>
        <v>0</v>
      </c>
      <c r="O652" s="61">
        <f ca="1">INT(IF(N652&gt;0,1+MAX(N652*N652-(IF(D652="",TODAY()+(5-N652)*15,D652)-TODAY())/4,N652),IF(TODAY()-M652&gt;10,0,1)))</f>
        <v>0</v>
      </c>
      <c r="P652" s="1" t="str">
        <f ca="1">IF(ISNA(VLOOKUP(A652,Projects!B:B,1,FALSE)),"","Yes")</f>
        <v/>
      </c>
    </row>
    <row r="653" spans="1:16">
      <c r="A653" s="4" t="s">
        <v>1847</v>
      </c>
      <c r="B653" s="5" t="s">
        <v>21</v>
      </c>
      <c r="C653" s="6" t="s">
        <v>38</v>
      </c>
      <c r="D653" s="11"/>
      <c r="F653" s="13" t="str">
        <f ca="1">VLOOKUP(LEFT(A653,IF(ISERROR(FIND(".",A653)),LEN(A653)+1,FIND(".",A653))-1),WorkList!A:C,3,FALSE)</f>
        <v>Roll Rate Analyser</v>
      </c>
      <c r="G653" s="14" t="str">
        <f ca="1">VLOOKUP(CONCATENATE(A653),WorkList!A:C,3,FALSE)</f>
        <v>RRA Enhancements from Danny</v>
      </c>
      <c r="H653" s="13" t="str">
        <f ca="1">VLOOKUP(CONCATENATE(A653),WorkList!A:D,4,FALSE)</f>
        <v>Danny</v>
      </c>
      <c r="I653" s="15">
        <f ca="1">VLOOKUP(CONCATENATE(A653),WorkList!A:E,5,FALSE)</f>
        <v>40563</v>
      </c>
      <c r="J653" s="49">
        <f ca="1">VLOOKUP(CONCATENATE(A653),WorkList!A:F,6,FALSE)</f>
        <v>4</v>
      </c>
      <c r="K653" s="49" t="str">
        <f ca="1">VLOOKUP(CONCATENATE(A653),WorkList!A:G,7,FALSE)</f>
        <v>Enhancement</v>
      </c>
      <c r="L653" s="7" t="s">
        <v>7</v>
      </c>
      <c r="M653" s="16">
        <v>40563</v>
      </c>
      <c r="N653" s="60">
        <f ca="1">VALUE(LEFT(C653))</f>
        <v>2</v>
      </c>
      <c r="O653" s="61">
        <f ca="1">INT(IF(N653&gt;0,1+MAX(N653*N653-(IF(D653="",TODAY()+(5-N653)*15,D653)-TODAY())/4,N653),IF(TODAY()-M653&gt;10,0,1)))</f>
        <v>3</v>
      </c>
      <c r="P653" s="1" t="str">
        <f ca="1">IF(ISNA(VLOOKUP(A653,Projects!B:B,1,FALSE)),"","Yes")</f>
        <v/>
      </c>
    </row>
    <row r="654" spans="1:16">
      <c r="A654" s="4" t="s">
        <v>636</v>
      </c>
      <c r="B654" s="5" t="s">
        <v>685</v>
      </c>
      <c r="C654" s="7" t="s">
        <v>48</v>
      </c>
      <c r="D654" s="11">
        <v>40401</v>
      </c>
      <c r="F654" s="4" t="str">
        <f ca="1">VLOOKUP(LEFT(A654,IF(ISERROR(FIND(".",A654)),LEN(A654)+1,FIND(".",A654))-1),WorkList!A:C,3,FALSE)</f>
        <v>Support</v>
      </c>
      <c r="G654" s="14" t="str">
        <f ca="1">VLOOKUP(CONCATENATE(A654),WorkList!A:C,3,FALSE)</f>
        <v>Totoro support for finance</v>
      </c>
      <c r="H654" s="13" t="str">
        <f ca="1">VLOOKUP(CONCATENATE(A654),WorkList!A:D,4,FALSE)</f>
        <v>Friedel</v>
      </c>
      <c r="I654" s="15">
        <f ca="1">VLOOKUP(CONCATENATE(A654),WorkList!A:E,5,FALSE)</f>
        <v>40120</v>
      </c>
      <c r="J654" s="49">
        <f ca="1">VLOOKUP(CONCATENATE(A654),WorkList!A:F,6,FALSE)</f>
        <v>5.2</v>
      </c>
      <c r="K654" s="49" t="str">
        <f ca="1">VLOOKUP(CONCATENATE(A654),WorkList!A:G,7,FALSE)</f>
        <v>Support</v>
      </c>
      <c r="L654" s="7" t="s">
        <v>13</v>
      </c>
      <c r="M654" s="16">
        <v>40406</v>
      </c>
      <c r="N654" s="60">
        <f ca="1">VALUE(LEFT(C654))</f>
        <v>0</v>
      </c>
      <c r="O654" s="61">
        <f ca="1">INT(IF(N654&gt;0,1+MAX(N654*N654-(IF(D654="",TODAY()+(5-N654)*15,D654)-TODAY())/4,N654),IF(TODAY()-M654&gt;10,0,1)))</f>
        <v>0</v>
      </c>
      <c r="P654" s="1" t="str">
        <f ca="1">IF(ISNA(VLOOKUP(A654,Projects!B:B,1,FALSE)),"","Yes")</f>
        <v/>
      </c>
    </row>
    <row r="655" spans="1:16">
      <c r="A655" s="4" t="s">
        <v>698</v>
      </c>
      <c r="B655" s="5" t="s">
        <v>685</v>
      </c>
      <c r="C655" s="7" t="s">
        <v>12</v>
      </c>
      <c r="D655" s="11"/>
      <c r="F655" s="13" t="str">
        <f ca="1">VLOOKUP(LEFT(A655,IF(ISERROR(FIND(".",A655)),LEN(A655)+1,FIND(".",A655))-1),WorkList!A:C,3,FALSE)</f>
        <v>Support</v>
      </c>
      <c r="G655" s="14" t="str">
        <f ca="1">VLOOKUP(CONCATENATE(A655),WorkList!A:C,3,FALSE)</f>
        <v>Daily deal DB refresh</v>
      </c>
      <c r="H655" s="13" t="str">
        <f ca="1">VLOOKUP(CONCATENATE(A655),WorkList!A:D,4,FALSE)</f>
        <v>Neil</v>
      </c>
      <c r="I655" s="15">
        <f ca="1">VLOOKUP(CONCATENATE(A655),WorkList!A:E,5,FALSE)</f>
        <v>40135</v>
      </c>
      <c r="J655" s="49">
        <f ca="1">VLOOKUP(CONCATENATE(A655),WorkList!A:F,6,FALSE)</f>
        <v>13</v>
      </c>
      <c r="K655" s="49" t="str">
        <f ca="1">VLOOKUP(CONCATENATE(A655),WorkList!A:G,7,FALSE)</f>
        <v>Support</v>
      </c>
      <c r="L655" s="7" t="s">
        <v>13</v>
      </c>
      <c r="M655" s="16">
        <v>40406</v>
      </c>
      <c r="N655" s="60">
        <f ca="1">VALUE(LEFT(C655))</f>
        <v>4</v>
      </c>
      <c r="O655" s="61">
        <f ca="1">INT(IF(N655&gt;0,1+MAX(N655*N655-(IF(D655="",TODAY()+(5-N655)*15,D655)-TODAY())/4,N655),IF(TODAY()-M655&gt;10,0,1)))</f>
        <v>13</v>
      </c>
      <c r="P655" s="1" t="str">
        <f ca="1">IF(ISNA(VLOOKUP(A655,Projects!B:B,1,FALSE)),"","Yes")</f>
        <v/>
      </c>
    </row>
    <row r="656" spans="1:16">
      <c r="A656" s="4" t="s">
        <v>700</v>
      </c>
      <c r="B656" s="5" t="s">
        <v>685</v>
      </c>
      <c r="C656" s="7" t="s">
        <v>12</v>
      </c>
      <c r="D656" s="11"/>
      <c r="F656" s="13" t="str">
        <f ca="1">VLOOKUP(LEFT(A656,IF(ISERROR(FIND(".",A656)),LEN(A656)+1,FIND(".",A656))-1),WorkList!A:C,3,FALSE)</f>
        <v>Support</v>
      </c>
      <c r="G656" s="14" t="str">
        <f ca="1">VLOOKUP(CONCATENATE(A656),WorkList!A:C,3,FALSE)</f>
        <v>Loan Level data, queries and uploads</v>
      </c>
      <c r="H656" s="13" t="str">
        <f ca="1">VLOOKUP(CONCATENATE(A656),WorkList!A:D,4,FALSE)</f>
        <v>Neil</v>
      </c>
      <c r="I656" s="15">
        <f ca="1">VLOOKUP(CONCATENATE(A656),WorkList!A:E,5,FALSE)</f>
        <v>40135</v>
      </c>
      <c r="J656" s="49">
        <f ca="1">VLOOKUP(CONCATENATE(A656),WorkList!A:F,6,FALSE)</f>
        <v>26</v>
      </c>
      <c r="K656" s="49" t="str">
        <f ca="1">VLOOKUP(CONCATENATE(A656),WorkList!A:G,7,FALSE)</f>
        <v>Support</v>
      </c>
      <c r="L656" s="7" t="s">
        <v>289</v>
      </c>
      <c r="M656" s="16">
        <v>40283</v>
      </c>
      <c r="N656" s="60">
        <f ca="1">VALUE(LEFT(C656))</f>
        <v>4</v>
      </c>
      <c r="O656" s="61">
        <f ca="1">INT(IF(N656&gt;0,1+MAX(N656*N656-(IF(D656="",TODAY()+(5-N656)*15,D656)-TODAY())/4,N656),IF(TODAY()-M656&gt;10,0,1)))</f>
        <v>13</v>
      </c>
      <c r="P656" s="1" t="str">
        <f ca="1">IF(ISNA(VLOOKUP(A656,Projects!B:B,1,FALSE)),"","Yes")</f>
        <v/>
      </c>
    </row>
    <row r="657" spans="1:16">
      <c r="A657" s="4" t="s">
        <v>706</v>
      </c>
      <c r="B657" s="5" t="s">
        <v>685</v>
      </c>
      <c r="C657" s="7" t="s">
        <v>48</v>
      </c>
      <c r="D657" s="11"/>
      <c r="F657" s="13" t="str">
        <f ca="1">VLOOKUP(LEFT(A657,IF(ISERROR(FIND(".",A657)),LEN(A657)+1,FIND(".",A657))-1),WorkList!A:C,3,FALSE)</f>
        <v>Support</v>
      </c>
      <c r="G657" s="14" t="str">
        <f ca="1">VLOOKUP(CONCATENATE(A657),WorkList!A:C,3,FALSE)</f>
        <v>Adding bonds</v>
      </c>
      <c r="H657" s="13" t="str">
        <f ca="1">VLOOKUP(CONCATENATE(A657),WorkList!A:D,4,FALSE)</f>
        <v>Neil</v>
      </c>
      <c r="I657" s="15">
        <f ca="1">VLOOKUP(CONCATENATE(A657),WorkList!A:E,5,FALSE)</f>
        <v>40135</v>
      </c>
      <c r="J657" s="49">
        <f ca="1">VLOOKUP(CONCATENATE(A657),WorkList!A:F,6,FALSE)</f>
        <v>6.5</v>
      </c>
      <c r="K657" s="49" t="str">
        <f ca="1">VLOOKUP(CONCATENATE(A657),WorkList!A:G,7,FALSE)</f>
        <v>Support</v>
      </c>
      <c r="L657" s="7" t="s">
        <v>13</v>
      </c>
      <c r="M657" s="16">
        <v>40406</v>
      </c>
      <c r="N657" s="60">
        <f ca="1">VALUE(LEFT(C657))</f>
        <v>0</v>
      </c>
      <c r="O657" s="61">
        <f ca="1">INT(IF(N657&gt;0,1+MAX(N657*N657-(IF(D657="",TODAY()+(5-N657)*15,D657)-TODAY())/4,N657),IF(TODAY()-M657&gt;10,0,1)))</f>
        <v>0</v>
      </c>
      <c r="P657" s="1" t="str">
        <f ca="1">IF(ISNA(VLOOKUP(A657,Projects!B:B,1,FALSE)),"","Yes")</f>
        <v/>
      </c>
    </row>
    <row r="658" spans="1:16">
      <c r="A658" s="4" t="s">
        <v>1092</v>
      </c>
      <c r="B658" s="5" t="s">
        <v>919</v>
      </c>
      <c r="C658" s="6" t="s">
        <v>48</v>
      </c>
      <c r="D658" s="11"/>
      <c r="F658" s="13" t="str">
        <f ca="1">VLOOKUP(LEFT(A658,IF(ISERROR(FIND(".",A658)),LEN(A658)+1,FIND(".",A658))-1),WorkList!A:C,3,FALSE)</f>
        <v>Support</v>
      </c>
      <c r="G658" s="14" t="str">
        <f ca="1">VLOOKUP(CONCATENATE(A658),WorkList!A:C,3,FALSE)</f>
        <v>Extract PDF data for Friedel</v>
      </c>
      <c r="H658" s="13" t="str">
        <f ca="1">VLOOKUP(CONCATENATE(A658),WorkList!A:D,4,FALSE)</f>
        <v>Friedel</v>
      </c>
      <c r="I658" s="15">
        <f ca="1">VLOOKUP(CONCATENATE(A658),WorkList!A:E,5,FALSE)</f>
        <v>40288</v>
      </c>
      <c r="J658" s="49">
        <f ca="1">VLOOKUP(CONCATENATE(A658),WorkList!A:F,6,FALSE)</f>
        <v>2</v>
      </c>
      <c r="K658" s="49">
        <f ca="1">VLOOKUP(CONCATENATE(A658),WorkList!A:G,7,FALSE)</f>
        <v>0</v>
      </c>
      <c r="L658" s="7" t="s">
        <v>13</v>
      </c>
      <c r="M658" s="16">
        <v>40303</v>
      </c>
      <c r="N658" s="60">
        <f ca="1">VALUE(LEFT(C658))</f>
        <v>0</v>
      </c>
      <c r="O658" s="61">
        <f ca="1">INT(IF(N658&gt;0,1+MAX(N658*N658-(IF(D658="",TODAY()+(5-N658)*15,D658)-TODAY())/4,N658),IF(TODAY()-M658&gt;10,0,1)))</f>
        <v>0</v>
      </c>
      <c r="P658" s="1" t="str">
        <f ca="1">IF(ISNA(VLOOKUP(A658,Projects!B:B,1,FALSE)),"","Yes")</f>
        <v/>
      </c>
    </row>
    <row r="659" spans="1:16">
      <c r="A659" s="4" t="s">
        <v>1135</v>
      </c>
      <c r="B659" s="5" t="s">
        <v>919</v>
      </c>
      <c r="C659" s="6" t="s">
        <v>48</v>
      </c>
      <c r="D659" s="11">
        <v>40304</v>
      </c>
      <c r="F659" s="13" t="str">
        <f ca="1">VLOOKUP(LEFT(A659,IF(ISERROR(FIND(".",A659)),LEN(A659)+1,FIND(".",A659))-1),WorkList!A:C,3,FALSE)</f>
        <v>Support</v>
      </c>
      <c r="G659" s="14" t="str">
        <f ca="1">VLOOKUP(CONCATENATE(A659),WorkList!A:C,3,FALSE)</f>
        <v>Extract PDF data for Friedel #2</v>
      </c>
      <c r="H659" s="13" t="str">
        <f ca="1">VLOOKUP(CONCATENATE(A659),WorkList!A:D,4,FALSE)</f>
        <v>Friedel</v>
      </c>
      <c r="I659" s="15">
        <f ca="1">VLOOKUP(CONCATENATE(A659),WorkList!A:E,5,FALSE)</f>
        <v>40304</v>
      </c>
      <c r="J659" s="49">
        <f ca="1">VLOOKUP(CONCATENATE(A659),WorkList!A:F,6,FALSE)</f>
        <v>2</v>
      </c>
      <c r="K659" s="49">
        <f ca="1">VLOOKUP(CONCATENATE(A659),WorkList!A:G,7,FALSE)</f>
        <v>0</v>
      </c>
      <c r="L659" s="7" t="s">
        <v>13</v>
      </c>
      <c r="M659" s="16">
        <v>40305</v>
      </c>
      <c r="N659" s="60">
        <f ca="1">VALUE(LEFT(C659))</f>
        <v>0</v>
      </c>
      <c r="O659" s="61">
        <f ca="1">INT(IF(N659&gt;0,1+MAX(N659*N659-(IF(D659="",TODAY()+(5-N659)*15,D659)-TODAY())/4,N659),IF(TODAY()-M659&gt;10,0,1)))</f>
        <v>0</v>
      </c>
      <c r="P659" s="1" t="str">
        <f ca="1">IF(ISNA(VLOOKUP(A659,Projects!B:B,1,FALSE)),"","Yes")</f>
        <v/>
      </c>
    </row>
    <row r="660" spans="1:16">
      <c r="A660" s="4" t="s">
        <v>1371</v>
      </c>
      <c r="B660" s="5" t="s">
        <v>919</v>
      </c>
      <c r="C660" s="6" t="s">
        <v>48</v>
      </c>
      <c r="D660" s="11"/>
      <c r="F660" s="13" t="str">
        <f ca="1">VLOOKUP(LEFT(A660,IF(ISERROR(FIND(".",A660)),LEN(A660)+1,FIND(".",A660))-1),WorkList!A:C,3,FALSE)</f>
        <v>Support</v>
      </c>
      <c r="G660" s="14" t="str">
        <f ca="1">VLOOKUP(CONCATENATE(A660),WorkList!A:C,3,FALSE)</f>
        <v>Extract PDF data for Danny</v>
      </c>
      <c r="H660" s="13" t="str">
        <f ca="1">VLOOKUP(CONCATENATE(A660),WorkList!A:D,4,FALSE)</f>
        <v>Danny</v>
      </c>
      <c r="I660" s="15">
        <f ca="1">VLOOKUP(CONCATENATE(A660),WorkList!A:E,5,FALSE)</f>
        <v>40387</v>
      </c>
      <c r="J660" s="49">
        <f ca="1">VLOOKUP(CONCATENATE(A660),WorkList!A:F,6,FALSE)</f>
        <v>2</v>
      </c>
      <c r="K660" s="49" t="str">
        <f ca="1">VLOOKUP(CONCATENATE(A660),WorkList!A:G,7,FALSE)</f>
        <v>Support</v>
      </c>
      <c r="L660" s="7" t="s">
        <v>13</v>
      </c>
      <c r="M660" s="16">
        <v>40406</v>
      </c>
      <c r="N660" s="60">
        <f ca="1">VALUE(LEFT(C660))</f>
        <v>0</v>
      </c>
      <c r="O660" s="61">
        <f ca="1">INT(IF(N660&gt;0,1+MAX(N660*N660-(IF(D660="",TODAY()+(5-N660)*15,D660)-TODAY())/4,N660),IF(TODAY()-M660&gt;10,0,1)))</f>
        <v>0</v>
      </c>
      <c r="P660" s="1" t="str">
        <f ca="1">IF(ISNA(VLOOKUP(A660,Projects!B:B,1,FALSE)),"","Yes")</f>
        <v/>
      </c>
    </row>
    <row r="661" spans="1:16">
      <c r="A661" s="4" t="s">
        <v>1426</v>
      </c>
      <c r="B661" s="5" t="s">
        <v>1159</v>
      </c>
      <c r="C661" s="7" t="s">
        <v>48</v>
      </c>
      <c r="D661" s="7">
        <v>40415</v>
      </c>
      <c r="F661" s="13" t="str">
        <f ca="1">VLOOKUP(LEFT(A661,IF(ISERROR(FIND(".",A661)),LEN(A661)+1,FIND(".",A661))-1),WorkList!A:C,3,FALSE)</f>
        <v>Support</v>
      </c>
      <c r="G661" s="14" t="str">
        <f ca="1">VLOOKUP(CONCATENATE(A661),WorkList!A:C,3,FALSE)</f>
        <v>Extract PDF data for Reneesh</v>
      </c>
      <c r="H661" s="13" t="str">
        <f ca="1">VLOOKUP(CONCATENATE(A661),WorkList!A:D,4,FALSE)</f>
        <v>Sachin</v>
      </c>
      <c r="I661" s="15">
        <f ca="1">VLOOKUP(CONCATENATE(A661),WorkList!A:E,5,FALSE)</f>
        <v>40410</v>
      </c>
      <c r="J661" s="49">
        <f ca="1">VLOOKUP(CONCATENATE(A661),WorkList!A:F,6,FALSE)</f>
        <v>2</v>
      </c>
      <c r="K661" s="49" t="str">
        <f ca="1">VLOOKUP(CONCATENATE(A661),WorkList!A:G,7,FALSE)</f>
        <v>Support</v>
      </c>
      <c r="L661" s="7" t="s">
        <v>13</v>
      </c>
      <c r="M661" s="16">
        <v>40429</v>
      </c>
      <c r="N661" s="60">
        <f ca="1">VALUE(LEFT(C661))</f>
        <v>0</v>
      </c>
      <c r="O661" s="61">
        <f ca="1">INT(IF(N661&gt;0,1+MAX(N661*N661-(IF(D661="",TODAY()+(5-N661)*15,D661)-TODAY())/4,N661),IF(TODAY()-M661&gt;10,0,1)))</f>
        <v>0</v>
      </c>
      <c r="P661" s="1" t="str">
        <f ca="1">IF(ISNA(VLOOKUP(A661,Projects!B:B,1,FALSE)),"","Yes")</f>
        <v/>
      </c>
    </row>
    <row r="662" spans="1:16">
      <c r="A662" s="4" t="s">
        <v>1499</v>
      </c>
      <c r="B662" s="5" t="s">
        <v>1159</v>
      </c>
      <c r="C662" s="7" t="s">
        <v>38</v>
      </c>
      <c r="F662" s="13" t="str">
        <f ca="1">VLOOKUP(LEFT(A662,IF(ISERROR(FIND(".",A662)),LEN(A662)+1,FIND(".",A662))-1),WorkList!A:C,3,FALSE)</f>
        <v>Support</v>
      </c>
      <c r="G662" s="14" t="str">
        <f ca="1">VLOOKUP(CONCATENATE(A662),WorkList!A:C,3,FALSE)</f>
        <v>Develop generic loan PDF file parsing approach</v>
      </c>
      <c r="H662" s="13" t="str">
        <f ca="1">VLOOKUP(CONCATENATE(A662),WorkList!A:D,4,FALSE)</f>
        <v>Sreevani</v>
      </c>
      <c r="I662" s="15">
        <f ca="1">VLOOKUP(CONCATENATE(A662),WorkList!A:E,5,FALSE)</f>
        <v>40429</v>
      </c>
      <c r="J662" s="49">
        <f ca="1">VLOOKUP(CONCATENATE(A662),WorkList!A:F,6,FALSE)</f>
        <v>4</v>
      </c>
      <c r="K662" s="49" t="str">
        <f ca="1">VLOOKUP(CONCATENATE(A662),WorkList!A:G,7,FALSE)</f>
        <v>Enhancement</v>
      </c>
      <c r="L662" s="7" t="s">
        <v>5</v>
      </c>
      <c r="M662" s="16">
        <v>40553</v>
      </c>
      <c r="N662" s="60">
        <f ca="1">VALUE(LEFT(C662))</f>
        <v>2</v>
      </c>
      <c r="O662" s="61">
        <f ca="1">INT(IF(N662&gt;0,1+MAX(N662*N662-(IF(D662="",TODAY()+(5-N662)*15,D662)-TODAY())/4,N662),IF(TODAY()-M662&gt;10,0,1)))</f>
        <v>3</v>
      </c>
      <c r="P662" s="1" t="str">
        <f ca="1">IF(ISNA(VLOOKUP(A662,Projects!B:B,1,FALSE)),"","Yes")</f>
        <v/>
      </c>
    </row>
    <row r="663" spans="1:16">
      <c r="A663" s="4" t="s">
        <v>1697</v>
      </c>
      <c r="B663" s="5" t="s">
        <v>11</v>
      </c>
      <c r="C663" s="6" t="s">
        <v>48</v>
      </c>
      <c r="F663" s="13" t="str">
        <f ca="1">VLOOKUP(LEFT(A663,IF(ISERROR(FIND(".",A663)),LEN(A663)+1,FIND(".",A663))-1),WorkList!A:C,3,FALSE)</f>
        <v>Support</v>
      </c>
      <c r="G663" s="14" t="str">
        <f ca="1">VLOOKUP(CONCATENATE(A663),WorkList!A:C,3,FALSE)</f>
        <v>Intex deals are out of date</v>
      </c>
      <c r="H663" s="13" t="str">
        <f ca="1">VLOOKUP(CONCATENATE(A663),WorkList!A:D,4,FALSE)</f>
        <v>Neil</v>
      </c>
      <c r="I663" s="15">
        <f ca="1">VLOOKUP(CONCATENATE(A663),WorkList!A:E,5,FALSE)</f>
        <v>40504</v>
      </c>
      <c r="J663" s="49">
        <f ca="1">VLOOKUP(CONCATENATE(A663),WorkList!A:F,6,FALSE)</f>
        <v>0.5</v>
      </c>
      <c r="K663" s="49" t="str">
        <f ca="1">VLOOKUP(CONCATENATE(A663),WorkList!A:G,7,FALSE)</f>
        <v>Support</v>
      </c>
      <c r="L663" s="7" t="s">
        <v>13</v>
      </c>
      <c r="M663" s="16">
        <v>40526</v>
      </c>
      <c r="N663" s="60">
        <f ca="1">VALUE(LEFT(C663))</f>
        <v>0</v>
      </c>
      <c r="O663" s="61">
        <f ca="1">INT(IF(N663&gt;0,1+MAX(N663*N663-(IF(D663="",TODAY()+(5-N663)*15,D663)-TODAY())/4,N663),IF(TODAY()-M663&gt;10,0,1)))</f>
        <v>0</v>
      </c>
      <c r="P663" s="1" t="str">
        <f ca="1">IF(ISNA(VLOOKUP(A663,Projects!B:B,1,FALSE)),"","Yes")</f>
        <v/>
      </c>
    </row>
    <row r="664" spans="1:16">
      <c r="A664" s="4" t="s">
        <v>1706</v>
      </c>
      <c r="B664" s="5" t="s">
        <v>32</v>
      </c>
      <c r="C664" s="6" t="s">
        <v>48</v>
      </c>
      <c r="D664" s="7">
        <v>40505</v>
      </c>
      <c r="F664" s="13" t="str">
        <f ca="1">VLOOKUP(LEFT(A664,IF(ISERROR(FIND(".",A664)),LEN(A664)+1,FIND(".",A664))-1),WorkList!A:C,3,FALSE)</f>
        <v>Support</v>
      </c>
      <c r="G664" s="14" t="str">
        <f ca="1">VLOOKUP(CONCATENATE(A664),WorkList!A:C,3,FALSE)</f>
        <v xml:space="preserve">Download INE population statistics </v>
      </c>
      <c r="H664" s="13" t="str">
        <f ca="1">VLOOKUP(CONCATENATE(A664),WorkList!A:D,4,FALSE)</f>
        <v>Friedel</v>
      </c>
      <c r="I664" s="15">
        <f ca="1">VLOOKUP(CONCATENATE(A664),WorkList!A:E,5,FALSE)</f>
        <v>40504</v>
      </c>
      <c r="J664" s="49">
        <f ca="1">VLOOKUP(CONCATENATE(A664),WorkList!A:F,6,FALSE)</f>
        <v>1</v>
      </c>
      <c r="K664" s="49" t="str">
        <f ca="1">VLOOKUP(CONCATENATE(A664),WorkList!A:G,7,FALSE)</f>
        <v>Support</v>
      </c>
      <c r="L664" s="7" t="s">
        <v>13</v>
      </c>
      <c r="M664" s="16">
        <v>40512</v>
      </c>
      <c r="N664" s="60">
        <f ca="1">VALUE(LEFT(C664))</f>
        <v>0</v>
      </c>
      <c r="O664" s="61">
        <f ca="1">INT(IF(N664&gt;0,1+MAX(N664*N664-(IF(D664="",TODAY()+(5-N664)*15,D664)-TODAY())/4,N664),IF(TODAY()-M664&gt;10,0,1)))</f>
        <v>0</v>
      </c>
      <c r="P664" s="1" t="str">
        <f ca="1">IF(ISNA(VLOOKUP(A664,Projects!B:B,1,FALSE)),"","Yes")</f>
        <v/>
      </c>
    </row>
    <row r="665" spans="1:16">
      <c r="A665" s="4" t="s">
        <v>911</v>
      </c>
      <c r="B665" s="5" t="s">
        <v>11</v>
      </c>
      <c r="C665" s="6" t="s">
        <v>197</v>
      </c>
      <c r="D665" s="11"/>
      <c r="F665" s="13" t="str">
        <f ca="1">VLOOKUP(LEFT(A665,IF(ISERROR(FIND(".",A665)),LEN(A665)+1,FIND(".",A665))-1),WorkList!A:C,3,FALSE)</f>
        <v>CMBS - TREPP</v>
      </c>
      <c r="G665" s="14" t="str">
        <f ca="1">VLOOKUP(CONCATENATE(A665),WorkList!A:C,3,FALSE)</f>
        <v>Determine initial plan</v>
      </c>
      <c r="H665" s="13" t="str">
        <f ca="1">VLOOKUP(CONCATENATE(A665),WorkList!A:D,4,FALSE)</f>
        <v>David Covey</v>
      </c>
      <c r="I665" s="15">
        <f ca="1">VLOOKUP(CONCATENATE(A665),WorkList!A:E,5,FALSE)</f>
        <v>40120</v>
      </c>
      <c r="J665" s="49">
        <f ca="1">VLOOKUP(CONCATENATE(A665),WorkList!A:F,6,FALSE)</f>
        <v>2</v>
      </c>
      <c r="K665" s="49" t="str">
        <f ca="1">VLOOKUP(CONCATENATE(A665),WorkList!A:G,7,FALSE)</f>
        <v>NewDevelopment</v>
      </c>
      <c r="L665" s="7" t="s">
        <v>5</v>
      </c>
      <c r="M665" s="16">
        <v>40567</v>
      </c>
      <c r="N665" s="60">
        <f ca="1">VALUE(LEFT(C665))</f>
        <v>1</v>
      </c>
      <c r="O665" s="61">
        <f ca="1">INT(IF(N665&gt;0,1+MAX(N665*N665-(IF(D665="",TODAY()+(5-N665)*15,D665)-TODAY())/4,N665),IF(TODAY()-M665&gt;10,0,1)))</f>
        <v>2</v>
      </c>
      <c r="P665" s="1" t="str">
        <f ca="1">IF(ISNA(VLOOKUP(A665,Projects!B:B,1,FALSE)),"","Yes")</f>
        <v/>
      </c>
    </row>
    <row r="666" spans="1:16">
      <c r="A666" s="4" t="s">
        <v>913</v>
      </c>
      <c r="B666" s="5" t="s">
        <v>11</v>
      </c>
      <c r="C666" s="6" t="s">
        <v>48</v>
      </c>
      <c r="D666" s="11"/>
      <c r="F666" s="13" t="str">
        <f ca="1">VLOOKUP(LEFT(A666,IF(ISERROR(FIND(".",A666)),LEN(A666)+1,FIND(".",A666))-1),WorkList!A:C,3,FALSE)</f>
        <v>CMBS - TREPP</v>
      </c>
      <c r="G666" s="14" t="str">
        <f ca="1">VLOOKUP(CONCATENATE(A666),WorkList!A:C,3,FALSE)</f>
        <v>Download Trepp data</v>
      </c>
      <c r="H666" s="13" t="str">
        <f ca="1">VLOOKUP(CONCATENATE(A666),WorkList!A:D,4,FALSE)</f>
        <v>David Covey</v>
      </c>
      <c r="I666" s="15">
        <f ca="1">VLOOKUP(CONCATENATE(A666),WorkList!A:E,5,FALSE)</f>
        <v>40219</v>
      </c>
      <c r="J666" s="49">
        <f ca="1">VLOOKUP(CONCATENATE(A666),WorkList!A:F,6,FALSE)</f>
        <v>0.5</v>
      </c>
      <c r="K666" s="49">
        <f ca="1">VLOOKUP(CONCATENATE(A666),WorkList!A:G,7,FALSE)</f>
        <v>0</v>
      </c>
      <c r="L666" s="7" t="s">
        <v>13</v>
      </c>
      <c r="M666" s="16">
        <v>40219</v>
      </c>
      <c r="N666" s="60">
        <f ca="1">VALUE(LEFT(C666))</f>
        <v>0</v>
      </c>
      <c r="O666" s="61">
        <f ca="1">INT(IF(N666&gt;0,1+MAX(N666*N666-(IF(D666="",TODAY()+(5-N666)*15,D666)-TODAY())/4,N666),IF(TODAY()-M666&gt;10,0,1)))</f>
        <v>0</v>
      </c>
      <c r="P666" s="1" t="str">
        <f ca="1">IF(ISNA(VLOOKUP(A666,Projects!B:B,1,FALSE)),"","Yes")</f>
        <v/>
      </c>
    </row>
    <row r="667" spans="1:16">
      <c r="A667" s="4" t="s">
        <v>999</v>
      </c>
      <c r="B667" s="5" t="s">
        <v>37</v>
      </c>
      <c r="C667" s="6" t="s">
        <v>48</v>
      </c>
      <c r="D667" s="11"/>
      <c r="F667" s="13" t="str">
        <f ca="1">VLOOKUP(LEFT(A667,IF(ISERROR(FIND(".",A667)),LEN(A667)+1,FIND(".",A667))-1),WorkList!A:C,3,FALSE)</f>
        <v>CMBS - TREPP</v>
      </c>
      <c r="G667" s="14" t="str">
        <f ca="1">VLOOKUP(CONCATENATE(A667),WorkList!A:C,3,FALSE)</f>
        <v>Analyse Trepp Data</v>
      </c>
      <c r="H667" s="13" t="str">
        <f ca="1">VLOOKUP(CONCATENATE(A667),WorkList!A:D,4,FALSE)</f>
        <v>Neil</v>
      </c>
      <c r="I667" s="15">
        <f ca="1">VLOOKUP(CONCATENATE(A667),WorkList!A:E,5,FALSE)</f>
        <v>40219</v>
      </c>
      <c r="J667" s="49">
        <f ca="1">VLOOKUP(CONCATENATE(A667),WorkList!A:F,6,FALSE)</f>
        <v>1</v>
      </c>
      <c r="K667" s="49" t="str">
        <f ca="1">VLOOKUP(CONCATENATE(A667),WorkList!A:G,7,FALSE)</f>
        <v>NewDevelopment</v>
      </c>
      <c r="L667" s="7" t="s">
        <v>13</v>
      </c>
      <c r="M667" s="16">
        <v>40406</v>
      </c>
      <c r="N667" s="60">
        <f ca="1">VALUE(LEFT(C667))</f>
        <v>0</v>
      </c>
      <c r="O667" s="61">
        <f ca="1">INT(IF(N667&gt;0,1+MAX(N667*N667-(IF(D667="",TODAY()+(5-N667)*15,D667)-TODAY())/4,N667),IF(TODAY()-M667&gt;10,0,1)))</f>
        <v>0</v>
      </c>
      <c r="P667" s="1" t="str">
        <f ca="1">IF(ISNA(VLOOKUP(A667,Projects!B:B,1,FALSE)),"","Yes")</f>
        <v/>
      </c>
    </row>
    <row r="668" spans="1:16">
      <c r="A668" s="4" t="s">
        <v>1181</v>
      </c>
      <c r="B668" s="5" t="s">
        <v>37</v>
      </c>
      <c r="C668" s="6" t="s">
        <v>48</v>
      </c>
      <c r="D668" s="11"/>
      <c r="F668" s="13" t="str">
        <f ca="1">VLOOKUP(LEFT(A668,IF(ISERROR(FIND(".",A668)),LEN(A668)+1,FIND(".",A668))-1),WorkList!A:C,3,FALSE)</f>
        <v>CMBS - TREPP</v>
      </c>
      <c r="G668" s="14" t="str">
        <f ca="1">VLOOKUP(CONCATENATE(A668),WorkList!A:C,3,FALSE)</f>
        <v>Take a one off copy of historic Trepp data from US</v>
      </c>
      <c r="H668" s="13" t="str">
        <f ca="1">VLOOKUP(CONCATENATE(A668),WorkList!A:D,4,FALSE)</f>
        <v>Neil</v>
      </c>
      <c r="I668" s="15">
        <f ca="1">VLOOKUP(CONCATENATE(A668),WorkList!A:E,5,FALSE)</f>
        <v>40253</v>
      </c>
      <c r="J668" s="49">
        <f ca="1">VLOOKUP(CONCATENATE(A668),WorkList!A:F,6,FALSE)</f>
        <v>1</v>
      </c>
      <c r="K668" s="49" t="str">
        <f ca="1">VLOOKUP(CONCATENATE(A668),WorkList!A:G,7,FALSE)</f>
        <v>NewDevelopment</v>
      </c>
      <c r="L668" s="7" t="s">
        <v>13</v>
      </c>
      <c r="M668" s="16">
        <v>40406</v>
      </c>
      <c r="N668" s="60">
        <f ca="1">VALUE(LEFT(C668))</f>
        <v>0</v>
      </c>
      <c r="O668" s="61">
        <f ca="1">INT(IF(N668&gt;0,1+MAX(N668*N668-(IF(D668="",TODAY()+(5-N668)*15,D668)-TODAY())/4,N668),IF(TODAY()-M668&gt;10,0,1)))</f>
        <v>0</v>
      </c>
      <c r="P668" s="1" t="str">
        <f ca="1">IF(ISNA(VLOOKUP(A668,Projects!B:B,1,FALSE)),"","Yes")</f>
        <v/>
      </c>
    </row>
    <row r="669" spans="1:16">
      <c r="A669" s="4" t="s">
        <v>1197</v>
      </c>
      <c r="B669" s="5" t="s">
        <v>11</v>
      </c>
      <c r="C669" s="6" t="s">
        <v>10</v>
      </c>
      <c r="F669" s="13" t="str">
        <f ca="1">VLOOKUP(LEFT(A669,IF(ISERROR(FIND(".",A669)),LEN(A669)+1,FIND(".",A669))-1),WorkList!A:C,3,FALSE)</f>
        <v>CMBS - TREPP</v>
      </c>
      <c r="G669" s="14" t="str">
        <f ca="1">VLOOKUP(CONCATENATE(A669),WorkList!A:C,3,FALSE)</f>
        <v>Take regular copies of Trepp download data</v>
      </c>
      <c r="H669" s="13" t="str">
        <f ca="1">VLOOKUP(CONCATENATE(A669),WorkList!A:D,4,FALSE)</f>
        <v>Neil</v>
      </c>
      <c r="I669" s="15">
        <f ca="1">VLOOKUP(CONCATENATE(A669),WorkList!A:E,5,FALSE)</f>
        <v>40337</v>
      </c>
      <c r="J669" s="49">
        <f ca="1">VLOOKUP(CONCATENATE(A669),WorkList!A:F,6,FALSE)</f>
        <v>1</v>
      </c>
      <c r="K669" s="49" t="str">
        <f ca="1">VLOOKUP(CONCATENATE(A669),WorkList!A:G,7,FALSE)</f>
        <v>NewDevelopment</v>
      </c>
      <c r="L669" s="7" t="s">
        <v>7</v>
      </c>
      <c r="M669" s="16">
        <v>40514</v>
      </c>
      <c r="N669" s="60">
        <f ca="1">VALUE(LEFT(C669))</f>
        <v>3</v>
      </c>
      <c r="O669" s="61">
        <f ca="1">INT(IF(N669&gt;0,1+MAX(N669*N669-(IF(D669="",TODAY()+(5-N669)*15,D669)-TODAY())/4,N669),IF(TODAY()-M669&gt;10,0,1)))</f>
        <v>4</v>
      </c>
      <c r="P669" s="1" t="str">
        <f ca="1">IF(ISNA(VLOOKUP(A669,Projects!B:B,1,FALSE)),"","Yes")</f>
        <v/>
      </c>
    </row>
    <row r="670" spans="1:16">
      <c r="A670" s="4" t="s">
        <v>1967</v>
      </c>
      <c r="B670" s="5" t="s">
        <v>21</v>
      </c>
      <c r="C670" s="7" t="s">
        <v>10</v>
      </c>
      <c r="F670" s="13" t="str">
        <f ca="1">VLOOKUP(LEFT(A670,IF(ISERROR(FIND(".",A670)),LEN(A670)+1,FIND(".",A670))-1),WorkList!A:C,3,FALSE)</f>
        <v>CMBS - TREPP</v>
      </c>
      <c r="G670" s="14" t="str">
        <f ca="1">VLOOKUP(CONCATENATE(A670),WorkList!A:C,3,FALSE)</f>
        <v>Automate Trepp data download</v>
      </c>
      <c r="H670" s="13" t="str">
        <f ca="1">VLOOKUP(CONCATENATE(A670),WorkList!A:D,4,FALSE)</f>
        <v>Neil</v>
      </c>
      <c r="I670" s="15">
        <f ca="1">VLOOKUP(CONCATENATE(A670),WorkList!A:E,5,FALSE)</f>
        <v>40337</v>
      </c>
      <c r="J670" s="49">
        <f ca="1">VLOOKUP(CONCATENATE(A670),WorkList!A:F,6,FALSE)</f>
        <v>7</v>
      </c>
      <c r="K670" s="49" t="str">
        <f ca="1">VLOOKUP(CONCATENATE(A670),WorkList!A:G,7,FALSE)</f>
        <v>NewDevelopment</v>
      </c>
      <c r="L670" s="7" t="s">
        <v>7</v>
      </c>
      <c r="M670" s="16">
        <v>40325</v>
      </c>
      <c r="N670" s="60">
        <f ca="1">VALUE(LEFT(C670))</f>
        <v>3</v>
      </c>
      <c r="O670" s="61">
        <f ca="1">INT(IF(N670&gt;0,1+MAX(N670*N670-(IF(D670="",TODAY()+(5-N670)*15,D670)-TODAY())/4,N670),IF(TODAY()-M670&gt;10,0,1)))</f>
        <v>4</v>
      </c>
      <c r="P670" s="1" t="str">
        <f ca="1">IF(ISNA(VLOOKUP(A670,Projects!B:B,1,FALSE)),"","Yes")</f>
        <v/>
      </c>
    </row>
    <row r="671" spans="1:16">
      <c r="A671" s="4" t="s">
        <v>712</v>
      </c>
      <c r="B671" s="5" t="s">
        <v>21</v>
      </c>
      <c r="C671" s="7" t="s">
        <v>10</v>
      </c>
      <c r="D671" s="11"/>
      <c r="F671" s="13" t="str">
        <f ca="1">VLOOKUP(LEFT(A671,IF(ISERROR(FIND(".",A671)),LEN(A671)+1,FIND(".",A671))-1),WorkList!A:C,3,FALSE)</f>
        <v>CMBS - TREPP</v>
      </c>
      <c r="G671" s="14" t="str">
        <f ca="1">VLOOKUP(CONCATENATE(A671),WorkList!A:C,3,FALSE)</f>
        <v>Implement and integrate</v>
      </c>
      <c r="H671" s="13" t="str">
        <f ca="1">VLOOKUP(CONCATENATE(A671),WorkList!A:D,4,FALSE)</f>
        <v>David Covey</v>
      </c>
      <c r="I671" s="15">
        <f ca="1">VLOOKUP(CONCATENATE(A671),WorkList!A:E,5,FALSE)</f>
        <v>40135</v>
      </c>
      <c r="J671" s="49">
        <f ca="1">VLOOKUP(CONCATENATE(A671),WorkList!A:F,6,FALSE)</f>
        <v>180</v>
      </c>
      <c r="K671" s="49" t="str">
        <f ca="1">VLOOKUP(CONCATENATE(A671),WorkList!A:G,7,FALSE)</f>
        <v>NewDevelopment</v>
      </c>
      <c r="L671" s="7" t="s">
        <v>716</v>
      </c>
      <c r="M671" s="16">
        <v>40283</v>
      </c>
      <c r="N671" s="60">
        <f ca="1">VALUE(LEFT(C671))</f>
        <v>3</v>
      </c>
      <c r="O671" s="61">
        <f ca="1">INT(IF(N671&gt;0,1+MAX(N671*N671-(IF(D671="",TODAY()+(5-N671)*15,D671)-TODAY())/4,N671),IF(TODAY()-M671&gt;10,0,1)))</f>
        <v>4</v>
      </c>
      <c r="P671" s="1" t="str">
        <f ca="1">IF(ISNA(VLOOKUP(A671,Projects!B:B,1,FALSE)),"","Yes")</f>
        <v/>
      </c>
    </row>
    <row r="672" spans="1:16">
      <c r="A672" s="4" t="s">
        <v>1042</v>
      </c>
      <c r="B672" s="5" t="s">
        <v>11</v>
      </c>
      <c r="C672" s="7" t="s">
        <v>48</v>
      </c>
      <c r="D672" s="11"/>
      <c r="F672" s="13" t="str">
        <f ca="1">VLOOKUP(LEFT(A672,IF(ISERROR(FIND(".",A672)),LEN(A672)+1,FIND(".",A672))-1),WorkList!A:C,3,FALSE)</f>
        <v>CMBS - TREPP</v>
      </c>
      <c r="G672" s="14" t="str">
        <f ca="1">VLOOKUP(CONCATENATE(A672),WorkList!A:C,3,FALSE)</f>
        <v>Plan collaboration with US</v>
      </c>
      <c r="H672" s="13" t="str">
        <f ca="1">VLOOKUP(CONCATENATE(A672),WorkList!A:D,4,FALSE)</f>
        <v>Neil</v>
      </c>
      <c r="I672" s="15">
        <f ca="1">VLOOKUP(CONCATENATE(A672),WorkList!A:E,5,FALSE)</f>
        <v>40275</v>
      </c>
      <c r="J672" s="49">
        <f ca="1">VLOOKUP(CONCATENATE(A672),WorkList!A:F,6,FALSE)</f>
        <v>2</v>
      </c>
      <c r="K672" s="49">
        <f ca="1">VLOOKUP(CONCATENATE(A672),WorkList!A:G,7,FALSE)</f>
        <v>0</v>
      </c>
      <c r="L672" s="7" t="s">
        <v>13</v>
      </c>
      <c r="M672" s="16">
        <v>40283</v>
      </c>
      <c r="N672" s="60">
        <f ca="1">VALUE(LEFT(C672))</f>
        <v>0</v>
      </c>
      <c r="O672" s="61">
        <f ca="1">INT(IF(N672&gt;0,1+MAX(N672*N672-(IF(D672="",TODAY()+(5-N672)*15,D672)-TODAY())/4,N672),IF(TODAY()-M672&gt;10,0,1)))</f>
        <v>0</v>
      </c>
      <c r="P672" s="1" t="str">
        <f ca="1">IF(ISNA(VLOOKUP(A672,Projects!B:B,1,FALSE)),"","Yes")</f>
        <v/>
      </c>
    </row>
    <row r="673" spans="1:16">
      <c r="A673" s="4" t="s">
        <v>1931</v>
      </c>
      <c r="B673" s="5" t="s">
        <v>11</v>
      </c>
      <c r="C673" s="7" t="s">
        <v>48</v>
      </c>
      <c r="D673" s="11"/>
      <c r="F673" s="13" t="str">
        <f ca="1">VLOOKUP(LEFT(A673,IF(ISERROR(FIND(".",A673)),LEN(A673)+1,FIND(".",A673))-1),WorkList!A:C,3,FALSE)</f>
        <v>Collateral Model</v>
      </c>
      <c r="G673" s="14" t="str">
        <f ca="1">VLOOKUP(CONCATENATE(A673),WorkList!A:C,3,FALSE)</f>
        <v>Design Architecture and plan</v>
      </c>
      <c r="H673" s="13" t="str">
        <f ca="1">VLOOKUP(CONCATENATE(A673),WorkList!A:D,4,FALSE)</f>
        <v>David Covey</v>
      </c>
      <c r="I673" s="15">
        <f ca="1">VLOOKUP(CONCATENATE(A673),WorkList!A:E,5,FALSE)</f>
        <v>40200</v>
      </c>
      <c r="J673" s="49">
        <f ca="1">VLOOKUP(CONCATENATE(A673),WorkList!A:F,6,FALSE)</f>
        <v>2</v>
      </c>
      <c r="K673" s="49">
        <f ca="1">VLOOKUP(CONCATENATE(A673),WorkList!A:G,7,FALSE)</f>
        <v>0</v>
      </c>
      <c r="L673" s="7" t="s">
        <v>13</v>
      </c>
      <c r="M673" s="16">
        <v>40218</v>
      </c>
      <c r="N673" s="60">
        <f ca="1">VALUE(LEFT(C673))</f>
        <v>0</v>
      </c>
      <c r="O673" s="61">
        <f ca="1">INT(IF(N673&gt;0,1+MAX(N673*N673-(IF(D673="",TODAY()+(5-N673)*15,D673)-TODAY())/4,N673),IF(TODAY()-M673&gt;10,0,1)))</f>
        <v>0</v>
      </c>
      <c r="P673" s="1" t="str">
        <f ca="1">IF(ISNA(VLOOKUP(A673,Projects!B:B,1,FALSE)),"","Yes")</f>
        <v/>
      </c>
    </row>
    <row r="674" spans="1:16">
      <c r="A674" s="4" t="s">
        <v>1932</v>
      </c>
      <c r="B674" s="5" t="s">
        <v>32</v>
      </c>
      <c r="C674" s="7" t="s">
        <v>684</v>
      </c>
      <c r="F674" s="13" t="str">
        <f ca="1">VLOOKUP(LEFT(A674,IF(ISERROR(FIND(".",A674)),LEN(A674)+1,FIND(".",A674))-1),WorkList!A:C,3,FALSE)</f>
        <v>Collateral Model</v>
      </c>
      <c r="G674" s="14" t="str">
        <f ca="1">VLOOKUP(CONCATENATE(A674),WorkList!A:C,3,FALSE)</f>
        <v>Manage first trunk/production release</v>
      </c>
      <c r="H674" s="13" t="str">
        <f ca="1">VLOOKUP(CONCATENATE(A674),WorkList!A:D,4,FALSE)</f>
        <v>Neil</v>
      </c>
      <c r="I674" s="15">
        <f ca="1">VLOOKUP(CONCATENATE(A674),WorkList!A:E,5,FALSE)</f>
        <v>40590</v>
      </c>
      <c r="J674" s="49">
        <f ca="1">VLOOKUP(CONCATENATE(A674),WorkList!A:F,6,FALSE)</f>
        <v>5</v>
      </c>
      <c r="K674" s="49" t="str">
        <f ca="1">VLOOKUP(CONCATENATE(A674),WorkList!A:G,7,FALSE)</f>
        <v>NewDevelopment</v>
      </c>
      <c r="L674" s="7" t="s">
        <v>5</v>
      </c>
      <c r="M674" s="16">
        <v>40590</v>
      </c>
      <c r="N674" s="60">
        <f ca="1">VALUE(LEFT(C674))</f>
        <v>5</v>
      </c>
      <c r="O674" s="61">
        <f ca="1">INT(IF(N674&gt;0,1+MAX(N674*N674-(IF(D674="",TODAY()+(5-N674)*15,D674)-TODAY())/4,N674),IF(TODAY()-M674&gt;10,0,1)))</f>
        <v>26</v>
      </c>
      <c r="P674" s="1" t="str">
        <f ca="1">IF(ISNA(VLOOKUP(A674,Projects!B:B,1,FALSE)),"","Yes")</f>
        <v/>
      </c>
    </row>
    <row r="675" spans="1:16">
      <c r="A675" s="4" t="s">
        <v>890</v>
      </c>
      <c r="B675" s="5" t="s">
        <v>32</v>
      </c>
      <c r="C675" s="6" t="s">
        <v>48</v>
      </c>
      <c r="D675" s="11"/>
      <c r="F675" s="13" t="str">
        <f ca="1">VLOOKUP(LEFT(A675,IF(ISERROR(FIND(".",A675)),LEN(A675)+1,FIND(".",A675))-1),WorkList!A:C,3,FALSE)</f>
        <v>Collateral Model</v>
      </c>
      <c r="G675" s="14" t="str">
        <f ca="1">VLOOKUP(CONCATENATE(A675),WorkList!A:C,3,FALSE)</f>
        <v>Collateral Model: Initial Design of Framework</v>
      </c>
      <c r="H675" s="13" t="str">
        <f ca="1">VLOOKUP(CONCATENATE(A675),WorkList!A:D,4,FALSE)</f>
        <v>Neil</v>
      </c>
      <c r="I675" s="15">
        <f ca="1">VLOOKUP(CONCATENATE(A675),WorkList!A:E,5,FALSE)</f>
        <v>40232</v>
      </c>
      <c r="J675" s="49">
        <f ca="1">VLOOKUP(CONCATENATE(A675),WorkList!A:F,6,FALSE)</f>
        <v>5</v>
      </c>
      <c r="K675" s="49">
        <f ca="1">VLOOKUP(CONCATENATE(A675),WorkList!A:G,7,FALSE)</f>
        <v>0</v>
      </c>
      <c r="L675" s="7" t="s">
        <v>13</v>
      </c>
      <c r="M675" s="16">
        <v>40232</v>
      </c>
      <c r="N675" s="60">
        <f ca="1">VALUE(LEFT(C675))</f>
        <v>0</v>
      </c>
      <c r="O675" s="61">
        <f ca="1">INT(IF(N675&gt;0,1+MAX(N675*N675-(IF(D675="",TODAY()+(5-N675)*15,D675)-TODAY())/4,N675),IF(TODAY()-M675&gt;10,0,1)))</f>
        <v>0</v>
      </c>
      <c r="P675" s="1" t="str">
        <f ca="1">IF(ISNA(VLOOKUP(A675,Projects!B:B,1,FALSE)),"","Yes")</f>
        <v>Yes</v>
      </c>
    </row>
    <row r="676" spans="1:16">
      <c r="A676" s="4" t="s">
        <v>891</v>
      </c>
      <c r="B676" s="5" t="s">
        <v>685</v>
      </c>
      <c r="C676" s="6" t="s">
        <v>48</v>
      </c>
      <c r="D676" s="11"/>
      <c r="F676" s="13" t="str">
        <f ca="1">VLOOKUP(LEFT(A676,IF(ISERROR(FIND(".",A676)),LEN(A676)+1,FIND(".",A676))-1),WorkList!A:C,3,FALSE)</f>
        <v>Collateral Model</v>
      </c>
      <c r="G676" s="14" t="str">
        <f ca="1">VLOOKUP(CONCATENATE(A676),WorkList!A:C,3,FALSE)</f>
        <v>Collateral Model: Review and agree design</v>
      </c>
      <c r="H676" s="13" t="str">
        <f ca="1">VLOOKUP(CONCATENATE(A676),WorkList!A:D,4,FALSE)</f>
        <v>Neil</v>
      </c>
      <c r="I676" s="15">
        <f ca="1">VLOOKUP(CONCATENATE(A676),WorkList!A:E,5,FALSE)</f>
        <v>40232</v>
      </c>
      <c r="J676" s="49">
        <f ca="1">VLOOKUP(CONCATENATE(A676),WorkList!A:F,6,FALSE)</f>
        <v>2</v>
      </c>
      <c r="K676" s="49">
        <f ca="1">VLOOKUP(CONCATENATE(A676),WorkList!A:G,7,FALSE)</f>
        <v>0</v>
      </c>
      <c r="L676" s="7" t="s">
        <v>13</v>
      </c>
      <c r="M676" s="16">
        <v>40246</v>
      </c>
      <c r="N676" s="60">
        <f ca="1">VALUE(LEFT(C676))</f>
        <v>0</v>
      </c>
      <c r="O676" s="61">
        <f ca="1">INT(IF(N676&gt;0,1+MAX(N676*N676-(IF(D676="",TODAY()+(5-N676)*15,D676)-TODAY())/4,N676),IF(TODAY()-M676&gt;10,0,1)))</f>
        <v>0</v>
      </c>
      <c r="P676" s="1" t="str">
        <f ca="1">IF(ISNA(VLOOKUP(A676,Projects!B:B,1,FALSE)),"","Yes")</f>
        <v>Yes</v>
      </c>
    </row>
    <row r="677" spans="1:16">
      <c r="A677" s="4" t="s">
        <v>892</v>
      </c>
      <c r="B677" s="5" t="s">
        <v>32</v>
      </c>
      <c r="C677" s="7" t="s">
        <v>48</v>
      </c>
      <c r="D677" s="11"/>
      <c r="F677" s="13" t="str">
        <f ca="1">VLOOKUP(LEFT(A677,IF(ISERROR(FIND(".",A677)),LEN(A677)+1,FIND(".",A677))-1),WorkList!A:C,3,FALSE)</f>
        <v>Collateral Model</v>
      </c>
      <c r="G677" s="14" t="str">
        <f ca="1">VLOOKUP(CONCATENATE(A677),WorkList!A:C,3,FALSE)</f>
        <v>Collateral Model: First core implementation</v>
      </c>
      <c r="H677" s="13" t="str">
        <f ca="1">VLOOKUP(CONCATENATE(A677),WorkList!A:D,4,FALSE)</f>
        <v>Neil</v>
      </c>
      <c r="I677" s="15">
        <f ca="1">VLOOKUP(CONCATENATE(A677),WorkList!A:E,5,FALSE)</f>
        <v>40218</v>
      </c>
      <c r="J677" s="49">
        <f ca="1">VLOOKUP(CONCATENATE(A677),WorkList!A:F,6,FALSE)</f>
        <v>5</v>
      </c>
      <c r="K677" s="49">
        <f ca="1">VLOOKUP(CONCATENATE(A677),WorkList!A:G,7,FALSE)</f>
        <v>0</v>
      </c>
      <c r="L677" s="7" t="s">
        <v>13</v>
      </c>
      <c r="M677" s="16">
        <v>40283</v>
      </c>
      <c r="N677" s="60">
        <f ca="1">VALUE(LEFT(C677))</f>
        <v>0</v>
      </c>
      <c r="O677" s="61">
        <f ca="1">INT(IF(N677&gt;0,1+MAX(N677*N677-(IF(D677="",TODAY()+(5-N677)*15,D677)-TODAY())/4,N677),IF(TODAY()-M677&gt;10,0,1)))</f>
        <v>0</v>
      </c>
      <c r="P677" s="1" t="str">
        <f ca="1">IF(ISNA(VLOOKUP(A677,Projects!B:B,1,FALSE)),"","Yes")</f>
        <v>Yes</v>
      </c>
    </row>
    <row r="678" spans="1:16">
      <c r="A678" s="4" t="s">
        <v>893</v>
      </c>
      <c r="B678" s="5" t="s">
        <v>685</v>
      </c>
      <c r="C678" s="7" t="s">
        <v>48</v>
      </c>
      <c r="D678" s="11"/>
      <c r="F678" s="13" t="str">
        <f ca="1">VLOOKUP(LEFT(A678,IF(ISERROR(FIND(".",A678)),LEN(A678)+1,FIND(".",A678))-1),WorkList!A:C,3,FALSE)</f>
        <v>Collateral Model</v>
      </c>
      <c r="G678" s="14" t="str">
        <f ca="1">VLOOKUP(CONCATENATE(A678),WorkList!A:C,3,FALSE)</f>
        <v>Collateral Model: Review and agree implementation</v>
      </c>
      <c r="H678" s="13" t="str">
        <f ca="1">VLOOKUP(CONCATENATE(A678),WorkList!A:D,4,FALSE)</f>
        <v>Neil</v>
      </c>
      <c r="I678" s="15">
        <f ca="1">VLOOKUP(CONCATENATE(A678),WorkList!A:E,5,FALSE)</f>
        <v>40218</v>
      </c>
      <c r="J678" s="49">
        <f ca="1">VLOOKUP(CONCATENATE(A678),WorkList!A:F,6,FALSE)</f>
        <v>2</v>
      </c>
      <c r="K678" s="49">
        <f ca="1">VLOOKUP(CONCATENATE(A678),WorkList!A:G,7,FALSE)</f>
        <v>0</v>
      </c>
      <c r="L678" s="7" t="s">
        <v>13</v>
      </c>
      <c r="M678" s="16">
        <v>40291</v>
      </c>
      <c r="N678" s="60">
        <f ca="1">VALUE(LEFT(C678))</f>
        <v>0</v>
      </c>
      <c r="O678" s="61">
        <f ca="1">INT(IF(N678&gt;0,1+MAX(N678*N678-(IF(D678="",TODAY()+(5-N678)*15,D678)-TODAY())/4,N678),IF(TODAY()-M678&gt;10,0,1)))</f>
        <v>0</v>
      </c>
      <c r="P678" s="1" t="str">
        <f ca="1">IF(ISNA(VLOOKUP(A678,Projects!B:B,1,FALSE)),"","Yes")</f>
        <v>Yes</v>
      </c>
    </row>
    <row r="679" spans="1:16">
      <c r="A679" s="4" t="s">
        <v>897</v>
      </c>
      <c r="B679" s="5" t="s">
        <v>32</v>
      </c>
      <c r="C679" s="6" t="s">
        <v>48</v>
      </c>
      <c r="D679" s="11">
        <v>40263</v>
      </c>
      <c r="F679" s="13" t="str">
        <f ca="1">VLOOKUP(LEFT(A679,IF(ISERROR(FIND(".",A679)),LEN(A679)+1,FIND(".",A679))-1),WorkList!A:C,3,FALSE)</f>
        <v>Collateral Model</v>
      </c>
      <c r="G679" s="14" t="str">
        <f ca="1">VLOOKUP(CONCATENATE(A679),WorkList!A:C,3,FALSE)</f>
        <v>Collateral Model: Complete implementation</v>
      </c>
      <c r="H679" s="13" t="str">
        <f ca="1">VLOOKUP(CONCATENATE(A679),WorkList!A:D,4,FALSE)</f>
        <v>Neil</v>
      </c>
      <c r="I679" s="15">
        <f ca="1">VLOOKUP(CONCATENATE(A679),WorkList!A:E,5,FALSE)</f>
        <v>40284</v>
      </c>
      <c r="J679" s="49">
        <f ca="1">VLOOKUP(CONCATENATE(A679),WorkList!A:F,6,FALSE)</f>
        <v>15</v>
      </c>
      <c r="K679" s="49" t="str">
        <f ca="1">VLOOKUP(CONCATENATE(A679),WorkList!A:G,7,FALSE)</f>
        <v>NewDevelopment</v>
      </c>
      <c r="L679" s="7" t="s">
        <v>13</v>
      </c>
      <c r="M679" s="16">
        <v>40365</v>
      </c>
      <c r="N679" s="60">
        <f ca="1">VALUE(LEFT(C679))</f>
        <v>0</v>
      </c>
      <c r="O679" s="61">
        <f ca="1">INT(IF(N679&gt;0,1+MAX(N679*N679-(IF(D679="",TODAY()+(5-N679)*15,D679)-TODAY())/4,N679),IF(TODAY()-M679&gt;10,0,1)))</f>
        <v>0</v>
      </c>
      <c r="P679" s="1" t="str">
        <f ca="1">IF(ISNA(VLOOKUP(A679,Projects!B:B,1,FALSE)),"","Yes")</f>
        <v>Yes</v>
      </c>
    </row>
    <row r="680" spans="1:16">
      <c r="A680" s="4" t="s">
        <v>1068</v>
      </c>
      <c r="B680" s="5" t="s">
        <v>37</v>
      </c>
      <c r="C680" s="6" t="s">
        <v>48</v>
      </c>
      <c r="D680" s="11">
        <v>40308</v>
      </c>
      <c r="F680" s="13" t="str">
        <f ca="1">VLOOKUP(LEFT(A680,IF(ISERROR(FIND(".",A680)),LEN(A680)+1,FIND(".",A680))-1),WorkList!A:C,3,FALSE)</f>
        <v>Collateral Model</v>
      </c>
      <c r="G680" s="14" t="str">
        <f ca="1">VLOOKUP(CONCATENATE(A680),WorkList!A:C,3,FALSE)</f>
        <v>Collateral Model: Incorporate updated model coefficients</v>
      </c>
      <c r="H680" s="13" t="str">
        <f ca="1">VLOOKUP(CONCATENATE(A680),WorkList!A:D,4,FALSE)</f>
        <v>Pramendra</v>
      </c>
      <c r="I680" s="15">
        <f ca="1">VLOOKUP(CONCATENATE(A680),WorkList!A:E,5,FALSE)</f>
        <v>40284</v>
      </c>
      <c r="J680" s="49">
        <f ca="1">VLOOKUP(CONCATENATE(A680),WorkList!A:F,6,FALSE)</f>
        <v>5</v>
      </c>
      <c r="K680" s="49" t="str">
        <f ca="1">VLOOKUP(CONCATENATE(A680),WorkList!A:G,7,FALSE)</f>
        <v>NewDevelopment</v>
      </c>
      <c r="L680" s="7" t="s">
        <v>13</v>
      </c>
      <c r="M680" s="16">
        <v>40394</v>
      </c>
      <c r="N680" s="60">
        <f ca="1">VALUE(LEFT(C680))</f>
        <v>0</v>
      </c>
      <c r="O680" s="61">
        <f ca="1">INT(IF(N680&gt;0,1+MAX(N680*N680-(IF(D680="",TODAY()+(5-N680)*15,D680)-TODAY())/4,N680),IF(TODAY()-M680&gt;10,0,1)))</f>
        <v>0</v>
      </c>
      <c r="P680" s="1" t="str">
        <f ca="1">IF(ISNA(VLOOKUP(A680,Projects!B:B,1,FALSE)),"","Yes")</f>
        <v>Yes</v>
      </c>
    </row>
    <row r="681" spans="1:16">
      <c r="A681" s="4" t="s">
        <v>1332</v>
      </c>
      <c r="B681" s="5" t="s">
        <v>32</v>
      </c>
      <c r="C681" s="7" t="s">
        <v>48</v>
      </c>
      <c r="F681" s="13" t="str">
        <f ca="1">VLOOKUP(LEFT(A681,IF(ISERROR(FIND(".",A681)),LEN(A681)+1,FIND(".",A681))-1),WorkList!A:C,3,FALSE)</f>
        <v>Collateral Model</v>
      </c>
      <c r="G681" s="14" t="str">
        <f ca="1">VLOOKUP(CONCATENATE(A681),WorkList!A:C,3,FALSE)</f>
        <v>Collateral Model: UAT - Backtesting</v>
      </c>
      <c r="H681" s="13" t="str">
        <f ca="1">VLOOKUP(CONCATENATE(A681),WorkList!A:D,4,FALSE)</f>
        <v>Danny</v>
      </c>
      <c r="I681" s="15">
        <f ca="1">VLOOKUP(CONCATENATE(A681),WorkList!A:E,5,FALSE)</f>
        <v>40361</v>
      </c>
      <c r="J681" s="49">
        <f ca="1">VLOOKUP(CONCATENATE(A681),WorkList!A:F,6,FALSE)</f>
        <v>4</v>
      </c>
      <c r="K681" s="49" t="str">
        <f ca="1">VLOOKUP(CONCATENATE(A681),WorkList!A:G,7,FALSE)</f>
        <v>NewDevelopment</v>
      </c>
      <c r="L681" s="7" t="s">
        <v>13</v>
      </c>
      <c r="M681" s="16">
        <v>40598</v>
      </c>
      <c r="N681" s="60">
        <f ca="1">VALUE(LEFT(C681))</f>
        <v>0</v>
      </c>
      <c r="O681" s="61">
        <f ca="1">INT(IF(N681&gt;0,1+MAX(N681*N681-(IF(D681="",TODAY()+(5-N681)*15,D681)-TODAY())/4,N681),IF(TODAY()-M681&gt;10,0,1)))</f>
        <v>1</v>
      </c>
      <c r="P681" s="1" t="str">
        <f ca="1">IF(ISNA(VLOOKUP(A681,Projects!B:B,1,FALSE)),"","Yes")</f>
        <v>Yes</v>
      </c>
    </row>
    <row r="682" spans="1:16">
      <c r="A682" s="4" t="s">
        <v>1164</v>
      </c>
      <c r="B682" s="5" t="s">
        <v>32</v>
      </c>
      <c r="C682" s="6" t="s">
        <v>48</v>
      </c>
      <c r="F682" s="13" t="str">
        <f ca="1">VLOOKUP(LEFT(A682,IF(ISERROR(FIND(".",A682)),LEN(A682)+1,FIND(".",A682))-1),WorkList!A:C,3,FALSE)</f>
        <v>Collateral Model</v>
      </c>
      <c r="G682" s="14" t="str">
        <f ca="1">VLOOKUP(CONCATENATE(A682),WorkList!A:C,3,FALSE)</f>
        <v>ModelCashflows: Gather requirements</v>
      </c>
      <c r="H682" s="13" t="str">
        <f ca="1">VLOOKUP(CONCATENATE(A682),WorkList!A:D,4,FALSE)</f>
        <v>Danny</v>
      </c>
      <c r="I682" s="15">
        <f ca="1">VLOOKUP(CONCATENATE(A682),WorkList!A:E,5,FALSE)</f>
        <v>40325</v>
      </c>
      <c r="J682" s="49">
        <f ca="1">VLOOKUP(CONCATENATE(A682),WorkList!A:F,6,FALSE)</f>
        <v>1</v>
      </c>
      <c r="K682" s="49" t="str">
        <f ca="1">VLOOKUP(CONCATENATE(A682),WorkList!A:G,7,FALSE)</f>
        <v>NewDevelopment</v>
      </c>
      <c r="L682" s="7" t="s">
        <v>13</v>
      </c>
      <c r="M682" s="16">
        <v>40322</v>
      </c>
      <c r="N682" s="60">
        <f ca="1">VALUE(LEFT(C682))</f>
        <v>0</v>
      </c>
      <c r="O682" s="61">
        <f ca="1">INT(IF(N682&gt;0,1+MAX(N682*N682-(IF(D682="",TODAY()+(5-N682)*15,D682)-TODAY())/4,N682),IF(TODAY()-M682&gt;10,0,1)))</f>
        <v>0</v>
      </c>
      <c r="P682" s="1" t="str">
        <f ca="1">IF(ISNA(VLOOKUP(A682,Projects!B:B,1,FALSE)),"","Yes")</f>
        <v>Yes</v>
      </c>
    </row>
    <row r="683" spans="1:16">
      <c r="A683" s="4" t="s">
        <v>1277</v>
      </c>
      <c r="B683" s="5" t="s">
        <v>37</v>
      </c>
      <c r="C683" s="7" t="s">
        <v>48</v>
      </c>
      <c r="F683" s="13" t="str">
        <f ca="1">VLOOKUP(LEFT(A683,IF(ISERROR(FIND(".",A683)),LEN(A683)+1,FIND(".",A683))-1),WorkList!A:C,3,FALSE)</f>
        <v>Collateral Model</v>
      </c>
      <c r="G683" s="14" t="str">
        <f ca="1">VLOOKUP(CONCATENATE(A683),WorkList!A:C,3,FALSE)</f>
        <v>ModelCashflows: Complete</v>
      </c>
      <c r="H683" s="13" t="str">
        <f ca="1">VLOOKUP(CONCATENATE(A683),WorkList!A:D,4,FALSE)</f>
        <v>Neil</v>
      </c>
      <c r="I683" s="15">
        <f ca="1">VLOOKUP(CONCATENATE(A683),WorkList!A:E,5,FALSE)</f>
        <v>40353</v>
      </c>
      <c r="J683" s="49">
        <f ca="1">VLOOKUP(CONCATENATE(A683),WorkList!A:F,6,FALSE)</f>
        <v>1</v>
      </c>
      <c r="K683" s="49" t="str">
        <f ca="1">VLOOKUP(CONCATENATE(A683),WorkList!A:G,7,FALSE)</f>
        <v>NewDevelopment</v>
      </c>
      <c r="L683" s="7" t="s">
        <v>13</v>
      </c>
      <c r="M683" s="16">
        <v>40598</v>
      </c>
      <c r="N683" s="60">
        <f ca="1">VALUE(LEFT(C683))</f>
        <v>0</v>
      </c>
      <c r="O683" s="61">
        <f ca="1">INT(IF(N683&gt;0,1+MAX(N683*N683-(IF(D683="",TODAY()+(5-N683)*15,D683)-TODAY())/4,N683),IF(TODAY()-M683&gt;10,0,1)))</f>
        <v>1</v>
      </c>
      <c r="P683" s="1" t="str">
        <f ca="1">IF(ISNA(VLOOKUP(A683,Projects!B:B,1,FALSE)),"","Yes")</f>
        <v>Yes</v>
      </c>
    </row>
    <row r="684" spans="1:16">
      <c r="A684" s="4" t="s">
        <v>1165</v>
      </c>
      <c r="B684" s="5" t="s">
        <v>37</v>
      </c>
      <c r="C684" s="6" t="s">
        <v>48</v>
      </c>
      <c r="D684" s="7">
        <v>40359</v>
      </c>
      <c r="F684" s="13" t="str">
        <f ca="1">VLOOKUP(LEFT(A684,IF(ISERROR(FIND(".",A684)),LEN(A684)+1,FIND(".",A684))-1),WorkList!A:C,3,FALSE)</f>
        <v>Collateral Model</v>
      </c>
      <c r="G684" s="14" t="str">
        <f ca="1">VLOOKUP(CONCATENATE(A684),WorkList!A:C,3,FALSE)</f>
        <v>ModelCashflows: Produce initial design</v>
      </c>
      <c r="H684" s="13" t="str">
        <f ca="1">VLOOKUP(CONCATENATE(A684),WorkList!A:D,4,FALSE)</f>
        <v>Pramendra</v>
      </c>
      <c r="I684" s="15">
        <f ca="1">VLOOKUP(CONCATENATE(A684),WorkList!A:E,5,FALSE)</f>
        <v>40325</v>
      </c>
      <c r="J684" s="49">
        <f ca="1">VLOOKUP(CONCATENATE(A684),WorkList!A:F,6,FALSE)</f>
        <v>2</v>
      </c>
      <c r="K684" s="49" t="str">
        <f ca="1">VLOOKUP(CONCATENATE(A684),WorkList!A:G,7,FALSE)</f>
        <v>NewDevelopment</v>
      </c>
      <c r="L684" s="7" t="s">
        <v>13</v>
      </c>
      <c r="M684" s="16">
        <v>40373</v>
      </c>
      <c r="N684" s="60">
        <f ca="1">VALUE(LEFT(C684))</f>
        <v>0</v>
      </c>
      <c r="O684" s="61">
        <f ca="1">INT(IF(N684&gt;0,1+MAX(N684*N684-(IF(D684="",TODAY()+(5-N684)*15,D684)-TODAY())/4,N684),IF(TODAY()-M684&gt;10,0,1)))</f>
        <v>0</v>
      </c>
      <c r="P684" s="1" t="str">
        <f ca="1">IF(ISNA(VLOOKUP(A684,Projects!B:B,1,FALSE)),"","Yes")</f>
        <v>Yes</v>
      </c>
    </row>
    <row r="685" spans="1:16">
      <c r="A685" s="4" t="s">
        <v>1166</v>
      </c>
      <c r="B685" s="5" t="s">
        <v>685</v>
      </c>
      <c r="C685" s="6" t="s">
        <v>48</v>
      </c>
      <c r="D685" s="7">
        <v>40362</v>
      </c>
      <c r="F685" s="13" t="str">
        <f ca="1">VLOOKUP(LEFT(A685,IF(ISERROR(FIND(".",A685)),LEN(A685)+1,FIND(".",A685))-1),WorkList!A:C,3,FALSE)</f>
        <v>Collateral Model</v>
      </c>
      <c r="G685" s="14" t="str">
        <f ca="1">VLOOKUP(CONCATENATE(A685),WorkList!A:C,3,FALSE)</f>
        <v>ModelCashflows: Review initial design</v>
      </c>
      <c r="H685" s="13" t="str">
        <f ca="1">VLOOKUP(CONCATENATE(A685),WorkList!A:D,4,FALSE)</f>
        <v>Neil</v>
      </c>
      <c r="I685" s="15">
        <f ca="1">VLOOKUP(CONCATENATE(A685),WorkList!A:E,5,FALSE)</f>
        <v>40353</v>
      </c>
      <c r="J685" s="49">
        <f ca="1">VLOOKUP(CONCATENATE(A685),WorkList!A:F,6,FALSE)</f>
        <v>2</v>
      </c>
      <c r="K685" s="49" t="str">
        <f ca="1">VLOOKUP(CONCATENATE(A685),WorkList!A:G,7,FALSE)</f>
        <v>NewDevelopment</v>
      </c>
      <c r="L685" s="7" t="s">
        <v>13</v>
      </c>
      <c r="M685" s="16">
        <v>40373</v>
      </c>
      <c r="N685" s="60">
        <f ca="1">VALUE(LEFT(C685))</f>
        <v>0</v>
      </c>
      <c r="O685" s="61">
        <f ca="1">INT(IF(N685&gt;0,1+MAX(N685*N685-(IF(D685="",TODAY()+(5-N685)*15,D685)-TODAY())/4,N685),IF(TODAY()-M685&gt;10,0,1)))</f>
        <v>0</v>
      </c>
      <c r="P685" s="1" t="str">
        <f ca="1">IF(ISNA(VLOOKUP(A685,Projects!B:B,1,FALSE)),"","Yes")</f>
        <v>Yes</v>
      </c>
    </row>
    <row r="686" spans="1:16">
      <c r="A686" s="4" t="s">
        <v>1264</v>
      </c>
      <c r="B686" s="5" t="s">
        <v>37</v>
      </c>
      <c r="C686" s="6" t="s">
        <v>48</v>
      </c>
      <c r="D686" s="7">
        <v>40366</v>
      </c>
      <c r="F686" s="13" t="str">
        <f ca="1">VLOOKUP(LEFT(A686,IF(ISERROR(FIND(".",A686)),LEN(A686)+1,FIND(".",A686))-1),WorkList!A:C,3,FALSE)</f>
        <v>Collateral Model</v>
      </c>
      <c r="G686" s="14" t="str">
        <f ca="1">VLOOKUP(CONCATENATE(A686),WorkList!A:C,3,FALSE)</f>
        <v>ModelCashflows: First Implementation</v>
      </c>
      <c r="H686" s="13" t="str">
        <f ca="1">VLOOKUP(CONCATENATE(A686),WorkList!A:D,4,FALSE)</f>
        <v>Neil</v>
      </c>
      <c r="I686" s="15">
        <f ca="1">VLOOKUP(CONCATENATE(A686),WorkList!A:E,5,FALSE)</f>
        <v>40353</v>
      </c>
      <c r="J686" s="49">
        <f ca="1">VLOOKUP(CONCATENATE(A686),WorkList!A:F,6,FALSE)</f>
        <v>3</v>
      </c>
      <c r="K686" s="49" t="str">
        <f ca="1">VLOOKUP(CONCATENATE(A686),WorkList!A:G,7,FALSE)</f>
        <v>NewDevelopment</v>
      </c>
      <c r="L686" s="7" t="s">
        <v>13</v>
      </c>
      <c r="M686" s="16">
        <v>40424</v>
      </c>
      <c r="N686" s="60">
        <f ca="1">VALUE(LEFT(C686))</f>
        <v>0</v>
      </c>
      <c r="O686" s="61">
        <f ca="1">INT(IF(N686&gt;0,1+MAX(N686*N686-(IF(D686="",TODAY()+(5-N686)*15,D686)-TODAY())/4,N686),IF(TODAY()-M686&gt;10,0,1)))</f>
        <v>0</v>
      </c>
      <c r="P686" s="1" t="str">
        <f ca="1">IF(ISNA(VLOOKUP(A686,Projects!B:B,1,FALSE)),"","Yes")</f>
        <v>Yes</v>
      </c>
    </row>
    <row r="687" spans="1:16">
      <c r="A687" s="4" t="s">
        <v>1272</v>
      </c>
      <c r="B687" s="5" t="s">
        <v>11</v>
      </c>
      <c r="C687" s="6" t="s">
        <v>48</v>
      </c>
      <c r="D687" s="7">
        <v>40410</v>
      </c>
      <c r="F687" s="13" t="str">
        <f ca="1">VLOOKUP(LEFT(A687,IF(ISERROR(FIND(".",A687)),LEN(A687)+1,FIND(".",A687))-1),WorkList!A:C,3,FALSE)</f>
        <v>Collateral Model</v>
      </c>
      <c r="G687" s="14" t="str">
        <f ca="1">VLOOKUP(CONCATENATE(A687),WorkList!A:C,3,FALSE)</f>
        <v>ModelCashflows: Review Implementation</v>
      </c>
      <c r="H687" s="13" t="str">
        <f ca="1">VLOOKUP(CONCATENATE(A687),WorkList!A:D,4,FALSE)</f>
        <v>Neil</v>
      </c>
      <c r="I687" s="15">
        <f ca="1">VLOOKUP(CONCATENATE(A687),WorkList!A:E,5,FALSE)</f>
        <v>40353</v>
      </c>
      <c r="J687" s="49">
        <f ca="1">VLOOKUP(CONCATENATE(A687),WorkList!A:F,6,FALSE)</f>
        <v>1</v>
      </c>
      <c r="K687" s="49" t="str">
        <f ca="1">VLOOKUP(CONCATENATE(A687),WorkList!A:G,7,FALSE)</f>
        <v>NewDevelopment</v>
      </c>
      <c r="L687" s="7" t="s">
        <v>13</v>
      </c>
      <c r="M687" s="16">
        <v>40457</v>
      </c>
      <c r="N687" s="60">
        <f ca="1">VALUE(LEFT(C687))</f>
        <v>0</v>
      </c>
      <c r="O687" s="61">
        <f ca="1">INT(IF(N687&gt;0,1+MAX(N687*N687-(IF(D687="",TODAY()+(5-N687)*15,D687)-TODAY())/4,N687),IF(TODAY()-M687&gt;10,0,1)))</f>
        <v>0</v>
      </c>
      <c r="P687" s="1" t="str">
        <f ca="1">IF(ISNA(VLOOKUP(A687,Projects!B:B,1,FALSE)),"","Yes")</f>
        <v>Yes</v>
      </c>
    </row>
    <row r="688" spans="1:16">
      <c r="A688" s="4" t="s">
        <v>1273</v>
      </c>
      <c r="B688" s="5" t="s">
        <v>37</v>
      </c>
      <c r="C688" s="6" t="s">
        <v>48</v>
      </c>
      <c r="D688" s="7">
        <v>40374</v>
      </c>
      <c r="F688" s="13" t="str">
        <f ca="1">VLOOKUP(LEFT(A688,IF(ISERROR(FIND(".",A688)),LEN(A688)+1,FIND(".",A688))-1),WorkList!A:C,3,FALSE)</f>
        <v>Collateral Model</v>
      </c>
      <c r="G688" s="14" t="str">
        <f ca="1">VLOOKUP(CONCATENATE(A688),WorkList!A:C,3,FALSE)</f>
        <v>ModelCashflows: Complete Implementation</v>
      </c>
      <c r="H688" s="13" t="str">
        <f ca="1">VLOOKUP(CONCATENATE(A688),WorkList!A:D,4,FALSE)</f>
        <v>Neil</v>
      </c>
      <c r="I688" s="15">
        <f ca="1">VLOOKUP(CONCATENATE(A688),WorkList!A:E,5,FALSE)</f>
        <v>40353</v>
      </c>
      <c r="J688" s="49">
        <f ca="1">VLOOKUP(CONCATENATE(A688),WorkList!A:F,6,FALSE)</f>
        <v>5</v>
      </c>
      <c r="K688" s="49" t="str">
        <f ca="1">VLOOKUP(CONCATENATE(A688),WorkList!A:G,7,FALSE)</f>
        <v>NewDevelopment</v>
      </c>
      <c r="L688" s="7" t="s">
        <v>13</v>
      </c>
      <c r="M688" s="16">
        <v>40457</v>
      </c>
      <c r="N688" s="60">
        <f ca="1">VALUE(LEFT(C688))</f>
        <v>0</v>
      </c>
      <c r="O688" s="61">
        <f ca="1">INT(IF(N688&gt;0,1+MAX(N688*N688-(IF(D688="",TODAY()+(5-N688)*15,D688)-TODAY())/4,N688),IF(TODAY()-M688&gt;10,0,1)))</f>
        <v>0</v>
      </c>
      <c r="P688" s="1" t="str">
        <f ca="1">IF(ISNA(VLOOKUP(A688,Projects!B:B,1,FALSE)),"","Yes")</f>
        <v>Yes</v>
      </c>
    </row>
    <row r="689" spans="1:16">
      <c r="A689" s="4" t="s">
        <v>1274</v>
      </c>
      <c r="B689" s="5" t="s">
        <v>37</v>
      </c>
      <c r="C689" s="6" t="s">
        <v>48</v>
      </c>
      <c r="F689" s="13" t="str">
        <f ca="1">VLOOKUP(LEFT(A689,IF(ISERROR(FIND(".",A689)),LEN(A689)+1,FIND(".",A689))-1),WorkList!A:C,3,FALSE)</f>
        <v>Collateral Model</v>
      </c>
      <c r="G689" s="14" t="str">
        <f ca="1">VLOOKUP(CONCATENATE(A689),WorkList!A:C,3,FALSE)</f>
        <v>ModelCashflows: UAT Testing</v>
      </c>
      <c r="H689" s="13" t="str">
        <f ca="1">VLOOKUP(CONCATENATE(A689),WorkList!A:D,4,FALSE)</f>
        <v>Neil</v>
      </c>
      <c r="I689" s="15">
        <f ca="1">VLOOKUP(CONCATENATE(A689),WorkList!A:E,5,FALSE)</f>
        <v>40353</v>
      </c>
      <c r="J689" s="49">
        <f ca="1">VLOOKUP(CONCATENATE(A689),WorkList!A:F,6,FALSE)</f>
        <v>3</v>
      </c>
      <c r="K689" s="49" t="str">
        <f ca="1">VLOOKUP(CONCATENATE(A689),WorkList!A:G,7,FALSE)</f>
        <v>NewDevelopment</v>
      </c>
      <c r="L689" s="7" t="s">
        <v>13</v>
      </c>
      <c r="M689" s="16">
        <v>40521</v>
      </c>
      <c r="N689" s="60">
        <f ca="1">VALUE(LEFT(C689))</f>
        <v>0</v>
      </c>
      <c r="O689" s="61">
        <f ca="1">INT(IF(N689&gt;0,1+MAX(N689*N689-(IF(D689="",TODAY()+(5-N689)*15,D689)-TODAY())/4,N689),IF(TODAY()-M689&gt;10,0,1)))</f>
        <v>0</v>
      </c>
      <c r="P689" s="1" t="str">
        <f ca="1">IF(ISNA(VLOOKUP(A689,Projects!B:B,1,FALSE)),"","Yes")</f>
        <v>Yes</v>
      </c>
    </row>
    <row r="690" spans="1:16">
      <c r="A690" s="4" t="s">
        <v>1275</v>
      </c>
      <c r="B690" s="5" t="s">
        <v>685</v>
      </c>
      <c r="C690" s="7" t="s">
        <v>48</v>
      </c>
      <c r="D690" s="7">
        <v>40380</v>
      </c>
      <c r="F690" s="13" t="str">
        <f ca="1">VLOOKUP(LEFT(A690,IF(ISERROR(FIND(".",A690)),LEN(A690)+1,FIND(".",A690))-1),WorkList!A:C,3,FALSE)</f>
        <v>Collateral Model</v>
      </c>
      <c r="G690" s="14" t="str">
        <f ca="1">VLOOKUP(CONCATENATE(A690),WorkList!A:C,3,FALSE)</f>
        <v>ModelCashflows: Team review</v>
      </c>
      <c r="H690" s="13" t="str">
        <f ca="1">VLOOKUP(CONCATENATE(A690),WorkList!A:D,4,FALSE)</f>
        <v>Neil</v>
      </c>
      <c r="I690" s="15">
        <f ca="1">VLOOKUP(CONCATENATE(A690),WorkList!A:E,5,FALSE)</f>
        <v>40353</v>
      </c>
      <c r="J690" s="49">
        <f ca="1">VLOOKUP(CONCATENATE(A690),WorkList!A:F,6,FALSE)</f>
        <v>1</v>
      </c>
      <c r="K690" s="49" t="str">
        <f ca="1">VLOOKUP(CONCATENATE(A690),WorkList!A:G,7,FALSE)</f>
        <v>NewDevelopment</v>
      </c>
      <c r="L690" s="7" t="s">
        <v>13</v>
      </c>
      <c r="M690" s="16">
        <v>40598</v>
      </c>
      <c r="N690" s="60">
        <f ca="1">VALUE(LEFT(C690))</f>
        <v>0</v>
      </c>
      <c r="O690" s="61">
        <f ca="1">INT(IF(N690&gt;0,1+MAX(N690*N690-(IF(D690="",TODAY()+(5-N690)*15,D690)-TODAY())/4,N690),IF(TODAY()-M690&gt;10,0,1)))</f>
        <v>1</v>
      </c>
      <c r="P690" s="1" t="str">
        <f ca="1">IF(ISNA(VLOOKUP(A690,Projects!B:B,1,FALSE)),"","Yes")</f>
        <v>Yes</v>
      </c>
    </row>
    <row r="691" spans="1:16">
      <c r="A691" s="4" t="s">
        <v>1276</v>
      </c>
      <c r="B691" s="5" t="s">
        <v>37</v>
      </c>
      <c r="C691" s="7" t="s">
        <v>48</v>
      </c>
      <c r="F691" s="13" t="str">
        <f ca="1">VLOOKUP(LEFT(A691,IF(ISERROR(FIND(".",A691)),LEN(A691)+1,FIND(".",A691))-1),WorkList!A:C,3,FALSE)</f>
        <v>Collateral Model</v>
      </c>
      <c r="G691" s="14" t="str">
        <f ca="1">VLOOKUP(CONCATENATE(A691),WorkList!A:C,3,FALSE)</f>
        <v>ModelCashflows: Modifications for comments</v>
      </c>
      <c r="H691" s="13" t="str">
        <f ca="1">VLOOKUP(CONCATENATE(A691),WorkList!A:D,4,FALSE)</f>
        <v>Neil</v>
      </c>
      <c r="I691" s="15">
        <f ca="1">VLOOKUP(CONCATENATE(A691),WorkList!A:E,5,FALSE)</f>
        <v>40353</v>
      </c>
      <c r="J691" s="49">
        <f ca="1">VLOOKUP(CONCATENATE(A691),WorkList!A:F,6,FALSE)</f>
        <v>2</v>
      </c>
      <c r="K691" s="49" t="str">
        <f ca="1">VLOOKUP(CONCATENATE(A691),WorkList!A:G,7,FALSE)</f>
        <v>NewDevelopment</v>
      </c>
      <c r="L691" s="7" t="s">
        <v>13</v>
      </c>
      <c r="M691" s="16">
        <v>40598</v>
      </c>
      <c r="N691" s="60">
        <f ca="1">VALUE(LEFT(C691))</f>
        <v>0</v>
      </c>
      <c r="O691" s="61">
        <f ca="1">INT(IF(N691&gt;0,1+MAX(N691*N691-(IF(D691="",TODAY()+(5-N691)*15,D691)-TODAY())/4,N691),IF(TODAY()-M691&gt;10,0,1)))</f>
        <v>1</v>
      </c>
      <c r="P691" s="1" t="str">
        <f ca="1">IF(ISNA(VLOOKUP(A691,Projects!B:B,1,FALSE)),"","Yes")</f>
        <v>Yes</v>
      </c>
    </row>
    <row r="692" spans="1:16">
      <c r="A692" s="4" t="s">
        <v>1294</v>
      </c>
      <c r="B692" s="5" t="s">
        <v>37</v>
      </c>
      <c r="C692" s="6" t="s">
        <v>48</v>
      </c>
      <c r="D692" s="7">
        <v>40375</v>
      </c>
      <c r="F692" s="13" t="str">
        <f ca="1">VLOOKUP(LEFT(A692,IF(ISERROR(FIND(".",A692)),LEN(A692)+1,FIND(".",A692))-1),WorkList!A:C,3,FALSE)</f>
        <v>Collateral Model</v>
      </c>
      <c r="G692" s="14" t="str">
        <f ca="1">VLOOKUP(CONCATENATE(A692),WorkList!A:C,3,FALSE)</f>
        <v>IntexCduPss: Define requirements</v>
      </c>
      <c r="H692" s="13" t="str">
        <f ca="1">VLOOKUP(CONCATENATE(A692),WorkList!A:D,4,FALSE)</f>
        <v>Neil</v>
      </c>
      <c r="I692" s="15">
        <f ca="1">VLOOKUP(CONCATENATE(A692),WorkList!A:E,5,FALSE)</f>
        <v>40361</v>
      </c>
      <c r="J692" s="49">
        <f ca="1">VLOOKUP(CONCATENATE(A692),WorkList!A:F,6,FALSE)</f>
        <v>0.5</v>
      </c>
      <c r="K692" s="49" t="str">
        <f ca="1">VLOOKUP(CONCATENATE(A692),WorkList!A:G,7,FALSE)</f>
        <v>NewDevelopment</v>
      </c>
      <c r="L692" s="7" t="s">
        <v>13</v>
      </c>
      <c r="M692" s="16">
        <v>40457</v>
      </c>
      <c r="N692" s="60">
        <f ca="1">VALUE(LEFT(C692))</f>
        <v>0</v>
      </c>
      <c r="O692" s="61">
        <f ca="1">INT(IF(N692&gt;0,1+MAX(N692*N692-(IF(D692="",TODAY()+(5-N692)*15,D692)-TODAY())/4,N692),IF(TODAY()-M692&gt;10,0,1)))</f>
        <v>0</v>
      </c>
      <c r="P692" s="1" t="str">
        <f ca="1">IF(ISNA(VLOOKUP(A692,Projects!B:B,1,FALSE)),"","Yes")</f>
        <v>Yes</v>
      </c>
    </row>
    <row r="693" spans="1:16">
      <c r="A693" s="4" t="s">
        <v>1303</v>
      </c>
      <c r="B693" s="5" t="s">
        <v>37</v>
      </c>
      <c r="C693" s="6" t="s">
        <v>48</v>
      </c>
      <c r="D693" s="7">
        <v>40378</v>
      </c>
      <c r="F693" s="13" t="str">
        <f ca="1">VLOOKUP(LEFT(A693,IF(ISERROR(FIND(".",A693)),LEN(A693)+1,FIND(".",A693))-1),WorkList!A:C,3,FALSE)</f>
        <v>Collateral Model</v>
      </c>
      <c r="G693" s="14" t="str">
        <f ca="1">VLOOKUP(CONCATENATE(A693),WorkList!A:C,3,FALSE)</f>
        <v>IntexCduPss: Design</v>
      </c>
      <c r="H693" s="13" t="str">
        <f ca="1">VLOOKUP(CONCATENATE(A693),WorkList!A:D,4,FALSE)</f>
        <v>Neil</v>
      </c>
      <c r="I693" s="15">
        <f ca="1">VLOOKUP(CONCATENATE(A693),WorkList!A:E,5,FALSE)</f>
        <v>40361</v>
      </c>
      <c r="J693" s="49">
        <f ca="1">VLOOKUP(CONCATENATE(A693),WorkList!A:F,6,FALSE)</f>
        <v>0.5</v>
      </c>
      <c r="K693" s="49" t="str">
        <f ca="1">VLOOKUP(CONCATENATE(A693),WorkList!A:G,7,FALSE)</f>
        <v>NewDevelopment</v>
      </c>
      <c r="L693" s="7" t="s">
        <v>13</v>
      </c>
      <c r="M693" s="16">
        <v>40457</v>
      </c>
      <c r="N693" s="60">
        <f ca="1">VALUE(LEFT(C693))</f>
        <v>0</v>
      </c>
      <c r="O693" s="61">
        <f ca="1">INT(IF(N693&gt;0,1+MAX(N693*N693-(IF(D693="",TODAY()+(5-N693)*15,D693)-TODAY())/4,N693),IF(TODAY()-M693&gt;10,0,1)))</f>
        <v>0</v>
      </c>
      <c r="P693" s="1" t="str">
        <f ca="1">IF(ISNA(VLOOKUP(A693,Projects!B:B,1,FALSE)),"","Yes")</f>
        <v>Yes</v>
      </c>
    </row>
    <row r="694" spans="1:16">
      <c r="A694" s="4" t="s">
        <v>1304</v>
      </c>
      <c r="B694" s="5" t="s">
        <v>32</v>
      </c>
      <c r="C694" s="6" t="s">
        <v>48</v>
      </c>
      <c r="F694" s="13" t="str">
        <f ca="1">VLOOKUP(LEFT(A694,IF(ISERROR(FIND(".",A694)),LEN(A694)+1,FIND(".",A694))-1),WorkList!A:C,3,FALSE)</f>
        <v>Collateral Model</v>
      </c>
      <c r="G694" s="14" t="str">
        <f ca="1">VLOOKUP(CONCATENATE(A694),WorkList!A:C,3,FALSE)</f>
        <v>IntexCduPss: Review Design</v>
      </c>
      <c r="H694" s="13" t="str">
        <f ca="1">VLOOKUP(CONCATENATE(A694),WorkList!A:D,4,FALSE)</f>
        <v>Neil</v>
      </c>
      <c r="I694" s="15">
        <f ca="1">VLOOKUP(CONCATENATE(A694),WorkList!A:E,5,FALSE)</f>
        <v>40361</v>
      </c>
      <c r="J694" s="49">
        <f ca="1">VLOOKUP(CONCATENATE(A694),WorkList!A:F,6,FALSE)</f>
        <v>0.5</v>
      </c>
      <c r="K694" s="49" t="str">
        <f ca="1">VLOOKUP(CONCATENATE(A694),WorkList!A:G,7,FALSE)</f>
        <v>NewDevelopment</v>
      </c>
      <c r="L694" s="7" t="s">
        <v>13</v>
      </c>
      <c r="M694" s="16">
        <v>40457</v>
      </c>
      <c r="N694" s="60">
        <f ca="1">VALUE(LEFT(C694))</f>
        <v>0</v>
      </c>
      <c r="O694" s="61">
        <f ca="1">INT(IF(N694&gt;0,1+MAX(N694*N694-(IF(D694="",TODAY()+(5-N694)*15,D694)-TODAY())/4,N694),IF(TODAY()-M694&gt;10,0,1)))</f>
        <v>0</v>
      </c>
      <c r="P694" s="1" t="str">
        <f ca="1">IF(ISNA(VLOOKUP(A694,Projects!B:B,1,FALSE)),"","Yes")</f>
        <v>Yes</v>
      </c>
    </row>
    <row r="695" spans="1:16">
      <c r="A695" s="4" t="s">
        <v>1305</v>
      </c>
      <c r="B695" s="5" t="s">
        <v>37</v>
      </c>
      <c r="C695" s="7" t="s">
        <v>48</v>
      </c>
      <c r="F695" s="13" t="str">
        <f ca="1">VLOOKUP(LEFT(A695,IF(ISERROR(FIND(".",A695)),LEN(A695)+1,FIND(".",A695))-1),WorkList!A:C,3,FALSE)</f>
        <v>Collateral Model</v>
      </c>
      <c r="G695" s="14" t="str">
        <f ca="1">VLOOKUP(CONCATENATE(A695),WorkList!A:C,3,FALSE)</f>
        <v>IntexCduPss: Implement</v>
      </c>
      <c r="H695" s="13" t="str">
        <f ca="1">VLOOKUP(CONCATENATE(A695),WorkList!A:D,4,FALSE)</f>
        <v>Neil</v>
      </c>
      <c r="I695" s="15">
        <f ca="1">VLOOKUP(CONCATENATE(A695),WorkList!A:E,5,FALSE)</f>
        <v>40361</v>
      </c>
      <c r="J695" s="49">
        <f ca="1">VLOOKUP(CONCATENATE(A695),WorkList!A:F,6,FALSE)</f>
        <v>2</v>
      </c>
      <c r="K695" s="49" t="str">
        <f ca="1">VLOOKUP(CONCATENATE(A695),WorkList!A:G,7,FALSE)</f>
        <v>NewDevelopment</v>
      </c>
      <c r="L695" s="7" t="s">
        <v>13</v>
      </c>
      <c r="M695" s="16">
        <v>40483</v>
      </c>
      <c r="N695" s="60">
        <f ca="1">VALUE(LEFT(C695))</f>
        <v>0</v>
      </c>
      <c r="O695" s="61">
        <f ca="1">INT(IF(N695&gt;0,1+MAX(N695*N695-(IF(D695="",TODAY()+(5-N695)*15,D695)-TODAY())/4,N695),IF(TODAY()-M695&gt;10,0,1)))</f>
        <v>0</v>
      </c>
      <c r="P695" s="1" t="str">
        <f ca="1">IF(ISNA(VLOOKUP(A695,Projects!B:B,1,FALSE)),"","Yes")</f>
        <v>Yes</v>
      </c>
    </row>
    <row r="696" spans="1:16">
      <c r="A696" s="4" t="s">
        <v>1306</v>
      </c>
      <c r="B696" s="5" t="s">
        <v>685</v>
      </c>
      <c r="C696" s="6" t="s">
        <v>48</v>
      </c>
      <c r="D696" s="7">
        <v>40380</v>
      </c>
      <c r="F696" s="13" t="str">
        <f ca="1">VLOOKUP(LEFT(A696,IF(ISERROR(FIND(".",A696)),LEN(A696)+1,FIND(".",A696))-1),WorkList!A:C,3,FALSE)</f>
        <v>Collateral Model</v>
      </c>
      <c r="G696" s="14" t="str">
        <f ca="1">VLOOKUP(CONCATENATE(A696),WorkList!A:C,3,FALSE)</f>
        <v>IntexCduPss: Review Implementation</v>
      </c>
      <c r="H696" s="13" t="str">
        <f ca="1">VLOOKUP(CONCATENATE(A696),WorkList!A:D,4,FALSE)</f>
        <v>Neil</v>
      </c>
      <c r="I696" s="15">
        <f ca="1">VLOOKUP(CONCATENATE(A696),WorkList!A:E,5,FALSE)</f>
        <v>40361</v>
      </c>
      <c r="J696" s="49">
        <f ca="1">VLOOKUP(CONCATENATE(A696),WorkList!A:F,6,FALSE)</f>
        <v>0.5</v>
      </c>
      <c r="K696" s="49" t="str">
        <f ca="1">VLOOKUP(CONCATENATE(A696),WorkList!A:G,7,FALSE)</f>
        <v>NewDevelopment</v>
      </c>
      <c r="L696" s="7" t="s">
        <v>13</v>
      </c>
      <c r="M696" s="16">
        <v>40457</v>
      </c>
      <c r="N696" s="60">
        <f ca="1">VALUE(LEFT(C696))</f>
        <v>0</v>
      </c>
      <c r="O696" s="61">
        <f ca="1">INT(IF(N696&gt;0,1+MAX(N696*N696-(IF(D696="",TODAY()+(5-N696)*15,D696)-TODAY())/4,N696),IF(TODAY()-M696&gt;10,0,1)))</f>
        <v>0</v>
      </c>
      <c r="P696" s="1" t="str">
        <f ca="1">IF(ISNA(VLOOKUP(A696,Projects!B:B,1,FALSE)),"","Yes")</f>
        <v>Yes</v>
      </c>
    </row>
    <row r="697" spans="1:16">
      <c r="A697" s="4" t="s">
        <v>1307</v>
      </c>
      <c r="B697" s="5" t="s">
        <v>37</v>
      </c>
      <c r="C697" s="7" t="s">
        <v>48</v>
      </c>
      <c r="F697" s="13" t="str">
        <f ca="1">VLOOKUP(LEFT(A697,IF(ISERROR(FIND(".",A697)),LEN(A697)+1,FIND(".",A697))-1),WorkList!A:C,3,FALSE)</f>
        <v>Collateral Model</v>
      </c>
      <c r="G697" s="14" t="str">
        <f ca="1">VLOOKUP(CONCATENATE(A697),WorkList!A:C,3,FALSE)</f>
        <v>IntexCduPss: Complete</v>
      </c>
      <c r="H697" s="13" t="str">
        <f ca="1">VLOOKUP(CONCATENATE(A697),WorkList!A:D,4,FALSE)</f>
        <v>Neil</v>
      </c>
      <c r="I697" s="15">
        <f ca="1">VLOOKUP(CONCATENATE(A697),WorkList!A:E,5,FALSE)</f>
        <v>40361</v>
      </c>
      <c r="J697" s="49">
        <f ca="1">VLOOKUP(CONCATENATE(A697),WorkList!A:F,6,FALSE)</f>
        <v>0.5</v>
      </c>
      <c r="K697" s="49" t="str">
        <f ca="1">VLOOKUP(CONCATENATE(A697),WorkList!A:G,7,FALSE)</f>
        <v>NewDevelopment</v>
      </c>
      <c r="L697" s="7" t="s">
        <v>13</v>
      </c>
      <c r="M697" s="16">
        <v>40483</v>
      </c>
      <c r="N697" s="60">
        <f ca="1">VALUE(LEFT(C697))</f>
        <v>0</v>
      </c>
      <c r="O697" s="61">
        <f ca="1">INT(IF(N697&gt;0,1+MAX(N697*N697-(IF(D697="",TODAY()+(5-N697)*15,D697)-TODAY())/4,N697),IF(TODAY()-M697&gt;10,0,1)))</f>
        <v>0</v>
      </c>
      <c r="P697" s="1" t="str">
        <f ca="1">IF(ISNA(VLOOKUP(A697,Projects!B:B,1,FALSE)),"","Yes")</f>
        <v>Yes</v>
      </c>
    </row>
    <row r="698" spans="1:16">
      <c r="A698" s="4" t="s">
        <v>1309</v>
      </c>
      <c r="B698" s="5" t="s">
        <v>11</v>
      </c>
      <c r="C698" s="7" t="s">
        <v>48</v>
      </c>
      <c r="D698" s="7">
        <v>40361</v>
      </c>
      <c r="F698" s="13" t="str">
        <f ca="1">VLOOKUP(LEFT(A698,IF(ISERROR(FIND(".",A698)),LEN(A698)+1,FIND(".",A698))-1),WorkList!A:C,3,FALSE)</f>
        <v>Collateral Model</v>
      </c>
      <c r="G698" s="14" t="str">
        <f ca="1">VLOOKUP(CONCATENATE(A698),WorkList!A:C,3,FALSE)</f>
        <v>Model2Intex: Define requirements</v>
      </c>
      <c r="H698" s="13" t="str">
        <f ca="1">VLOOKUP(CONCATENATE(A698),WorkList!A:D,4,FALSE)</f>
        <v>Neil</v>
      </c>
      <c r="I698" s="15">
        <f ca="1">VLOOKUP(CONCATENATE(A698),WorkList!A:E,5,FALSE)</f>
        <v>40361</v>
      </c>
      <c r="J698" s="49">
        <f ca="1">VLOOKUP(CONCATENATE(A698),WorkList!A:F,6,FALSE)</f>
        <v>0.5</v>
      </c>
      <c r="K698" s="49" t="str">
        <f ca="1">VLOOKUP(CONCATENATE(A698),WorkList!A:G,7,FALSE)</f>
        <v>NewDevelopment</v>
      </c>
      <c r="L698" s="7" t="s">
        <v>13</v>
      </c>
      <c r="M698" s="16">
        <v>40361</v>
      </c>
      <c r="N698" s="60">
        <f ca="1">VALUE(LEFT(C698))</f>
        <v>0</v>
      </c>
      <c r="O698" s="61">
        <f ca="1">INT(IF(N698&gt;0,1+MAX(N698*N698-(IF(D698="",TODAY()+(5-N698)*15,D698)-TODAY())/4,N698),IF(TODAY()-M698&gt;10,0,1)))</f>
        <v>0</v>
      </c>
      <c r="P698" s="1" t="str">
        <f ca="1">IF(ISNA(VLOOKUP(A698,Projects!B:B,1,FALSE)),"","Yes")</f>
        <v>Yes</v>
      </c>
    </row>
    <row r="699" spans="1:16">
      <c r="A699" s="4" t="s">
        <v>1638</v>
      </c>
      <c r="B699" s="5" t="s">
        <v>685</v>
      </c>
      <c r="C699" s="7" t="s">
        <v>48</v>
      </c>
      <c r="F699" s="13" t="str">
        <f ca="1">VLOOKUP(LEFT(A699,IF(ISERROR(FIND(".",A699)),LEN(A699)+1,FIND(".",A699))-1),WorkList!A:C,3,FALSE)</f>
        <v>Collateral Model</v>
      </c>
      <c r="G699" s="14" t="str">
        <f ca="1">VLOOKUP(CONCATENATE(A699),WorkList!A:C,3,FALSE)</f>
        <v>Model2Intex: Final review</v>
      </c>
      <c r="H699" s="13" t="str">
        <f ca="1">VLOOKUP(CONCATENATE(A699),WorkList!A:D,4,FALSE)</f>
        <v>Neil</v>
      </c>
      <c r="I699" s="15">
        <f ca="1">VLOOKUP(CONCATENATE(A699),WorkList!A:E,5,FALSE)</f>
        <v>40483</v>
      </c>
      <c r="J699" s="49">
        <f ca="1">VLOOKUP(CONCATENATE(A699),WorkList!A:F,6,FALSE)</f>
        <v>1</v>
      </c>
      <c r="K699" s="49" t="str">
        <f ca="1">VLOOKUP(CONCATENATE(A699),WorkList!A:G,7,FALSE)</f>
        <v>NewDevelopment</v>
      </c>
      <c r="L699" s="7" t="s">
        <v>13</v>
      </c>
      <c r="M699" s="16">
        <v>40598</v>
      </c>
      <c r="N699" s="60">
        <f ca="1">VALUE(LEFT(C699))</f>
        <v>0</v>
      </c>
      <c r="O699" s="61">
        <f ca="1">INT(IF(N699&gt;0,1+MAX(N699*N699-(IF(D699="",TODAY()+(5-N699)*15,D699)-TODAY())/4,N699),IF(TODAY()-M699&gt;10,0,1)))</f>
        <v>1</v>
      </c>
      <c r="P699" s="1" t="str">
        <f ca="1">IF(ISNA(VLOOKUP(A699,Projects!B:B,1,FALSE)),"","Yes")</f>
        <v>Yes</v>
      </c>
    </row>
    <row r="700" spans="1:16" ht="25.5">
      <c r="A700" s="4" t="s">
        <v>1790</v>
      </c>
      <c r="B700" s="5" t="s">
        <v>37</v>
      </c>
      <c r="C700" s="7" t="s">
        <v>48</v>
      </c>
      <c r="D700" s="11"/>
      <c r="E700" s="12">
        <v>1</v>
      </c>
      <c r="F700" s="13" t="str">
        <f ca="1">VLOOKUP(LEFT(A700,IF(ISERROR(FIND(".",A700)),LEN(A700)+1,FIND(".",A700))-1),WorkList!A:C,3,FALSE)</f>
        <v>Collateral Model</v>
      </c>
      <c r="G700" s="14" t="str">
        <f ca="1">VLOOKUP(CONCATENATE(A700),WorkList!A:C,3,FALSE)</f>
        <v>Model2Intex: Implement Loan Compression/Aggregation for performance</v>
      </c>
      <c r="H700" s="13" t="str">
        <f ca="1">VLOOKUP(CONCATENATE(A700),WorkList!A:D,4,FALSE)</f>
        <v>Neil</v>
      </c>
      <c r="I700" s="15">
        <f ca="1">VLOOKUP(CONCATENATE(A700),WorkList!A:E,5,FALSE)</f>
        <v>40556</v>
      </c>
      <c r="J700" s="49">
        <f ca="1">VLOOKUP(CONCATENATE(A700),WorkList!A:F,6,FALSE)</f>
        <v>4</v>
      </c>
      <c r="K700" s="49" t="str">
        <f ca="1">VLOOKUP(CONCATENATE(A700),WorkList!A:G,7,FALSE)</f>
        <v>NewDevelopment</v>
      </c>
      <c r="L700" s="7" t="s">
        <v>13</v>
      </c>
      <c r="M700" s="16">
        <v>40598</v>
      </c>
      <c r="N700" s="60">
        <f ca="1">VALUE(LEFT(C700))</f>
        <v>0</v>
      </c>
      <c r="O700" s="61">
        <f ca="1">INT(IF(N700&gt;0,1+MAX(N700*N700-(IF(D700="",TODAY()+(5-N700)*15,D700)-TODAY())/4,N700),IF(TODAY()-M700&gt;10,0,1)))</f>
        <v>1</v>
      </c>
      <c r="P700" s="1" t="str">
        <f ca="1">IF(ISNA(VLOOKUP(A700,Projects!B:B,1,FALSE)),"","Yes")</f>
        <v>Yes</v>
      </c>
    </row>
    <row r="701" spans="1:16">
      <c r="A701" s="4" t="s">
        <v>1838</v>
      </c>
      <c r="B701" s="5" t="s">
        <v>37</v>
      </c>
      <c r="C701" s="7" t="s">
        <v>48</v>
      </c>
      <c r="E701" s="12">
        <v>1</v>
      </c>
      <c r="F701" s="13" t="str">
        <f ca="1">VLOOKUP(LEFT(A701,IF(ISERROR(FIND(".",A701)),LEN(A701)+1,FIND(".",A701))-1),WorkList!A:C,3,FALSE)</f>
        <v>Collateral Model</v>
      </c>
      <c r="G701" s="14" t="str">
        <f ca="1">VLOOKUP(CONCATENATE(A701),WorkList!A:C,3,FALSE)</f>
        <v>Model2Intex: Enable scenarios</v>
      </c>
      <c r="H701" s="13" t="str">
        <f ca="1">VLOOKUP(CONCATENATE(A701),WorkList!A:D,4,FALSE)</f>
        <v>Danny</v>
      </c>
      <c r="I701" s="15">
        <f ca="1">VLOOKUP(CONCATENATE(A701),WorkList!A:E,5,FALSE)</f>
        <v>40556</v>
      </c>
      <c r="J701" s="49">
        <f ca="1">VLOOKUP(CONCATENATE(A701),WorkList!A:F,6,FALSE)</f>
        <v>5</v>
      </c>
      <c r="K701" s="49" t="str">
        <f ca="1">VLOOKUP(CONCATENATE(A701),WorkList!A:G,7,FALSE)</f>
        <v>NewDevelopment</v>
      </c>
      <c r="L701" s="7" t="s">
        <v>13</v>
      </c>
      <c r="M701" s="16">
        <v>40598</v>
      </c>
      <c r="N701" s="60">
        <f ca="1">VALUE(LEFT(C701))</f>
        <v>0</v>
      </c>
      <c r="O701" s="61">
        <f ca="1">INT(IF(N701&gt;0,1+MAX(N701*N701-(IF(D701="",TODAY()+(5-N701)*15,D701)-TODAY())/4,N701),IF(TODAY()-M701&gt;10,0,1)))</f>
        <v>1</v>
      </c>
      <c r="P701" s="1" t="str">
        <f ca="1">IF(ISNA(VLOOKUP(A701,Projects!B:B,1,FALSE)),"","Yes")</f>
        <v/>
      </c>
    </row>
    <row r="702" spans="1:16">
      <c r="A702" s="4" t="s">
        <v>1310</v>
      </c>
      <c r="B702" s="5" t="s">
        <v>37</v>
      </c>
      <c r="C702" s="7" t="s">
        <v>48</v>
      </c>
      <c r="F702" s="13" t="str">
        <f ca="1">VLOOKUP(LEFT(A702,IF(ISERROR(FIND(".",A702)),LEN(A702)+1,FIND(".",A702))-1),WorkList!A:C,3,FALSE)</f>
        <v>Collateral Model</v>
      </c>
      <c r="G702" s="14" t="str">
        <f ca="1">VLOOKUP(CONCATENATE(A702),WorkList!A:C,3,FALSE)</f>
        <v>Model2Intex: Design</v>
      </c>
      <c r="H702" s="13" t="str">
        <f ca="1">VLOOKUP(CONCATENATE(A702),WorkList!A:D,4,FALSE)</f>
        <v>Neil</v>
      </c>
      <c r="I702" s="15">
        <f ca="1">VLOOKUP(CONCATENATE(A702),WorkList!A:E,5,FALSE)</f>
        <v>40361</v>
      </c>
      <c r="J702" s="49">
        <f ca="1">VLOOKUP(CONCATENATE(A702),WorkList!A:F,6,FALSE)</f>
        <v>1</v>
      </c>
      <c r="K702" s="49" t="str">
        <f ca="1">VLOOKUP(CONCATENATE(A702),WorkList!A:G,7,FALSE)</f>
        <v>NewDevelopment</v>
      </c>
      <c r="L702" s="7" t="s">
        <v>13</v>
      </c>
      <c r="M702" s="16">
        <v>40483</v>
      </c>
      <c r="N702" s="60">
        <f ca="1">VALUE(LEFT(C702))</f>
        <v>0</v>
      </c>
      <c r="O702" s="61">
        <f ca="1">INT(IF(N702&gt;0,1+MAX(N702*N702-(IF(D702="",TODAY()+(5-N702)*15,D702)-TODAY())/4,N702),IF(TODAY()-M702&gt;10,0,1)))</f>
        <v>0</v>
      </c>
      <c r="P702" s="1" t="str">
        <f ca="1">IF(ISNA(VLOOKUP(A702,Projects!B:B,1,FALSE)),"","Yes")</f>
        <v>Yes</v>
      </c>
    </row>
    <row r="703" spans="1:16">
      <c r="A703" s="4" t="s">
        <v>1311</v>
      </c>
      <c r="B703" s="5" t="s">
        <v>11</v>
      </c>
      <c r="C703" s="7" t="s">
        <v>48</v>
      </c>
      <c r="D703" s="7">
        <v>40417</v>
      </c>
      <c r="F703" s="13" t="str">
        <f ca="1">VLOOKUP(LEFT(A703,IF(ISERROR(FIND(".",A703)),LEN(A703)+1,FIND(".",A703))-1),WorkList!A:C,3,FALSE)</f>
        <v>Collateral Model</v>
      </c>
      <c r="G703" s="14" t="str">
        <f ca="1">VLOOKUP(CONCATENATE(A703),WorkList!A:C,3,FALSE)</f>
        <v>Model2Intex: Review Design</v>
      </c>
      <c r="H703" s="13" t="str">
        <f ca="1">VLOOKUP(CONCATENATE(A703),WorkList!A:D,4,FALSE)</f>
        <v>Neil</v>
      </c>
      <c r="I703" s="15">
        <f ca="1">VLOOKUP(CONCATENATE(A703),WorkList!A:E,5,FALSE)</f>
        <v>40361</v>
      </c>
      <c r="J703" s="49">
        <f ca="1">VLOOKUP(CONCATENATE(A703),WorkList!A:F,6,FALSE)</f>
        <v>1</v>
      </c>
      <c r="K703" s="49" t="str">
        <f ca="1">VLOOKUP(CONCATENATE(A703),WorkList!A:G,7,FALSE)</f>
        <v>NewDevelopment</v>
      </c>
      <c r="L703" s="7" t="s">
        <v>13</v>
      </c>
      <c r="M703" s="16">
        <v>40483</v>
      </c>
      <c r="N703" s="60">
        <f ca="1">VALUE(LEFT(C703))</f>
        <v>0</v>
      </c>
      <c r="O703" s="61">
        <f ca="1">INT(IF(N703&gt;0,1+MAX(N703*N703-(IF(D703="",TODAY()+(5-N703)*15,D703)-TODAY())/4,N703),IF(TODAY()-M703&gt;10,0,1)))</f>
        <v>0</v>
      </c>
      <c r="P703" s="1" t="str">
        <f ca="1">IF(ISNA(VLOOKUP(A703,Projects!B:B,1,FALSE)),"","Yes")</f>
        <v>Yes</v>
      </c>
    </row>
    <row r="704" spans="1:16">
      <c r="A704" s="4" t="s">
        <v>1312</v>
      </c>
      <c r="B704" s="5" t="s">
        <v>37</v>
      </c>
      <c r="C704" s="7" t="s">
        <v>48</v>
      </c>
      <c r="F704" s="13" t="str">
        <f ca="1">VLOOKUP(LEFT(A704,IF(ISERROR(FIND(".",A704)),LEN(A704)+1,FIND(".",A704))-1),WorkList!A:C,3,FALSE)</f>
        <v>Collateral Model</v>
      </c>
      <c r="G704" s="14" t="str">
        <f ca="1">VLOOKUP(CONCATENATE(A704),WorkList!A:C,3,FALSE)</f>
        <v>Model2Intex: Implement</v>
      </c>
      <c r="H704" s="13" t="str">
        <f ca="1">VLOOKUP(CONCATENATE(A704),WorkList!A:D,4,FALSE)</f>
        <v>Neil</v>
      </c>
      <c r="I704" s="15">
        <f ca="1">VLOOKUP(CONCATENATE(A704),WorkList!A:E,5,FALSE)</f>
        <v>40361</v>
      </c>
      <c r="J704" s="49">
        <f ca="1">VLOOKUP(CONCATENATE(A704),WorkList!A:F,6,FALSE)</f>
        <v>5</v>
      </c>
      <c r="K704" s="49" t="str">
        <f ca="1">VLOOKUP(CONCATENATE(A704),WorkList!A:G,7,FALSE)</f>
        <v>NewDevelopment</v>
      </c>
      <c r="L704" s="7" t="s">
        <v>13</v>
      </c>
      <c r="M704" s="16">
        <v>40598</v>
      </c>
      <c r="N704" s="60">
        <f ca="1">VALUE(LEFT(C704))</f>
        <v>0</v>
      </c>
      <c r="O704" s="61">
        <f ca="1">INT(IF(N704&gt;0,1+MAX(N704*N704-(IF(D704="",TODAY()+(5-N704)*15,D704)-TODAY())/4,N704),IF(TODAY()-M704&gt;10,0,1)))</f>
        <v>1</v>
      </c>
      <c r="P704" s="1" t="str">
        <f ca="1">IF(ISNA(VLOOKUP(A704,Projects!B:B,1,FALSE)),"","Yes")</f>
        <v>Yes</v>
      </c>
    </row>
    <row r="705" spans="1:16">
      <c r="A705" s="4" t="s">
        <v>1313</v>
      </c>
      <c r="B705" s="5" t="s">
        <v>11</v>
      </c>
      <c r="C705" s="7" t="s">
        <v>48</v>
      </c>
      <c r="F705" s="13" t="str">
        <f ca="1">VLOOKUP(LEFT(A705,IF(ISERROR(FIND(".",A705)),LEN(A705)+1,FIND(".",A705))-1),WorkList!A:C,3,FALSE)</f>
        <v>Collateral Model</v>
      </c>
      <c r="G705" s="14" t="str">
        <f ca="1">VLOOKUP(CONCATENATE(A705),WorkList!A:C,3,FALSE)</f>
        <v>Model2Intex: Review Implementation</v>
      </c>
      <c r="H705" s="13" t="str">
        <f ca="1">VLOOKUP(CONCATENATE(A705),WorkList!A:D,4,FALSE)</f>
        <v>Neil</v>
      </c>
      <c r="I705" s="15">
        <f ca="1">VLOOKUP(CONCATENATE(A705),WorkList!A:E,5,FALSE)</f>
        <v>40361</v>
      </c>
      <c r="J705" s="49">
        <f ca="1">VLOOKUP(CONCATENATE(A705),WorkList!A:F,6,FALSE)</f>
        <v>1</v>
      </c>
      <c r="K705" s="49" t="str">
        <f ca="1">VLOOKUP(CONCATENATE(A705),WorkList!A:G,7,FALSE)</f>
        <v>NewDevelopment</v>
      </c>
      <c r="L705" s="7" t="s">
        <v>13</v>
      </c>
      <c r="M705" s="16">
        <v>40598</v>
      </c>
      <c r="N705" s="60">
        <f ca="1">VALUE(LEFT(C705))</f>
        <v>0</v>
      </c>
      <c r="O705" s="61">
        <f ca="1">INT(IF(N705&gt;0,1+MAX(N705*N705-(IF(D705="",TODAY()+(5-N705)*15,D705)-TODAY())/4,N705),IF(TODAY()-M705&gt;10,0,1)))</f>
        <v>1</v>
      </c>
      <c r="P705" s="1" t="str">
        <f ca="1">IF(ISNA(VLOOKUP(A705,Projects!B:B,1,FALSE)),"","Yes")</f>
        <v>Yes</v>
      </c>
    </row>
    <row r="706" spans="1:16">
      <c r="A706" s="4" t="s">
        <v>1321</v>
      </c>
      <c r="B706" s="5" t="s">
        <v>1159</v>
      </c>
      <c r="C706" s="7" t="s">
        <v>48</v>
      </c>
      <c r="F706" s="13" t="str">
        <f ca="1">VLOOKUP(LEFT(A706,IF(ISERROR(FIND(".",A706)),LEN(A706)+1,FIND(".",A706))-1),WorkList!A:C,3,FALSE)</f>
        <v>Collateral Model</v>
      </c>
      <c r="G706" s="14" t="str">
        <f ca="1">VLOOKUP(CONCATENATE(A706),WorkList!A:C,3,FALSE)</f>
        <v>Model2Intex: UAT Testing</v>
      </c>
      <c r="H706" s="13" t="str">
        <f ca="1">VLOOKUP(CONCATENATE(A706),WorkList!A:D,4,FALSE)</f>
        <v>Neil</v>
      </c>
      <c r="I706" s="15">
        <f ca="1">VLOOKUP(CONCATENATE(A706),WorkList!A:E,5,FALSE)</f>
        <v>40362</v>
      </c>
      <c r="J706" s="49">
        <f ca="1">VLOOKUP(CONCATENATE(A706),WorkList!A:F,6,FALSE)</f>
        <v>5</v>
      </c>
      <c r="K706" s="49" t="str">
        <f ca="1">VLOOKUP(CONCATENATE(A706),WorkList!A:G,7,FALSE)</f>
        <v>NewDevelopment</v>
      </c>
      <c r="L706" s="7" t="s">
        <v>13</v>
      </c>
      <c r="M706" s="16">
        <v>40598</v>
      </c>
      <c r="N706" s="60">
        <f ca="1">VALUE(LEFT(C706))</f>
        <v>0</v>
      </c>
      <c r="O706" s="61">
        <f ca="1">INT(IF(N706&gt;0,1+MAX(N706*N706-(IF(D706="",TODAY()+(5-N706)*15,D706)-TODAY())/4,N706),IF(TODAY()-M706&gt;10,0,1)))</f>
        <v>1</v>
      </c>
      <c r="P706" s="1" t="str">
        <f ca="1">IF(ISNA(VLOOKUP(A706,Projects!B:B,1,FALSE)),"","Yes")</f>
        <v>Yes</v>
      </c>
    </row>
    <row r="707" spans="1:16">
      <c r="A707" s="4" t="s">
        <v>1322</v>
      </c>
      <c r="B707" s="5" t="s">
        <v>685</v>
      </c>
      <c r="C707" s="7" t="s">
        <v>12</v>
      </c>
      <c r="D707" s="7">
        <v>40402</v>
      </c>
      <c r="F707" s="13" t="str">
        <f ca="1">VLOOKUP(LEFT(A707,IF(ISERROR(FIND(".",A707)),LEN(A707)+1,FIND(".",A707))-1),WorkList!A:C,3,FALSE)</f>
        <v>Collateral Model</v>
      </c>
      <c r="G707" s="14" t="str">
        <f ca="1">VLOOKUP(CONCATENATE(A707),WorkList!A:C,3,FALSE)</f>
        <v>Model2Intex: Initial Team review</v>
      </c>
      <c r="H707" s="13" t="str">
        <f ca="1">VLOOKUP(CONCATENATE(A707),WorkList!A:D,4,FALSE)</f>
        <v>Neil</v>
      </c>
      <c r="I707" s="15">
        <f ca="1">VLOOKUP(CONCATENATE(A707),WorkList!A:E,5,FALSE)</f>
        <v>40483</v>
      </c>
      <c r="J707" s="49">
        <f ca="1">VLOOKUP(CONCATENATE(A707),WorkList!A:F,6,FALSE)</f>
        <v>1</v>
      </c>
      <c r="K707" s="49" t="str">
        <f ca="1">VLOOKUP(CONCATENATE(A707),WorkList!A:G,7,FALSE)</f>
        <v>NewDevelopment</v>
      </c>
      <c r="L707" s="7" t="s">
        <v>13</v>
      </c>
      <c r="M707" s="16">
        <v>40456</v>
      </c>
      <c r="N707" s="60">
        <f ca="1">VALUE(LEFT(C707))</f>
        <v>4</v>
      </c>
      <c r="O707" s="61">
        <f ca="1">INT(IF(N707&gt;0,1+MAX(N707*N707-(IF(D707="",TODAY()+(5-N707)*15,D707)-TODAY())/4,N707),IF(TODAY()-M707&gt;10,0,1)))</f>
        <v>66</v>
      </c>
      <c r="P707" s="1" t="str">
        <f ca="1">IF(ISNA(VLOOKUP(A707,Projects!B:B,1,FALSE)),"","Yes")</f>
        <v>Yes</v>
      </c>
    </row>
    <row r="708" spans="1:16">
      <c r="A708" s="4" t="s">
        <v>1323</v>
      </c>
      <c r="B708" s="5" t="s">
        <v>37</v>
      </c>
      <c r="C708" s="7" t="s">
        <v>48</v>
      </c>
      <c r="F708" s="13" t="str">
        <f ca="1">VLOOKUP(LEFT(A708,IF(ISERROR(FIND(".",A708)),LEN(A708)+1,FIND(".",A708))-1),WorkList!A:C,3,FALSE)</f>
        <v>Collateral Model</v>
      </c>
      <c r="G708" s="14" t="str">
        <f ca="1">VLOOKUP(CONCATENATE(A708),WorkList!A:C,3,FALSE)</f>
        <v>Model2Intex: Modifications for comments</v>
      </c>
      <c r="H708" s="13" t="str">
        <f ca="1">VLOOKUP(CONCATENATE(A708),WorkList!A:D,4,FALSE)</f>
        <v>Neil</v>
      </c>
      <c r="I708" s="15">
        <f ca="1">VLOOKUP(CONCATENATE(A708),WorkList!A:E,5,FALSE)</f>
        <v>40364</v>
      </c>
      <c r="J708" s="49">
        <f ca="1">VLOOKUP(CONCATENATE(A708),WorkList!A:F,6,FALSE)</f>
        <v>1</v>
      </c>
      <c r="K708" s="49" t="str">
        <f ca="1">VLOOKUP(CONCATENATE(A708),WorkList!A:G,7,FALSE)</f>
        <v>NewDevelopment</v>
      </c>
      <c r="L708" s="7" t="s">
        <v>13</v>
      </c>
      <c r="M708" s="16">
        <v>40598</v>
      </c>
      <c r="N708" s="60">
        <f ca="1">VALUE(LEFT(C708))</f>
        <v>0</v>
      </c>
      <c r="O708" s="61">
        <f ca="1">INT(IF(N708&gt;0,1+MAX(N708*N708-(IF(D708="",TODAY()+(5-N708)*15,D708)-TODAY())/4,N708),IF(TODAY()-M708&gt;10,0,1)))</f>
        <v>1</v>
      </c>
      <c r="P708" s="1" t="str">
        <f ca="1">IF(ISNA(VLOOKUP(A708,Projects!B:B,1,FALSE)),"","Yes")</f>
        <v>Yes</v>
      </c>
    </row>
    <row r="709" spans="1:16">
      <c r="A709" s="4" t="s">
        <v>1324</v>
      </c>
      <c r="B709" s="5" t="s">
        <v>37</v>
      </c>
      <c r="C709" s="7" t="s">
        <v>48</v>
      </c>
      <c r="F709" s="13" t="str">
        <f ca="1">VLOOKUP(LEFT(A709,IF(ISERROR(FIND(".",A709)),LEN(A709)+1,FIND(".",A709))-1),WorkList!A:C,3,FALSE)</f>
        <v>Collateral Model</v>
      </c>
      <c r="G709" s="14" t="str">
        <f ca="1">VLOOKUP(CONCATENATE(A709),WorkList!A:C,3,FALSE)</f>
        <v>Model2Intex: Complete</v>
      </c>
      <c r="H709" s="13" t="str">
        <f ca="1">VLOOKUP(CONCATENATE(A709),WorkList!A:D,4,FALSE)</f>
        <v>Neil</v>
      </c>
      <c r="I709" s="15">
        <f ca="1">VLOOKUP(CONCATENATE(A709),WorkList!A:E,5,FALSE)</f>
        <v>40365</v>
      </c>
      <c r="J709" s="49">
        <f ca="1">VLOOKUP(CONCATENATE(A709),WorkList!A:F,6,FALSE)</f>
        <v>1</v>
      </c>
      <c r="K709" s="49" t="str">
        <f ca="1">VLOOKUP(CONCATENATE(A709),WorkList!A:G,7,FALSE)</f>
        <v>NewDevelopment</v>
      </c>
      <c r="L709" s="7" t="s">
        <v>13</v>
      </c>
      <c r="M709" s="16">
        <v>40598</v>
      </c>
      <c r="N709" s="60">
        <f ca="1">VALUE(LEFT(C709))</f>
        <v>0</v>
      </c>
      <c r="O709" s="61">
        <f ca="1">INT(IF(N709&gt;0,1+MAX(N709*N709-(IF(D709="",TODAY()+(5-N709)*15,D709)-TODAY())/4,N709),IF(TODAY()-M709&gt;10,0,1)))</f>
        <v>1</v>
      </c>
      <c r="P709" s="1" t="str">
        <f ca="1">IF(ISNA(VLOOKUP(A709,Projects!B:B,1,FALSE)),"","Yes")</f>
        <v>Yes</v>
      </c>
    </row>
    <row r="710" spans="1:16">
      <c r="A710" s="4" t="s">
        <v>1703</v>
      </c>
      <c r="B710" s="5" t="s">
        <v>919</v>
      </c>
      <c r="C710" s="7" t="s">
        <v>12</v>
      </c>
      <c r="F710" s="13" t="str">
        <f ca="1">VLOOKUP(LEFT(A710,IF(ISERROR(FIND(".",A710)),LEN(A710)+1,FIND(".",A710))-1),WorkList!A:C,3,FALSE)</f>
        <v>Collateral Model</v>
      </c>
      <c r="G710" s="14" t="str">
        <f ca="1">VLOOKUP(CONCATENATE(A710),WorkList!A:C,3,FALSE)</f>
        <v>ScenarioRateProvider: Define requirements and plan</v>
      </c>
      <c r="H710" s="13" t="str">
        <f ca="1">VLOOKUP(CONCATENATE(A710),WorkList!A:D,4,FALSE)</f>
        <v>Neil</v>
      </c>
      <c r="I710" s="15">
        <f ca="1">VLOOKUP(CONCATENATE(A710),WorkList!A:E,5,FALSE)</f>
        <v>40521</v>
      </c>
      <c r="J710" s="49">
        <f ca="1">VLOOKUP(CONCATENATE(A710),WorkList!A:F,6,FALSE)</f>
        <v>2</v>
      </c>
      <c r="K710" s="49" t="str">
        <f ca="1">VLOOKUP(CONCATENATE(A710),WorkList!A:G,7,FALSE)</f>
        <v>NewDevelopment</v>
      </c>
      <c r="L710" s="7" t="s">
        <v>5</v>
      </c>
      <c r="M710" s="16">
        <v>40598</v>
      </c>
      <c r="N710" s="60">
        <f ca="1">VALUE(LEFT(C710))</f>
        <v>4</v>
      </c>
      <c r="O710" s="61">
        <f ca="1">INT(IF(N710&gt;0,1+MAX(N710*N710-(IF(D710="",TODAY()+(5-N710)*15,D710)-TODAY())/4,N710),IF(TODAY()-M710&gt;10,0,1)))</f>
        <v>13</v>
      </c>
      <c r="P710" s="1" t="str">
        <f ca="1">IF(ISNA(VLOOKUP(A710,Projects!B:B,1,FALSE)),"","Yes")</f>
        <v/>
      </c>
    </row>
    <row r="711" spans="1:16">
      <c r="A711" s="4" t="s">
        <v>1766</v>
      </c>
      <c r="B711" s="5" t="s">
        <v>919</v>
      </c>
      <c r="C711" s="7" t="s">
        <v>12</v>
      </c>
      <c r="E711" s="12">
        <v>1</v>
      </c>
      <c r="F711" s="13" t="str">
        <f ca="1">VLOOKUP(LEFT(A711,IF(ISERROR(FIND(".",A711)),LEN(A711)+1,FIND(".",A711))-1),WorkList!A:C,3,FALSE)</f>
        <v>Collateral Model</v>
      </c>
      <c r="G711" s="14" t="str">
        <f ca="1">VLOOKUP(CONCATENATE(A711),WorkList!A:C,3,FALSE)</f>
        <v>ScenarioRateProvider: Design interface to model</v>
      </c>
      <c r="H711" s="13" t="str">
        <f ca="1">VLOOKUP(CONCATENATE(A711),WorkList!A:D,4,FALSE)</f>
        <v>Neil</v>
      </c>
      <c r="I711" s="15">
        <f ca="1">VLOOKUP(CONCATENATE(A711),WorkList!A:E,5,FALSE)</f>
        <v>40521</v>
      </c>
      <c r="J711" s="49">
        <f ca="1">VLOOKUP(CONCATENATE(A711),WorkList!A:F,6,FALSE)</f>
        <v>2</v>
      </c>
      <c r="K711" s="49" t="str">
        <f ca="1">VLOOKUP(CONCATENATE(A711),WorkList!A:G,7,FALSE)</f>
        <v>NewDevelopment</v>
      </c>
      <c r="L711" s="7" t="s">
        <v>5</v>
      </c>
      <c r="M711" s="16">
        <v>40598</v>
      </c>
      <c r="N711" s="60">
        <f ca="1">VALUE(LEFT(C711))</f>
        <v>4</v>
      </c>
      <c r="O711" s="61">
        <f ca="1">INT(IF(N711&gt;0,1+MAX(N711*N711-(IF(D711="",TODAY()+(5-N711)*15,D711)-TODAY())/4,N711),IF(TODAY()-M711&gt;10,0,1)))</f>
        <v>13</v>
      </c>
      <c r="P711" s="1" t="str">
        <f ca="1">IF(ISNA(VLOOKUP(A711,Projects!B:B,1,FALSE)),"","Yes")</f>
        <v/>
      </c>
    </row>
    <row r="712" spans="1:16">
      <c r="A712" s="4" t="s">
        <v>1768</v>
      </c>
      <c r="B712" s="5" t="s">
        <v>919</v>
      </c>
      <c r="C712" s="7" t="s">
        <v>12</v>
      </c>
      <c r="F712" s="13" t="str">
        <f ca="1">VLOOKUP(LEFT(A712,IF(ISERROR(FIND(".",A712)),LEN(A712)+1,FIND(".",A712))-1),WorkList!A:C,3,FALSE)</f>
        <v>Collateral Model</v>
      </c>
      <c r="G712" s="14" t="str">
        <f ca="1">VLOOKUP(CONCATENATE(A712),WorkList!A:C,3,FALSE)</f>
        <v>ScenarioRateProvider: Implement database only scenarios</v>
      </c>
      <c r="H712" s="13" t="str">
        <f ca="1">VLOOKUP(CONCATENATE(A712),WorkList!A:D,4,FALSE)</f>
        <v>Neil</v>
      </c>
      <c r="I712" s="15">
        <f ca="1">VLOOKUP(CONCATENATE(A712),WorkList!A:E,5,FALSE)</f>
        <v>40521</v>
      </c>
      <c r="J712" s="49">
        <f ca="1">VLOOKUP(CONCATENATE(A712),WorkList!A:F,6,FALSE)</f>
        <v>5</v>
      </c>
      <c r="K712" s="49" t="str">
        <f ca="1">VLOOKUP(CONCATENATE(A712),WorkList!A:G,7,FALSE)</f>
        <v>NewDevelopment</v>
      </c>
      <c r="L712" s="7" t="s">
        <v>7</v>
      </c>
      <c r="M712" s="16">
        <v>40598</v>
      </c>
      <c r="N712" s="60">
        <f ca="1">VALUE(LEFT(C712))</f>
        <v>4</v>
      </c>
      <c r="O712" s="61">
        <f ca="1">INT(IF(N712&gt;0,1+MAX(N712*N712-(IF(D712="",TODAY()+(5-N712)*15,D712)-TODAY())/4,N712),IF(TODAY()-M712&gt;10,0,1)))</f>
        <v>13</v>
      </c>
      <c r="P712" s="1" t="str">
        <f ca="1">IF(ISNA(VLOOKUP(A712,Projects!B:B,1,FALSE)),"","Yes")</f>
        <v/>
      </c>
    </row>
    <row r="713" spans="1:16">
      <c r="A713" s="4" t="s">
        <v>1788</v>
      </c>
      <c r="B713" s="5" t="s">
        <v>37</v>
      </c>
      <c r="C713" s="7" t="s">
        <v>12</v>
      </c>
      <c r="F713" s="13" t="str">
        <f ca="1">VLOOKUP(LEFT(A713,IF(ISERROR(FIND(".",A713)),LEN(A713)+1,FIND(".",A713))-1),WorkList!A:C,3,FALSE)</f>
        <v>Collateral Model</v>
      </c>
      <c r="G713" s="14" t="str">
        <f ca="1">VLOOKUP(CONCATENATE(A713),WorkList!A:C,3,FALSE)</f>
        <v>Performance problem on David's machine</v>
      </c>
      <c r="H713" s="13" t="str">
        <f ca="1">VLOOKUP(CONCATENATE(A713),WorkList!A:D,4,FALSE)</f>
        <v>David</v>
      </c>
      <c r="I713" s="15">
        <f ca="1">VLOOKUP(CONCATENATE(A713),WorkList!A:E,5,FALSE)</f>
        <v>40532</v>
      </c>
      <c r="J713" s="49">
        <f ca="1">VLOOKUP(CONCATENATE(A713),WorkList!A:F,6,FALSE)</f>
        <v>2</v>
      </c>
      <c r="K713" s="49" t="str">
        <f ca="1">VLOOKUP(CONCATENATE(A713),WorkList!A:G,7,FALSE)</f>
        <v>Maintenance</v>
      </c>
      <c r="L713" s="7" t="s">
        <v>5</v>
      </c>
      <c r="M713" s="16">
        <v>40532</v>
      </c>
      <c r="N713" s="60">
        <f ca="1">VALUE(LEFT(C713))</f>
        <v>4</v>
      </c>
      <c r="O713" s="61">
        <f ca="1">INT(IF(N713&gt;0,1+MAX(N713*N713-(IF(D713="",TODAY()+(5-N713)*15,D713)-TODAY())/4,N713),IF(TODAY()-M713&gt;10,0,1)))</f>
        <v>13</v>
      </c>
      <c r="P713" s="1" t="str">
        <f ca="1">IF(ISNA(VLOOKUP(A713,Projects!B:B,1,FALSE)),"","Yes")</f>
        <v/>
      </c>
    </row>
    <row r="714" spans="1:16">
      <c r="A714" s="4" t="s">
        <v>1840</v>
      </c>
      <c r="B714" s="5" t="s">
        <v>37</v>
      </c>
      <c r="C714" s="7" t="s">
        <v>197</v>
      </c>
      <c r="F714" s="13" t="str">
        <f ca="1">VLOOKUP(LEFT(A714,IF(ISERROR(FIND(".",A714)),LEN(A714)+1,FIND(".",A714))-1),WorkList!A:C,3,FALSE)</f>
        <v>Collateral Model</v>
      </c>
      <c r="G714" s="14" t="str">
        <f ca="1">VLOOKUP(CONCATENATE(A714),WorkList!A:C,3,FALSE)</f>
        <v>Presentation to Mumbai Management team</v>
      </c>
      <c r="H714" s="13" t="str">
        <f ca="1">VLOOKUP(CONCATENATE(A714),WorkList!A:D,4,FALSE)</f>
        <v>Pramendra</v>
      </c>
      <c r="I714" s="15">
        <f ca="1">VLOOKUP(CONCATENATE(A714),WorkList!A:E,5,FALSE)</f>
        <v>40556</v>
      </c>
      <c r="J714" s="49">
        <f ca="1">VLOOKUP(CONCATENATE(A714),WorkList!A:F,6,FALSE)</f>
        <v>2</v>
      </c>
      <c r="K714" s="49" t="str">
        <f ca="1">VLOOKUP(CONCATENATE(A714),WorkList!A:G,7,FALSE)</f>
        <v>Other</v>
      </c>
      <c r="L714" s="7" t="s">
        <v>5</v>
      </c>
      <c r="M714" s="16">
        <v>40567</v>
      </c>
      <c r="N714" s="60">
        <f ca="1">VALUE(LEFT(C714))</f>
        <v>1</v>
      </c>
      <c r="O714" s="61">
        <f ca="1">INT(IF(N714&gt;0,1+MAX(N714*N714-(IF(D714="",TODAY()+(5-N714)*15,D714)-TODAY())/4,N714),IF(TODAY()-M714&gt;10,0,1)))</f>
        <v>2</v>
      </c>
      <c r="P714" s="1" t="str">
        <f ca="1">IF(ISNA(VLOOKUP(A714,Projects!B:B,1,FALSE)),"","Yes")</f>
        <v/>
      </c>
    </row>
    <row r="715" spans="1:16">
      <c r="A715" s="4" t="s">
        <v>1956</v>
      </c>
      <c r="B715" s="5" t="s">
        <v>37</v>
      </c>
      <c r="C715" s="7" t="s">
        <v>684</v>
      </c>
      <c r="F715" s="13" t="str">
        <f ca="1">VLOOKUP(LEFT(A715,IF(ISERROR(FIND(".",A715)),LEN(A715)+1,FIND(".",A715))-1),WorkList!A:C,3,FALSE)</f>
        <v>Collateral Model</v>
      </c>
      <c r="G715" s="14" t="str">
        <f ca="1">VLOOKUP(CONCATENATE(A715),WorkList!A:C,3,FALSE)</f>
        <v>First Prod Release</v>
      </c>
      <c r="H715" s="13" t="str">
        <f ca="1">VLOOKUP(CONCATENATE(A715),WorkList!A:D,4,FALSE)</f>
        <v>Pramendra</v>
      </c>
      <c r="I715" s="15">
        <f ca="1">VLOOKUP(CONCATENATE(A715),WorkList!A:E,5,FALSE)</f>
        <v>40598</v>
      </c>
      <c r="J715" s="49">
        <f ca="1">VLOOKUP(CONCATENATE(A715),WorkList!A:F,6,FALSE)</f>
        <v>5</v>
      </c>
      <c r="K715" s="49" t="str">
        <f ca="1">VLOOKUP(CONCATENATE(A715),WorkList!A:G,7,FALSE)</f>
        <v>NewDevelopment</v>
      </c>
      <c r="L715" s="7" t="s">
        <v>5</v>
      </c>
      <c r="M715" s="16">
        <v>40598</v>
      </c>
      <c r="N715" s="60">
        <f ca="1">VALUE(LEFT(C715))</f>
        <v>5</v>
      </c>
      <c r="O715" s="61">
        <f ca="1">INT(IF(N715&gt;0,1+MAX(N715*N715-(IF(D715="",TODAY()+(5-N715)*15,D715)-TODAY())/4,N715),IF(TODAY()-M715&gt;10,0,1)))</f>
        <v>26</v>
      </c>
      <c r="P715" s="1" t="str">
        <f ca="1">IF(ISNA(VLOOKUP(A715,Projects!B:B,1,FALSE)),"","Yes")</f>
        <v/>
      </c>
    </row>
    <row r="716" spans="1:16">
      <c r="A716" s="4" t="s">
        <v>1957</v>
      </c>
      <c r="B716" s="5" t="s">
        <v>919</v>
      </c>
      <c r="C716" s="7" t="s">
        <v>684</v>
      </c>
      <c r="F716" s="13" t="str">
        <f ca="1">VLOOKUP(LEFT(A716,IF(ISERROR(FIND(".",A716)),LEN(A716)+1,FIND(".",A716))-1),WorkList!A:C,3,FALSE)</f>
        <v>Collateral Model</v>
      </c>
      <c r="G716" s="14" t="str">
        <f ca="1">VLOOKUP(CONCATENATE(A716),WorkList!A:C,3,FALSE)</f>
        <v>First Prod Release</v>
      </c>
      <c r="H716" s="13" t="str">
        <f ca="1">VLOOKUP(CONCATENATE(A716),WorkList!A:D,4,FALSE)</f>
        <v>Pramendra</v>
      </c>
      <c r="I716" s="15">
        <f ca="1">VLOOKUP(CONCATENATE(A716),WorkList!A:E,5,FALSE)</f>
        <v>40598</v>
      </c>
      <c r="J716" s="49">
        <f ca="1">VLOOKUP(CONCATENATE(A716),WorkList!A:F,6,FALSE)</f>
        <v>5</v>
      </c>
      <c r="K716" s="49" t="str">
        <f ca="1">VLOOKUP(CONCATENATE(A716),WorkList!A:G,7,FALSE)</f>
        <v>NewDevelopment</v>
      </c>
      <c r="L716" s="7" t="s">
        <v>5</v>
      </c>
      <c r="M716" s="16">
        <v>40598</v>
      </c>
      <c r="N716" s="60">
        <f ca="1">VALUE(LEFT(C716))</f>
        <v>5</v>
      </c>
      <c r="O716" s="61">
        <f ca="1">INT(IF(N716&gt;0,1+MAX(N716*N716-(IF(D716="",TODAY()+(5-N716)*15,D716)-TODAY())/4,N716),IF(TODAY()-M716&gt;10,0,1)))</f>
        <v>26</v>
      </c>
      <c r="P716" s="1" t="str">
        <f ca="1">IF(ISNA(VLOOKUP(A716,Projects!B:B,1,FALSE)),"","Yes")</f>
        <v/>
      </c>
    </row>
    <row r="717" spans="1:16">
      <c r="A717" s="4" t="s">
        <v>968</v>
      </c>
      <c r="B717" s="5" t="s">
        <v>919</v>
      </c>
      <c r="C717" s="7" t="s">
        <v>48</v>
      </c>
      <c r="D717" s="11"/>
      <c r="F717" s="13" t="str">
        <f ca="1">VLOOKUP(LEFT(A717,IF(ISERROR(FIND(".",A717)),LEN(A717)+1,FIND(".",A717))-1),WorkList!A:C,3,FALSE)</f>
        <v>Support Tools</v>
      </c>
      <c r="G717" s="14" t="str">
        <f ca="1">VLOOKUP(CONCATENATE(A717),WorkList!A:C,3,FALSE)</f>
        <v>Generic Suppot Tool Design</v>
      </c>
      <c r="H717" s="13" t="str">
        <f ca="1">VLOOKUP(CONCATENATE(A717),WorkList!A:D,4,FALSE)</f>
        <v>Neil</v>
      </c>
      <c r="I717" s="15">
        <f ca="1">VLOOKUP(CONCATENATE(A717),WorkList!A:E,5,FALSE)</f>
        <v>40245</v>
      </c>
      <c r="J717" s="49">
        <f ca="1">VLOOKUP(CONCATENATE(A717),WorkList!A:F,6,FALSE)</f>
        <v>15</v>
      </c>
      <c r="K717" s="49">
        <f ca="1">VLOOKUP(CONCATENATE(A717),WorkList!A:G,7,FALSE)</f>
        <v>0</v>
      </c>
      <c r="L717" s="7" t="s">
        <v>13</v>
      </c>
      <c r="M717" s="16">
        <v>40283</v>
      </c>
      <c r="N717" s="60">
        <f ca="1">VALUE(LEFT(C717))</f>
        <v>0</v>
      </c>
      <c r="O717" s="61">
        <f ca="1">INT(IF(N717&gt;0,1+MAX(N717*N717-(IF(D717="",TODAY()+(5-N717)*15,D717)-TODAY())/4,N717),IF(TODAY()-M717&gt;10,0,1)))</f>
        <v>0</v>
      </c>
      <c r="P717" s="1" t="str">
        <f ca="1">IF(ISNA(VLOOKUP(A717,Projects!B:B,1,FALSE)),"","Yes")</f>
        <v/>
      </c>
    </row>
    <row r="718" spans="1:16">
      <c r="A718" s="4" t="s">
        <v>967</v>
      </c>
      <c r="B718" s="5" t="s">
        <v>919</v>
      </c>
      <c r="C718" s="7" t="s">
        <v>48</v>
      </c>
      <c r="D718" s="11"/>
      <c r="F718" s="13" t="str">
        <f ca="1">VLOOKUP(LEFT(A718,IF(ISERROR(FIND(".",A718)),LEN(A718)+1,FIND(".",A718))-1),WorkList!A:C,3,FALSE)</f>
        <v>Support Tools</v>
      </c>
      <c r="G718" s="14" t="str">
        <f ca="1">VLOOKUP(CONCATENATE(A718),WorkList!A:C,3,FALSE)</f>
        <v>Gather current load status</v>
      </c>
      <c r="H718" s="13" t="str">
        <f ca="1">VLOOKUP(CONCATENATE(A718),WorkList!A:D,4,FALSE)</f>
        <v>Neil</v>
      </c>
      <c r="I718" s="15">
        <f ca="1">VLOOKUP(CONCATENATE(A718),WorkList!A:E,5,FALSE)</f>
        <v>40245</v>
      </c>
      <c r="J718" s="49">
        <f ca="1">VLOOKUP(CONCATENATE(A718),WorkList!A:F,6,FALSE)</f>
        <v>1</v>
      </c>
      <c r="K718" s="49">
        <f ca="1">VLOOKUP(CONCATENATE(A718),WorkList!A:G,7,FALSE)</f>
        <v>0</v>
      </c>
      <c r="L718" s="7" t="s">
        <v>13</v>
      </c>
      <c r="M718" s="16">
        <v>40283</v>
      </c>
      <c r="N718" s="60">
        <f ca="1">VALUE(LEFT(C718))</f>
        <v>0</v>
      </c>
      <c r="O718" s="61">
        <f ca="1">INT(IF(N718&gt;0,1+MAX(N718*N718-(IF(D718="",TODAY()+(5-N718)*15,D718)-TODAY())/4,N718),IF(TODAY()-M718&gt;10,0,1)))</f>
        <v>0</v>
      </c>
      <c r="P718" s="1" t="str">
        <f ca="1">IF(ISNA(VLOOKUP(A718,Projects!B:B,1,FALSE)),"","Yes")</f>
        <v/>
      </c>
    </row>
    <row r="719" spans="1:16">
      <c r="A719" s="4" t="s">
        <v>970</v>
      </c>
      <c r="B719" s="5" t="s">
        <v>919</v>
      </c>
      <c r="C719" s="7" t="s">
        <v>48</v>
      </c>
      <c r="D719" s="11"/>
      <c r="F719" s="13" t="str">
        <f ca="1">VLOOKUP(LEFT(A719,IF(ISERROR(FIND(".",A719)),LEN(A719)+1,FIND(".",A719))-1),WorkList!A:C,3,FALSE)</f>
        <v>Support Tools</v>
      </c>
      <c r="G719" s="14" t="str">
        <f ca="1">VLOOKUP(CONCATENATE(A719),WorkList!A:C,3,FALSE)</f>
        <v>Support Tool - Loan load - Design</v>
      </c>
      <c r="H719" s="13" t="str">
        <f ca="1">VLOOKUP(CONCATENATE(A719),WorkList!A:D,4,FALSE)</f>
        <v>Neil</v>
      </c>
      <c r="I719" s="15">
        <f ca="1">VLOOKUP(CONCATENATE(A719),WorkList!A:E,5,FALSE)</f>
        <v>40245</v>
      </c>
      <c r="J719" s="49">
        <f ca="1">VLOOKUP(CONCATENATE(A719),WorkList!A:F,6,FALSE)</f>
        <v>4</v>
      </c>
      <c r="K719" s="49">
        <f ca="1">VLOOKUP(CONCATENATE(A719),WorkList!A:G,7,FALSE)</f>
        <v>0</v>
      </c>
      <c r="L719" s="7" t="s">
        <v>13</v>
      </c>
      <c r="M719" s="16">
        <v>40283</v>
      </c>
      <c r="N719" s="60">
        <f ca="1">VALUE(LEFT(C719))</f>
        <v>0</v>
      </c>
      <c r="O719" s="61">
        <f ca="1">INT(IF(N719&gt;0,1+MAX(N719*N719-(IF(D719="",TODAY()+(5-N719)*15,D719)-TODAY())/4,N719),IF(TODAY()-M719&gt;10,0,1)))</f>
        <v>0</v>
      </c>
      <c r="P719" s="1" t="str">
        <f ca="1">IF(ISNA(VLOOKUP(A719,Projects!B:B,1,FALSE)),"","Yes")</f>
        <v/>
      </c>
    </row>
    <row r="720" spans="1:16">
      <c r="A720" s="4" t="s">
        <v>972</v>
      </c>
      <c r="B720" s="5" t="s">
        <v>919</v>
      </c>
      <c r="C720" s="6" t="s">
        <v>48</v>
      </c>
      <c r="D720" s="11">
        <v>40278</v>
      </c>
      <c r="F720" s="13" t="str">
        <f ca="1">VLOOKUP(LEFT(A720,IF(ISERROR(FIND(".",A720)),LEN(A720)+1,FIND(".",A720))-1),WorkList!A:C,3,FALSE)</f>
        <v>Support Tools</v>
      </c>
      <c r="G720" s="14" t="str">
        <f ca="1">VLOOKUP(CONCATENATE(A720),WorkList!A:C,3,FALSE)</f>
        <v>Support Tool - Loan load - 1st Draft Implementation</v>
      </c>
      <c r="H720" s="13" t="str">
        <f ca="1">VLOOKUP(CONCATENATE(A720),WorkList!A:D,4,FALSE)</f>
        <v>Neil</v>
      </c>
      <c r="I720" s="15">
        <f ca="1">VLOOKUP(CONCATENATE(A720),WorkList!A:E,5,FALSE)</f>
        <v>40245</v>
      </c>
      <c r="J720" s="49">
        <f ca="1">VLOOKUP(CONCATENATE(A720),WorkList!A:F,6,FALSE)</f>
        <v>5</v>
      </c>
      <c r="K720" s="49" t="str">
        <f ca="1">VLOOKUP(CONCATENATE(A720),WorkList!A:G,7,FALSE)</f>
        <v>NewDevelopment</v>
      </c>
      <c r="L720" s="7" t="s">
        <v>13</v>
      </c>
      <c r="M720" s="16">
        <v>40303</v>
      </c>
      <c r="N720" s="60">
        <f ca="1">VALUE(LEFT(C720))</f>
        <v>0</v>
      </c>
      <c r="O720" s="61">
        <f ca="1">INT(IF(N720&gt;0,1+MAX(N720*N720-(IF(D720="",TODAY()+(5-N720)*15,D720)-TODAY())/4,N720),IF(TODAY()-M720&gt;10,0,1)))</f>
        <v>0</v>
      </c>
      <c r="P720" s="1" t="str">
        <f ca="1">IF(ISNA(VLOOKUP(A720,Projects!B:B,1,FALSE)),"","Yes")</f>
        <v/>
      </c>
    </row>
    <row r="721" spans="1:16">
      <c r="A721" s="4" t="s">
        <v>975</v>
      </c>
      <c r="B721" s="5" t="s">
        <v>919</v>
      </c>
      <c r="C721" s="6" t="s">
        <v>48</v>
      </c>
      <c r="D721" s="11"/>
      <c r="F721" s="13" t="str">
        <f ca="1">VLOOKUP(LEFT(A721,IF(ISERROR(FIND(".",A721)),LEN(A721)+1,FIND(".",A721))-1),WorkList!A:C,3,FALSE)</f>
        <v>Support Tools</v>
      </c>
      <c r="G721" s="14" t="str">
        <f ca="1">VLOOKUP(CONCATENATE(A721),WorkList!A:C,3,FALSE)</f>
        <v>Support Tool - Loan load - Code Review</v>
      </c>
      <c r="H721" s="13" t="str">
        <f ca="1">VLOOKUP(CONCATENATE(A721),WorkList!A:D,4,FALSE)</f>
        <v>Neil</v>
      </c>
      <c r="I721" s="15">
        <f ca="1">VLOOKUP(CONCATENATE(A721),WorkList!A:E,5,FALSE)</f>
        <v>40245</v>
      </c>
      <c r="J721" s="49">
        <f ca="1">VLOOKUP(CONCATENATE(A721),WorkList!A:F,6,FALSE)</f>
        <v>1</v>
      </c>
      <c r="K721" s="49" t="str">
        <f ca="1">VLOOKUP(CONCATENATE(A721),WorkList!A:G,7,FALSE)</f>
        <v>NewDevelopment</v>
      </c>
      <c r="L721" s="7" t="s">
        <v>13</v>
      </c>
      <c r="M721" s="16">
        <v>40303</v>
      </c>
      <c r="N721" s="60">
        <f ca="1">VALUE(LEFT(C721))</f>
        <v>0</v>
      </c>
      <c r="O721" s="61">
        <f ca="1">INT(IF(N721&gt;0,1+MAX(N721*N721-(IF(D721="",TODAY()+(5-N721)*15,D721)-TODAY())/4,N721),IF(TODAY()-M721&gt;10,0,1)))</f>
        <v>0</v>
      </c>
      <c r="P721" s="1" t="str">
        <f ca="1">IF(ISNA(VLOOKUP(A721,Projects!B:B,1,FALSE)),"","Yes")</f>
        <v/>
      </c>
    </row>
    <row r="722" spans="1:16">
      <c r="A722" s="4" t="s">
        <v>976</v>
      </c>
      <c r="B722" s="5" t="s">
        <v>919</v>
      </c>
      <c r="C722" s="6" t="s">
        <v>48</v>
      </c>
      <c r="D722" s="11">
        <v>40305</v>
      </c>
      <c r="F722" s="13" t="str">
        <f ca="1">VLOOKUP(LEFT(A722,IF(ISERROR(FIND(".",A722)),LEN(A722)+1,FIND(".",A722))-1),WorkList!A:C,3,FALSE)</f>
        <v>Support Tools</v>
      </c>
      <c r="G722" s="14" t="str">
        <f ca="1">VLOOKUP(CONCATENATE(A722),WorkList!A:C,3,FALSE)</f>
        <v>Support Tool - Loan load - Full Implementation</v>
      </c>
      <c r="H722" s="13" t="str">
        <f ca="1">VLOOKUP(CONCATENATE(A722),WorkList!A:D,4,FALSE)</f>
        <v>Neil</v>
      </c>
      <c r="I722" s="15">
        <f ca="1">VLOOKUP(CONCATENATE(A722),WorkList!A:E,5,FALSE)</f>
        <v>40281</v>
      </c>
      <c r="J722" s="49">
        <f ca="1">VLOOKUP(CONCATENATE(A722),WorkList!A:F,6,FALSE)</f>
        <v>10</v>
      </c>
      <c r="K722" s="49" t="str">
        <f ca="1">VLOOKUP(CONCATENATE(A722),WorkList!A:G,7,FALSE)</f>
        <v>NewDevelopment</v>
      </c>
      <c r="L722" s="7" t="s">
        <v>13</v>
      </c>
      <c r="M722" s="16">
        <v>40304</v>
      </c>
      <c r="N722" s="60">
        <f ca="1">VALUE(LEFT(C722))</f>
        <v>0</v>
      </c>
      <c r="O722" s="61">
        <f ca="1">INT(IF(N722&gt;0,1+MAX(N722*N722-(IF(D722="",TODAY()+(5-N722)*15,D722)-TODAY())/4,N722),IF(TODAY()-M722&gt;10,0,1)))</f>
        <v>0</v>
      </c>
      <c r="P722" s="1" t="str">
        <f ca="1">IF(ISNA(VLOOKUP(A722,Projects!B:B,1,FALSE)),"","Yes")</f>
        <v/>
      </c>
    </row>
    <row r="723" spans="1:16">
      <c r="A723" s="4" t="s">
        <v>1053</v>
      </c>
      <c r="B723" s="5" t="s">
        <v>919</v>
      </c>
      <c r="C723" s="6" t="s">
        <v>48</v>
      </c>
      <c r="D723" s="11">
        <v>40288</v>
      </c>
      <c r="F723" s="13" t="str">
        <f ca="1">VLOOKUP(LEFT(A723,IF(ISERROR(FIND(".",A723)),LEN(A723)+1,FIND(".",A723))-1),WorkList!A:C,3,FALSE)</f>
        <v>Support Tools</v>
      </c>
      <c r="G723" s="14" t="str">
        <f ca="1">VLOOKUP(CONCATENATE(A723),WorkList!A:C,3,FALSE)</f>
        <v>Support Tool - Incorporate comments from group review</v>
      </c>
      <c r="H723" s="13" t="str">
        <f ca="1">VLOOKUP(CONCATENATE(A723),WorkList!A:D,4,FALSE)</f>
        <v>Neil</v>
      </c>
      <c r="I723" s="15">
        <f ca="1">VLOOKUP(CONCATENATE(A723),WorkList!A:E,5,FALSE)</f>
        <v>40281</v>
      </c>
      <c r="J723" s="49">
        <f ca="1">VLOOKUP(CONCATENATE(A723),WorkList!A:F,6,FALSE)</f>
        <v>1</v>
      </c>
      <c r="K723" s="49" t="str">
        <f ca="1">VLOOKUP(CONCATENATE(A723),WorkList!A:G,7,FALSE)</f>
        <v>NewDevelopment</v>
      </c>
      <c r="L723" s="7" t="s">
        <v>13</v>
      </c>
      <c r="M723" s="16">
        <v>40303</v>
      </c>
      <c r="N723" s="60">
        <f ca="1">VALUE(LEFT(C723))</f>
        <v>0</v>
      </c>
      <c r="O723" s="61">
        <f ca="1">INT(IF(N723&gt;0,1+MAX(N723*N723-(IF(D723="",TODAY()+(5-N723)*15,D723)-TODAY())/4,N723),IF(TODAY()-M723&gt;10,0,1)))</f>
        <v>0</v>
      </c>
      <c r="P723" s="1" t="str">
        <f ca="1">IF(ISNA(VLOOKUP(A723,Projects!B:B,1,FALSE)),"","Yes")</f>
        <v/>
      </c>
    </row>
    <row r="724" spans="1:16">
      <c r="A724" s="4" t="s">
        <v>1138</v>
      </c>
      <c r="B724" s="5" t="s">
        <v>919</v>
      </c>
      <c r="C724" s="6" t="s">
        <v>48</v>
      </c>
      <c r="D724" s="11">
        <v>40305</v>
      </c>
      <c r="F724" s="13" t="str">
        <f ca="1">VLOOKUP(LEFT(A724,IF(ISERROR(FIND(".",A724)),LEN(A724)+1,FIND(".",A724))-1),WorkList!A:C,3,FALSE)</f>
        <v>Support Tools</v>
      </c>
      <c r="G724" s="14" t="str">
        <f ca="1">VLOOKUP(CONCATENATE(A724),WorkList!A:C,3,FALSE)</f>
        <v>Support Tool - Release GUI and Batch to Prod</v>
      </c>
      <c r="H724" s="13" t="str">
        <f ca="1">VLOOKUP(CONCATENATE(A724),WorkList!A:D,4,FALSE)</f>
        <v>Neil</v>
      </c>
      <c r="I724" s="15">
        <f ca="1">VLOOKUP(CONCATENATE(A724),WorkList!A:E,5,FALSE)</f>
        <v>40304</v>
      </c>
      <c r="J724" s="49">
        <f ca="1">VLOOKUP(CONCATENATE(A724),WorkList!A:F,6,FALSE)</f>
        <v>1</v>
      </c>
      <c r="K724" s="49" t="str">
        <f ca="1">VLOOKUP(CONCATENATE(A724),WorkList!A:G,7,FALSE)</f>
        <v>NewDevelopment</v>
      </c>
      <c r="L724" s="7" t="s">
        <v>13</v>
      </c>
      <c r="M724" s="16">
        <v>40353</v>
      </c>
      <c r="N724" s="60">
        <f ca="1">VALUE(LEFT(C724))</f>
        <v>0</v>
      </c>
      <c r="O724" s="61">
        <f ca="1">INT(IF(N724&gt;0,1+MAX(N724*N724-(IF(D724="",TODAY()+(5-N724)*15,D724)-TODAY())/4,N724),IF(TODAY()-M724&gt;10,0,1)))</f>
        <v>0</v>
      </c>
      <c r="P724" s="1" t="str">
        <f ca="1">IF(ISNA(VLOOKUP(A724,Projects!B:B,1,FALSE)),"","Yes")</f>
        <v/>
      </c>
    </row>
    <row r="725" spans="1:16">
      <c r="A725" s="4" t="s">
        <v>1874</v>
      </c>
      <c r="B725" s="5" t="s">
        <v>919</v>
      </c>
      <c r="C725" s="7" t="s">
        <v>48</v>
      </c>
      <c r="E725" s="12">
        <v>1</v>
      </c>
      <c r="F725" s="13" t="str">
        <f ca="1">VLOOKUP(LEFT(A725,IF(ISERROR(FIND(".",A725)),LEN(A725)+1,FIND(".",A725))-1),WorkList!A:C,3,FALSE)</f>
        <v>Support Tools</v>
      </c>
      <c r="G725" s="14" t="str">
        <f ca="1">VLOOKUP(CONCATENATE(A725),WorkList!A:C,3,FALSE)</f>
        <v>Determine how to make loan loading monitoring effective</v>
      </c>
      <c r="H725" s="13" t="str">
        <f ca="1">VLOOKUP(CONCATENATE(A725),WorkList!A:D,4,FALSE)</f>
        <v>Neil</v>
      </c>
      <c r="I725" s="15">
        <f ca="1">VLOOKUP(CONCATENATE(A725),WorkList!A:E,5,FALSE)</f>
        <v>40563</v>
      </c>
      <c r="J725" s="49">
        <f ca="1">VLOOKUP(CONCATENATE(A725),WorkList!A:F,6,FALSE)</f>
        <v>2</v>
      </c>
      <c r="K725" s="49" t="str">
        <f ca="1">VLOOKUP(CONCATENATE(A725),WorkList!A:G,7,FALSE)</f>
        <v>NewDevelopment</v>
      </c>
      <c r="L725" s="7" t="s">
        <v>13</v>
      </c>
      <c r="M725" s="16">
        <v>40590</v>
      </c>
      <c r="N725" s="60">
        <f ca="1">VALUE(LEFT(C725))</f>
        <v>0</v>
      </c>
      <c r="O725" s="61">
        <f ca="1">INT(IF(N725&gt;0,1+MAX(N725*N725-(IF(D725="",TODAY()+(5-N725)*15,D725)-TODAY())/4,N725),IF(TODAY()-M725&gt;10,0,1)))</f>
        <v>1</v>
      </c>
      <c r="P725" s="1" t="str">
        <f ca="1">IF(ISNA(VLOOKUP(A725,Projects!B:B,1,FALSE)),"","Yes")</f>
        <v/>
      </c>
    </row>
    <row r="726" spans="1:16" ht="25.5">
      <c r="A726" s="4" t="s">
        <v>1943</v>
      </c>
      <c r="B726" s="5" t="s">
        <v>919</v>
      </c>
      <c r="C726" s="7" t="s">
        <v>12</v>
      </c>
      <c r="F726" s="13" t="str">
        <f ca="1">VLOOKUP(LEFT(A726,IF(ISERROR(FIND(".",A726)),LEN(A726)+1,FIND(".",A726))-1),WorkList!A:C,3,FALSE)</f>
        <v>Support Tools</v>
      </c>
      <c r="G726" s="14" t="str">
        <f ca="1">VLOOKUP(CONCATENATE(A726),WorkList!A:C,3,FALSE)</f>
        <v>EffectiveLoanLoading: Modifications to DashBoard GUI and batch</v>
      </c>
      <c r="H726" s="13" t="str">
        <f ca="1">VLOOKUP(CONCATENATE(A726),WorkList!A:D,4,FALSE)</f>
        <v>Neil</v>
      </c>
      <c r="I726" s="15">
        <f ca="1">VLOOKUP(CONCATENATE(A726),WorkList!A:E,5,FALSE)</f>
        <v>40590</v>
      </c>
      <c r="J726" s="49">
        <f ca="1">VLOOKUP(CONCATENATE(A726),WorkList!A:F,6,FALSE)</f>
        <v>5</v>
      </c>
      <c r="K726" s="49" t="str">
        <f ca="1">VLOOKUP(CONCATENATE(A726),WorkList!A:G,7,FALSE)</f>
        <v>Enhancement</v>
      </c>
      <c r="L726" s="7" t="s">
        <v>7</v>
      </c>
      <c r="M726" s="16">
        <v>40590</v>
      </c>
      <c r="N726" s="60">
        <f ca="1">VALUE(LEFT(C726))</f>
        <v>4</v>
      </c>
      <c r="O726" s="61">
        <f ca="1">INT(IF(N726&gt;0,1+MAX(N726*N726-(IF(D726="",TODAY()+(5-N726)*15,D726)-TODAY())/4,N726),IF(TODAY()-M726&gt;10,0,1)))</f>
        <v>13</v>
      </c>
      <c r="P726" s="1" t="str">
        <f ca="1">IF(ISNA(VLOOKUP(A726,Projects!B:B,1,FALSE)),"","Yes")</f>
        <v/>
      </c>
    </row>
    <row r="727" spans="1:16">
      <c r="A727" s="4" t="s">
        <v>987</v>
      </c>
      <c r="B727" s="5" t="s">
        <v>29</v>
      </c>
      <c r="C727" s="7" t="s">
        <v>48</v>
      </c>
      <c r="D727" s="11"/>
      <c r="F727" s="13" t="str">
        <f ca="1">VLOOKUP(LEFT(A727,IF(ISERROR(FIND(".",A727)),LEN(A727)+1,FIND(".",A727))-1),WorkList!A:C,3,FALSE)</f>
        <v>BBG Performance Data</v>
      </c>
      <c r="G727" s="14" t="str">
        <f ca="1">VLOOKUP(CONCATENATE(A727),WorkList!A:C,3,FALSE)</f>
        <v>Gather Requirements</v>
      </c>
      <c r="H727" s="13" t="str">
        <f ca="1">VLOOKUP(CONCATENATE(A727),WorkList!A:D,4,FALSE)</f>
        <v>Neil</v>
      </c>
      <c r="I727" s="15">
        <f ca="1">VLOOKUP(CONCATENATE(A727),WorkList!A:E,5,FALSE)</f>
        <v>40252</v>
      </c>
      <c r="J727" s="49">
        <f ca="1">VLOOKUP(CONCATENATE(A727),WorkList!A:F,6,FALSE)</f>
        <v>2</v>
      </c>
      <c r="K727" s="49">
        <f ca="1">VLOOKUP(CONCATENATE(A727),WorkList!A:G,7,FALSE)</f>
        <v>0</v>
      </c>
      <c r="L727" s="7" t="s">
        <v>13</v>
      </c>
      <c r="M727" s="16">
        <v>40284</v>
      </c>
      <c r="N727" s="60">
        <f ca="1">VALUE(LEFT(C727))</f>
        <v>0</v>
      </c>
      <c r="O727" s="61">
        <f ca="1">INT(IF(N727&gt;0,1+MAX(N727*N727-(IF(D727="",TODAY()+(5-N727)*15,D727)-TODAY())/4,N727),IF(TODAY()-M727&gt;10,0,1)))</f>
        <v>0</v>
      </c>
      <c r="P727" s="1" t="str">
        <f ca="1">IF(ISNA(VLOOKUP(A727,Projects!B:B,1,FALSE)),"","Yes")</f>
        <v/>
      </c>
    </row>
    <row r="728" spans="1:16">
      <c r="A728" s="4" t="s">
        <v>989</v>
      </c>
      <c r="B728" s="5" t="s">
        <v>29</v>
      </c>
      <c r="C728" s="6" t="s">
        <v>48</v>
      </c>
      <c r="D728" s="11"/>
      <c r="F728" s="13" t="str">
        <f ca="1">VLOOKUP(LEFT(A728,IF(ISERROR(FIND(".",A728)),LEN(A728)+1,FIND(".",A728))-1),WorkList!A:C,3,FALSE)</f>
        <v>BBG Performance Data</v>
      </c>
      <c r="G728" s="14" t="str">
        <f ca="1">VLOOKUP(CONCATENATE(A728),WorkList!A:C,3,FALSE)</f>
        <v>Design application and database</v>
      </c>
      <c r="H728" s="13" t="str">
        <f ca="1">VLOOKUP(CONCATENATE(A728),WorkList!A:D,4,FALSE)</f>
        <v>Neil</v>
      </c>
      <c r="I728" s="15">
        <f ca="1">VLOOKUP(CONCATENATE(A728),WorkList!A:E,5,FALSE)</f>
        <v>40252</v>
      </c>
      <c r="J728" s="49">
        <f ca="1">VLOOKUP(CONCATENATE(A728),WorkList!A:F,6,FALSE)</f>
        <v>4</v>
      </c>
      <c r="K728" s="49" t="str">
        <f ca="1">VLOOKUP(CONCATENATE(A728),WorkList!A:G,7,FALSE)</f>
        <v>NewDevelopment</v>
      </c>
      <c r="L728" s="7" t="s">
        <v>13</v>
      </c>
      <c r="M728" s="16">
        <v>40303</v>
      </c>
      <c r="N728" s="60">
        <f ca="1">VALUE(LEFT(C728))</f>
        <v>0</v>
      </c>
      <c r="O728" s="61">
        <f ca="1">INT(IF(N728&gt;0,1+MAX(N728*N728-(IF(D728="",TODAY()+(5-N728)*15,D728)-TODAY())/4,N728),IF(TODAY()-M728&gt;10,0,1)))</f>
        <v>0</v>
      </c>
      <c r="P728" s="1" t="str">
        <f ca="1">IF(ISNA(VLOOKUP(A728,Projects!B:B,1,FALSE)),"","Yes")</f>
        <v/>
      </c>
    </row>
    <row r="729" spans="1:16">
      <c r="A729" s="4" t="s">
        <v>991</v>
      </c>
      <c r="B729" s="5" t="s">
        <v>29</v>
      </c>
      <c r="C729" s="6" t="s">
        <v>48</v>
      </c>
      <c r="D729" s="11"/>
      <c r="F729" s="13" t="str">
        <f ca="1">VLOOKUP(LEFT(A729,IF(ISERROR(FIND(".",A729)),LEN(A729)+1,FIND(".",A729))-1),WorkList!A:C,3,FALSE)</f>
        <v>BBG Performance Data</v>
      </c>
      <c r="G729" s="14" t="str">
        <f ca="1">VLOOKUP(CONCATENATE(A729),WorkList!A:C,3,FALSE)</f>
        <v>Review design</v>
      </c>
      <c r="H729" s="13" t="str">
        <f ca="1">VLOOKUP(CONCATENATE(A729),WorkList!A:D,4,FALSE)</f>
        <v>Neil</v>
      </c>
      <c r="I729" s="15">
        <f ca="1">VLOOKUP(CONCATENATE(A729),WorkList!A:E,5,FALSE)</f>
        <v>40252</v>
      </c>
      <c r="J729" s="49">
        <f ca="1">VLOOKUP(CONCATENATE(A729),WorkList!A:F,6,FALSE)</f>
        <v>1</v>
      </c>
      <c r="K729" s="49" t="str">
        <f ca="1">VLOOKUP(CONCATENATE(A729),WorkList!A:G,7,FALSE)</f>
        <v>NewDevelopment</v>
      </c>
      <c r="L729" s="7" t="s">
        <v>13</v>
      </c>
      <c r="M729" s="16">
        <v>40303</v>
      </c>
      <c r="N729" s="60">
        <f ca="1">VALUE(LEFT(C729))</f>
        <v>0</v>
      </c>
      <c r="O729" s="61">
        <f ca="1">INT(IF(N729&gt;0,1+MAX(N729*N729-(IF(D729="",TODAY()+(5-N729)*15,D729)-TODAY())/4,N729),IF(TODAY()-M729&gt;10,0,1)))</f>
        <v>0</v>
      </c>
      <c r="P729" s="1" t="str">
        <f ca="1">IF(ISNA(VLOOKUP(A729,Projects!B:B,1,FALSE)),"","Yes")</f>
        <v/>
      </c>
    </row>
    <row r="730" spans="1:16">
      <c r="A730" s="4" t="s">
        <v>993</v>
      </c>
      <c r="B730" s="5" t="s">
        <v>29</v>
      </c>
      <c r="C730" s="6" t="s">
        <v>48</v>
      </c>
      <c r="D730" s="11"/>
      <c r="F730" s="13" t="str">
        <f ca="1">VLOOKUP(LEFT(A730,IF(ISERROR(FIND(".",A730)),LEN(A730)+1,FIND(".",A730))-1),WorkList!A:C,3,FALSE)</f>
        <v>BBG Performance Data</v>
      </c>
      <c r="G730" s="14" t="str">
        <f ca="1">VLOOKUP(CONCATENATE(A730),WorkList!A:C,3,FALSE)</f>
        <v>Build first version</v>
      </c>
      <c r="H730" s="13" t="str">
        <f ca="1">VLOOKUP(CONCATENATE(A730),WorkList!A:D,4,FALSE)</f>
        <v>Neil</v>
      </c>
      <c r="I730" s="15">
        <f ca="1">VLOOKUP(CONCATENATE(A730),WorkList!A:E,5,FALSE)</f>
        <v>40252</v>
      </c>
      <c r="J730" s="49">
        <f ca="1">VLOOKUP(CONCATENATE(A730),WorkList!A:F,6,FALSE)</f>
        <v>10</v>
      </c>
      <c r="K730" s="49" t="str">
        <f ca="1">VLOOKUP(CONCATENATE(A730),WorkList!A:G,7,FALSE)</f>
        <v>NewDevelopment</v>
      </c>
      <c r="L730" s="7" t="s">
        <v>13</v>
      </c>
      <c r="M730" s="16">
        <v>40303</v>
      </c>
      <c r="N730" s="60">
        <f ca="1">VALUE(LEFT(C730))</f>
        <v>0</v>
      </c>
      <c r="O730" s="61">
        <f ca="1">INT(IF(N730&gt;0,1+MAX(N730*N730-(IF(D730="",TODAY()+(5-N730)*15,D730)-TODAY())/4,N730),IF(TODAY()-M730&gt;10,0,1)))</f>
        <v>0</v>
      </c>
      <c r="P730" s="1" t="str">
        <f ca="1">IF(ISNA(VLOOKUP(A730,Projects!B:B,1,FALSE)),"","Yes")</f>
        <v/>
      </c>
    </row>
    <row r="731" spans="1:16">
      <c r="A731" s="4" t="s">
        <v>997</v>
      </c>
      <c r="B731" s="5" t="s">
        <v>29</v>
      </c>
      <c r="C731" s="6" t="s">
        <v>48</v>
      </c>
      <c r="D731" s="11">
        <v>40316</v>
      </c>
      <c r="F731" s="13" t="str">
        <f ca="1">VLOOKUP(LEFT(A731,IF(ISERROR(FIND(".",A731)),LEN(A731)+1,FIND(".",A731))-1),WorkList!A:C,3,FALSE)</f>
        <v>BBG Performance Data</v>
      </c>
      <c r="G731" s="14" t="str">
        <f ca="1">VLOOKUP(CONCATENATE(A731),WorkList!A:C,3,FALSE)</f>
        <v>Code Review</v>
      </c>
      <c r="H731" s="13" t="str">
        <f ca="1">VLOOKUP(CONCATENATE(A731),WorkList!A:D,4,FALSE)</f>
        <v>Neil</v>
      </c>
      <c r="I731" s="15">
        <f ca="1">VLOOKUP(CONCATENATE(A731),WorkList!A:E,5,FALSE)</f>
        <v>40252</v>
      </c>
      <c r="J731" s="49">
        <f ca="1">VLOOKUP(CONCATENATE(A731),WorkList!A:F,6,FALSE)</f>
        <v>2</v>
      </c>
      <c r="K731" s="49" t="str">
        <f ca="1">VLOOKUP(CONCATENATE(A731),WorkList!A:G,7,FALSE)</f>
        <v>NewDevelopment</v>
      </c>
      <c r="L731" s="7" t="s">
        <v>13</v>
      </c>
      <c r="M731" s="16">
        <v>40336</v>
      </c>
      <c r="N731" s="60">
        <f ca="1">VALUE(LEFT(C731))</f>
        <v>0</v>
      </c>
      <c r="O731" s="61">
        <f ca="1">INT(IF(N731&gt;0,1+MAX(N731*N731-(IF(D731="",TODAY()+(5-N731)*15,D731)-TODAY())/4,N731),IF(TODAY()-M731&gt;10,0,1)))</f>
        <v>0</v>
      </c>
      <c r="P731" s="1" t="str">
        <f ca="1">IF(ISNA(VLOOKUP(A731,Projects!B:B,1,FALSE)),"","Yes")</f>
        <v/>
      </c>
    </row>
    <row r="732" spans="1:16">
      <c r="A732" s="4" t="s">
        <v>998</v>
      </c>
      <c r="B732" s="5" t="s">
        <v>29</v>
      </c>
      <c r="C732" s="6" t="s">
        <v>48</v>
      </c>
      <c r="D732" s="11">
        <v>40318</v>
      </c>
      <c r="F732" s="13" t="str">
        <f ca="1">VLOOKUP(LEFT(A732,IF(ISERROR(FIND(".",A732)),LEN(A732)+1,FIND(".",A732))-1),WorkList!A:C,3,FALSE)</f>
        <v>BBG Performance Data</v>
      </c>
      <c r="G732" s="14" t="str">
        <f ca="1">VLOOKUP(CONCATENATE(A732),WorkList!A:C,3,FALSE)</f>
        <v>Release to production</v>
      </c>
      <c r="H732" s="13" t="str">
        <f ca="1">VLOOKUP(CONCATENATE(A732),WorkList!A:D,4,FALSE)</f>
        <v>Neil</v>
      </c>
      <c r="I732" s="15">
        <f ca="1">VLOOKUP(CONCATENATE(A732),WorkList!A:E,5,FALSE)</f>
        <v>40252</v>
      </c>
      <c r="J732" s="49">
        <f ca="1">VLOOKUP(CONCATENATE(A732),WorkList!A:F,6,FALSE)</f>
        <v>5</v>
      </c>
      <c r="K732" s="49" t="str">
        <f ca="1">VLOOKUP(CONCATENATE(A732),WorkList!A:G,7,FALSE)</f>
        <v>NewDevelopment</v>
      </c>
      <c r="L732" s="7" t="s">
        <v>13</v>
      </c>
      <c r="M732" s="16">
        <v>40350</v>
      </c>
      <c r="N732" s="60">
        <f ca="1">VALUE(LEFT(C732))</f>
        <v>0</v>
      </c>
      <c r="O732" s="61">
        <f ca="1">INT(IF(N732&gt;0,1+MAX(N732*N732-(IF(D732="",TODAY()+(5-N732)*15,D732)-TODAY())/4,N732),IF(TODAY()-M732&gt;10,0,1)))</f>
        <v>0</v>
      </c>
      <c r="P732" s="1" t="str">
        <f ca="1">IF(ISNA(VLOOKUP(A732,Projects!B:B,1,FALSE)),"","Yes")</f>
        <v/>
      </c>
    </row>
    <row r="733" spans="1:16">
      <c r="A733" s="4" t="s">
        <v>1365</v>
      </c>
      <c r="B733" s="5" t="s">
        <v>21</v>
      </c>
      <c r="C733" s="4" t="s">
        <v>38</v>
      </c>
      <c r="F733" s="13" t="str">
        <f ca="1">VLOOKUP(LEFT(A733,IF(ISERROR(FIND(".",A733)),LEN(A733)+1,FIND(".",A733))-1),WorkList!A:C,3,FALSE)</f>
        <v>BBG Performance Data</v>
      </c>
      <c r="G733" s="14" t="str">
        <f ca="1">VLOOKUP(CONCATENATE(A733),WorkList!A:C,3,FALSE)</f>
        <v>Make use of PerformanceData Lib</v>
      </c>
      <c r="H733" s="13" t="str">
        <f ca="1">VLOOKUP(CONCATENATE(A733),WorkList!A:D,4,FALSE)</f>
        <v>Ruth</v>
      </c>
      <c r="I733" s="15">
        <f ca="1">VLOOKUP(CONCATENATE(A733),WorkList!A:E,5,FALSE)</f>
        <v>40387</v>
      </c>
      <c r="J733" s="49">
        <f ca="1">VLOOKUP(CONCATENATE(A733),WorkList!A:F,6,FALSE)</f>
        <v>1</v>
      </c>
      <c r="K733" s="49" t="str">
        <f ca="1">VLOOKUP(CONCATENATE(A733),WorkList!A:G,7,FALSE)</f>
        <v>Enhancement</v>
      </c>
      <c r="L733" s="7" t="s">
        <v>7</v>
      </c>
      <c r="M733" s="16">
        <v>40387</v>
      </c>
      <c r="N733" s="60">
        <f ca="1">VALUE(LEFT(C733))</f>
        <v>2</v>
      </c>
      <c r="O733" s="61">
        <f ca="1">INT(IF(N733&gt;0,1+MAX(N733*N733-(IF(D733="",TODAY()+(5-N733)*15,D733)-TODAY())/4,N733),IF(TODAY()-M733&gt;10,0,1)))</f>
        <v>3</v>
      </c>
      <c r="P733" s="1" t="str">
        <f ca="1">IF(ISNA(VLOOKUP(A733,Projects!B:B,1,FALSE)),"","Yes")</f>
        <v/>
      </c>
    </row>
    <row r="734" spans="1:16">
      <c r="A734" s="4" t="s">
        <v>1915</v>
      </c>
      <c r="B734" s="5" t="s">
        <v>11</v>
      </c>
      <c r="C734" s="7" t="s">
        <v>12</v>
      </c>
      <c r="F734" s="13" t="str">
        <f ca="1">VLOOKUP(LEFT(A734,IF(ISERROR(FIND(".",A734)),LEN(A734)+1,FIND(".",A734))-1),WorkList!A:C,3,FALSE)</f>
        <v>BBG Performance Data</v>
      </c>
      <c r="G734" s="14" t="str">
        <f ca="1">VLOOKUP(CONCATENATE(A734),WorkList!A:C,3,FALSE)</f>
        <v>Modify to use the BBG QDB Bond Feed</v>
      </c>
      <c r="H734" s="13" t="str">
        <f ca="1">VLOOKUP(CONCATENATE(A734),WorkList!A:D,4,FALSE)</f>
        <v>Neil</v>
      </c>
      <c r="I734" s="15">
        <f ca="1">VLOOKUP(CONCATENATE(A734),WorkList!A:E,5,FALSE)</f>
        <v>40589</v>
      </c>
      <c r="J734" s="49">
        <f ca="1">VLOOKUP(CONCATENATE(A734),WorkList!A:F,6,FALSE)</f>
        <v>3</v>
      </c>
      <c r="K734" s="49" t="str">
        <f ca="1">VLOOKUP(CONCATENATE(A734),WorkList!A:G,7,FALSE)</f>
        <v>NewDevelopment</v>
      </c>
      <c r="L734" s="7" t="s">
        <v>7</v>
      </c>
      <c r="M734" s="7">
        <v>40589</v>
      </c>
      <c r="N734" s="60">
        <f ca="1">VALUE(LEFT(C734))</f>
        <v>4</v>
      </c>
      <c r="O734" s="61">
        <f ca="1">INT(IF(N734&gt;0,1+MAX(N734*N734-(IF(D734="",TODAY()+(5-N734)*15,D734)-TODAY())/4,N734),IF(TODAY()-M734&gt;10,0,1)))</f>
        <v>13</v>
      </c>
      <c r="P734" s="1" t="str">
        <f ca="1">IF(ISNA(VLOOKUP(A734,Projects!B:B,1,FALSE)),"","Yes")</f>
        <v/>
      </c>
    </row>
    <row r="735" spans="1:16">
      <c r="A735" s="4" t="s">
        <v>1917</v>
      </c>
      <c r="B735" s="5" t="s">
        <v>11</v>
      </c>
      <c r="C735" s="7" t="s">
        <v>12</v>
      </c>
      <c r="F735" s="13" t="str">
        <f ca="1">VLOOKUP(LEFT(A735,IF(ISERROR(FIND(".",A735)),LEN(A735)+1,FIND(".",A735))-1),WorkList!A:C,3,FALSE)</f>
        <v>BBG Performance Data</v>
      </c>
      <c r="G735" s="14" t="str">
        <f ca="1">VLOOKUP(CONCATENATE(A735),WorkList!A:C,3,FALSE)</f>
        <v>Review and release</v>
      </c>
      <c r="H735" s="13" t="str">
        <f ca="1">VLOOKUP(CONCATENATE(A735),WorkList!A:D,4,FALSE)</f>
        <v>Neil</v>
      </c>
      <c r="I735" s="15">
        <f ca="1">VLOOKUP(CONCATENATE(A735),WorkList!A:E,5,FALSE)</f>
        <v>40589</v>
      </c>
      <c r="J735" s="49">
        <f ca="1">VLOOKUP(CONCATENATE(A735),WorkList!A:F,6,FALSE)</f>
        <v>2</v>
      </c>
      <c r="K735" s="49" t="str">
        <f ca="1">VLOOKUP(CONCATENATE(A735),WorkList!A:G,7,FALSE)</f>
        <v>NewDevelopment</v>
      </c>
      <c r="L735" s="7" t="s">
        <v>5</v>
      </c>
      <c r="M735" s="16">
        <v>40567</v>
      </c>
      <c r="N735" s="60">
        <f ca="1">VALUE(LEFT(C735))</f>
        <v>4</v>
      </c>
      <c r="O735" s="61">
        <f ca="1">INT(IF(N735&gt;0,1+MAX(N735*N735-(IF(D735="",TODAY()+(5-N735)*15,D735)-TODAY())/4,N735),IF(TODAY()-M735&gt;10,0,1)))</f>
        <v>13</v>
      </c>
    </row>
    <row r="736" spans="1:16">
      <c r="A736" s="4" t="s">
        <v>1083</v>
      </c>
      <c r="B736" s="5" t="s">
        <v>1159</v>
      </c>
      <c r="C736" s="7" t="s">
        <v>48</v>
      </c>
      <c r="D736" s="7">
        <v>40352</v>
      </c>
      <c r="F736" s="13" t="str">
        <f ca="1">VLOOKUP(LEFT(A736,IF(ISERROR(FIND(".",A736)),LEN(A736)+1,FIND(".",A736))-1),WorkList!A:C,3,FALSE)</f>
        <v>Client Tracker</v>
      </c>
      <c r="G736" s="14" t="str">
        <f ca="1">VLOOKUP(CONCATENATE(A736),WorkList!A:C,3,FALSE)</f>
        <v>ClientTracker: Gather requirements</v>
      </c>
      <c r="H736" s="13" t="str">
        <f ca="1">VLOOKUP(CONCATENATE(A736),WorkList!A:D,4,FALSE)</f>
        <v>Zhuu</v>
      </c>
      <c r="I736" s="15">
        <f ca="1">VLOOKUP(CONCATENATE(A736),WorkList!A:E,5,FALSE)</f>
        <v>40353</v>
      </c>
      <c r="J736" s="49">
        <f ca="1">VLOOKUP(CONCATENATE(A736),WorkList!A:F,6,FALSE)</f>
        <v>1</v>
      </c>
      <c r="K736" s="49" t="str">
        <f ca="1">VLOOKUP(CONCATENATE(A736),WorkList!A:G,7,FALSE)</f>
        <v>NewDevelopment</v>
      </c>
      <c r="L736" s="7" t="s">
        <v>13</v>
      </c>
      <c r="M736" s="16">
        <v>40373</v>
      </c>
      <c r="N736" s="60">
        <f ca="1">VALUE(LEFT(C736))</f>
        <v>0</v>
      </c>
      <c r="O736" s="61">
        <f ca="1">INT(IF(N736&gt;0,1+MAX(N736*N736-(IF(D736="",TODAY()+(5-N736)*15,D736)-TODAY())/4,N736),IF(TODAY()-M736&gt;10,0,1)))</f>
        <v>0</v>
      </c>
      <c r="P736" s="1" t="str">
        <f ca="1">IF(ISNA(VLOOKUP(A736,Projects!B:B,1,FALSE)),"","Yes")</f>
        <v>Yes</v>
      </c>
    </row>
    <row r="737" spans="1:16">
      <c r="A737" s="4" t="s">
        <v>1230</v>
      </c>
      <c r="B737" s="5" t="s">
        <v>1159</v>
      </c>
      <c r="C737" s="7" t="s">
        <v>48</v>
      </c>
      <c r="D737" s="7">
        <v>40358</v>
      </c>
      <c r="F737" s="13" t="str">
        <f ca="1">VLOOKUP(LEFT(A737,IF(ISERROR(FIND(".",A737)),LEN(A737)+1,FIND(".",A737))-1),WorkList!A:C,3,FALSE)</f>
        <v>Client Tracker</v>
      </c>
      <c r="G737" s="14" t="str">
        <f ca="1">VLOOKUP(CONCATENATE(A737),WorkList!A:C,3,FALSE)</f>
        <v>ClientTracker: Initial Design</v>
      </c>
      <c r="H737" s="13" t="str">
        <f ca="1">VLOOKUP(CONCATENATE(A737),WorkList!A:D,4,FALSE)</f>
        <v>Neil</v>
      </c>
      <c r="I737" s="15">
        <f ca="1">VLOOKUP(CONCATENATE(A737),WorkList!A:E,5,FALSE)</f>
        <v>40353</v>
      </c>
      <c r="J737" s="49">
        <f ca="1">VLOOKUP(CONCATENATE(A737),WorkList!A:F,6,FALSE)</f>
        <v>3</v>
      </c>
      <c r="K737" s="49" t="str">
        <f ca="1">VLOOKUP(CONCATENATE(A737),WorkList!A:G,7,FALSE)</f>
        <v>NewDevelopment</v>
      </c>
      <c r="L737" s="7" t="s">
        <v>13</v>
      </c>
      <c r="M737" s="16">
        <v>40589</v>
      </c>
      <c r="N737" s="60">
        <f ca="1">VALUE(LEFT(C737))</f>
        <v>0</v>
      </c>
      <c r="O737" s="61">
        <f ca="1">INT(IF(N737&gt;0,1+MAX(N737*N737-(IF(D737="",TODAY()+(5-N737)*15,D737)-TODAY())/4,N737),IF(TODAY()-M737&gt;10,0,1)))</f>
        <v>1</v>
      </c>
      <c r="P737" s="1" t="str">
        <f ca="1">IF(ISNA(VLOOKUP(A737,Projects!B:B,1,FALSE)),"","Yes")</f>
        <v>Yes</v>
      </c>
    </row>
    <row r="738" spans="1:16">
      <c r="A738" s="4" t="s">
        <v>1238</v>
      </c>
      <c r="B738" s="5" t="s">
        <v>685</v>
      </c>
      <c r="C738" s="6" t="s">
        <v>48</v>
      </c>
      <c r="D738" s="7">
        <v>40359</v>
      </c>
      <c r="F738" s="13" t="str">
        <f ca="1">VLOOKUP(LEFT(A738,IF(ISERROR(FIND(".",A738)),LEN(A738)+1,FIND(".",A738))-1),WorkList!A:C,3,FALSE)</f>
        <v>Client Tracker</v>
      </c>
      <c r="G738" s="14" t="str">
        <f ca="1">VLOOKUP(CONCATENATE(A738),WorkList!A:C,3,FALSE)</f>
        <v>ClientTracker: Review Design</v>
      </c>
      <c r="H738" s="13" t="str">
        <f ca="1">VLOOKUP(CONCATENATE(A738),WorkList!A:D,4,FALSE)</f>
        <v>Neil</v>
      </c>
      <c r="I738" s="15">
        <f ca="1">VLOOKUP(CONCATENATE(A738),WorkList!A:E,5,FALSE)</f>
        <v>40353</v>
      </c>
      <c r="J738" s="49">
        <f ca="1">VLOOKUP(CONCATENATE(A738),WorkList!A:F,6,FALSE)</f>
        <v>1</v>
      </c>
      <c r="K738" s="49" t="str">
        <f ca="1">VLOOKUP(CONCATENATE(A738),WorkList!A:G,7,FALSE)</f>
        <v>NewDevelopment</v>
      </c>
      <c r="L738" s="7" t="s">
        <v>13</v>
      </c>
      <c r="M738" s="16">
        <v>40407</v>
      </c>
      <c r="N738" s="60">
        <f ca="1">VALUE(LEFT(C738))</f>
        <v>0</v>
      </c>
      <c r="O738" s="61">
        <f ca="1">INT(IF(N738&gt;0,1+MAX(N738*N738-(IF(D738="",TODAY()+(5-N738)*15,D738)-TODAY())/4,N738),IF(TODAY()-M738&gt;10,0,1)))</f>
        <v>0</v>
      </c>
      <c r="P738" s="1" t="str">
        <f ca="1">IF(ISNA(VLOOKUP(A738,Projects!B:B,1,FALSE)),"","Yes")</f>
        <v>Yes</v>
      </c>
    </row>
    <row r="739" spans="1:16">
      <c r="A739" s="4" t="s">
        <v>1239</v>
      </c>
      <c r="B739" s="5" t="s">
        <v>1159</v>
      </c>
      <c r="C739" s="6" t="s">
        <v>48</v>
      </c>
      <c r="D739" s="7">
        <v>40371</v>
      </c>
      <c r="F739" s="13" t="str">
        <f ca="1">VLOOKUP(LEFT(A739,IF(ISERROR(FIND(".",A739)),LEN(A739)+1,FIND(".",A739))-1),WorkList!A:C,3,FALSE)</f>
        <v>Client Tracker</v>
      </c>
      <c r="G739" s="14" t="str">
        <f ca="1">VLOOKUP(CONCATENATE(A739),WorkList!A:C,3,FALSE)</f>
        <v>ClientTracker: Implement and Test</v>
      </c>
      <c r="H739" s="13" t="str">
        <f ca="1">VLOOKUP(CONCATENATE(A739),WorkList!A:D,4,FALSE)</f>
        <v>Neil</v>
      </c>
      <c r="I739" s="15">
        <f ca="1">VLOOKUP(CONCATENATE(A739),WorkList!A:E,5,FALSE)</f>
        <v>40353</v>
      </c>
      <c r="J739" s="49">
        <f ca="1">VLOOKUP(CONCATENATE(A739),WorkList!A:F,6,FALSE)</f>
        <v>8</v>
      </c>
      <c r="K739" s="49" t="str">
        <f ca="1">VLOOKUP(CONCATENATE(A739),WorkList!A:G,7,FALSE)</f>
        <v>NewDevelopment</v>
      </c>
      <c r="L739" s="7" t="s">
        <v>13</v>
      </c>
      <c r="M739" s="16">
        <v>40407</v>
      </c>
      <c r="N739" s="60">
        <f ca="1">VALUE(LEFT(C739))</f>
        <v>0</v>
      </c>
      <c r="O739" s="61">
        <f ca="1">INT(IF(N739&gt;0,1+MAX(N739*N739-(IF(D739="",TODAY()+(5-N739)*15,D739)-TODAY())/4,N739),IF(TODAY()-M739&gt;10,0,1)))</f>
        <v>0</v>
      </c>
      <c r="P739" s="1" t="str">
        <f ca="1">IF(ISNA(VLOOKUP(A739,Projects!B:B,1,FALSE)),"","Yes")</f>
        <v>Yes</v>
      </c>
    </row>
    <row r="740" spans="1:16">
      <c r="A740" s="4" t="s">
        <v>1240</v>
      </c>
      <c r="B740" s="5" t="s">
        <v>685</v>
      </c>
      <c r="C740" s="7" t="s">
        <v>48</v>
      </c>
      <c r="D740" s="7">
        <v>40409</v>
      </c>
      <c r="F740" s="13" t="str">
        <f ca="1">VLOOKUP(LEFT(A740,IF(ISERROR(FIND(".",A740)),LEN(A740)+1,FIND(".",A740))-1),WorkList!A:C,3,FALSE)</f>
        <v>Client Tracker</v>
      </c>
      <c r="G740" s="14" t="str">
        <f ca="1">VLOOKUP(CONCATENATE(A740),WorkList!A:C,3,FALSE)</f>
        <v>ClientTracker: Review Implementation</v>
      </c>
      <c r="H740" s="13" t="str">
        <f ca="1">VLOOKUP(CONCATENATE(A740),WorkList!A:D,4,FALSE)</f>
        <v>Neil</v>
      </c>
      <c r="I740" s="15">
        <f ca="1">VLOOKUP(CONCATENATE(A740),WorkList!A:E,5,FALSE)</f>
        <v>40353</v>
      </c>
      <c r="J740" s="49">
        <f ca="1">VLOOKUP(CONCATENATE(A740),WorkList!A:F,6,FALSE)</f>
        <v>1</v>
      </c>
      <c r="K740" s="49" t="str">
        <f ca="1">VLOOKUP(CONCATENATE(A740),WorkList!A:G,7,FALSE)</f>
        <v>NewDevelopment</v>
      </c>
      <c r="L740" s="7" t="s">
        <v>13</v>
      </c>
      <c r="M740" s="16">
        <v>40410</v>
      </c>
      <c r="N740" s="60">
        <f ca="1">VALUE(LEFT(C740))</f>
        <v>0</v>
      </c>
      <c r="O740" s="61">
        <f ca="1">INT(IF(N740&gt;0,1+MAX(N740*N740-(IF(D740="",TODAY()+(5-N740)*15,D740)-TODAY())/4,N740),IF(TODAY()-M740&gt;10,0,1)))</f>
        <v>0</v>
      </c>
      <c r="P740" s="1" t="str">
        <f ca="1">IF(ISNA(VLOOKUP(A740,Projects!B:B,1,FALSE)),"","Yes")</f>
        <v>Yes</v>
      </c>
    </row>
    <row r="741" spans="1:16">
      <c r="A741" s="4" t="s">
        <v>1241</v>
      </c>
      <c r="B741" s="5" t="s">
        <v>1159</v>
      </c>
      <c r="C741" s="7" t="s">
        <v>48</v>
      </c>
      <c r="D741" s="7">
        <v>40411</v>
      </c>
      <c r="F741" s="13" t="str">
        <f ca="1">VLOOKUP(LEFT(A741,IF(ISERROR(FIND(".",A741)),LEN(A741)+1,FIND(".",A741))-1),WorkList!A:C,3,FALSE)</f>
        <v>Client Tracker</v>
      </c>
      <c r="G741" s="14" t="str">
        <f ca="1">VLOOKUP(CONCATENATE(A741),WorkList!A:C,3,FALSE)</f>
        <v>ClientTracker: Final changes and testing</v>
      </c>
      <c r="H741" s="13" t="str">
        <f ca="1">VLOOKUP(CONCATENATE(A741),WorkList!A:D,4,FALSE)</f>
        <v>Neil</v>
      </c>
      <c r="I741" s="15">
        <f ca="1">VLOOKUP(CONCATENATE(A741),WorkList!A:E,5,FALSE)</f>
        <v>40353</v>
      </c>
      <c r="J741" s="49">
        <f ca="1">VLOOKUP(CONCATENATE(A741),WorkList!A:F,6,FALSE)</f>
        <v>3</v>
      </c>
      <c r="K741" s="49" t="str">
        <f ca="1">VLOOKUP(CONCATENATE(A741),WorkList!A:G,7,FALSE)</f>
        <v>NewDevelopment</v>
      </c>
      <c r="L741" s="7" t="s">
        <v>13</v>
      </c>
      <c r="M741" s="16">
        <v>40428</v>
      </c>
      <c r="N741" s="60">
        <f ca="1">VALUE(LEFT(C741))</f>
        <v>0</v>
      </c>
      <c r="O741" s="61">
        <f ca="1">INT(IF(N741&gt;0,1+MAX(N741*N741-(IF(D741="",TODAY()+(5-N741)*15,D741)-TODAY())/4,N741),IF(TODAY()-M741&gt;10,0,1)))</f>
        <v>0</v>
      </c>
      <c r="P741" s="1" t="str">
        <f ca="1">IF(ISNA(VLOOKUP(A741,Projects!B:B,1,FALSE)),"","Yes")</f>
        <v>Yes</v>
      </c>
    </row>
    <row r="742" spans="1:16">
      <c r="A742" s="4" t="s">
        <v>1242</v>
      </c>
      <c r="B742" s="5" t="s">
        <v>1159</v>
      </c>
      <c r="C742" s="7" t="s">
        <v>48</v>
      </c>
      <c r="D742" s="7">
        <v>40413</v>
      </c>
      <c r="F742" s="13" t="str">
        <f ca="1">VLOOKUP(LEFT(A742,IF(ISERROR(FIND(".",A742)),LEN(A742)+1,FIND(".",A742))-1),WorkList!A:C,3,FALSE)</f>
        <v>Client Tracker</v>
      </c>
      <c r="G742" s="14" t="str">
        <f ca="1">VLOOKUP(CONCATENATE(A742),WorkList!A:C,3,FALSE)</f>
        <v>ClientTracker: Release</v>
      </c>
      <c r="H742" s="13" t="str">
        <f ca="1">VLOOKUP(CONCATENATE(A742),WorkList!A:D,4,FALSE)</f>
        <v>Neil</v>
      </c>
      <c r="I742" s="15">
        <f ca="1">VLOOKUP(CONCATENATE(A742),WorkList!A:E,5,FALSE)</f>
        <v>40353</v>
      </c>
      <c r="J742" s="49">
        <f ca="1">VLOOKUP(CONCATENATE(A742),WorkList!A:F,6,FALSE)</f>
        <v>1</v>
      </c>
      <c r="K742" s="49" t="str">
        <f ca="1">VLOOKUP(CONCATENATE(A742),WorkList!A:G,7,FALSE)</f>
        <v>NewDevelopment</v>
      </c>
      <c r="L742" s="7" t="s">
        <v>13</v>
      </c>
      <c r="M742" s="16">
        <v>40443</v>
      </c>
      <c r="N742" s="60">
        <f ca="1">VALUE(LEFT(C742))</f>
        <v>0</v>
      </c>
      <c r="O742" s="61">
        <f ca="1">INT(IF(N742&gt;0,1+MAX(N742*N742-(IF(D742="",TODAY()+(5-N742)*15,D742)-TODAY())/4,N742),IF(TODAY()-M742&gt;10,0,1)))</f>
        <v>0</v>
      </c>
      <c r="P742" s="1" t="str">
        <f ca="1">IF(ISNA(VLOOKUP(A742,Projects!B:B,1,FALSE)),"","Yes")</f>
        <v>Yes</v>
      </c>
    </row>
    <row r="743" spans="1:16" ht="25.5">
      <c r="A743" s="4" t="s">
        <v>1584</v>
      </c>
      <c r="B743" s="5" t="s">
        <v>1159</v>
      </c>
      <c r="C743" s="7" t="s">
        <v>48</v>
      </c>
      <c r="F743" s="13" t="str">
        <f ca="1">VLOOKUP(LEFT(A743,IF(ISERROR(FIND(".",A743)),LEN(A743)+1,FIND(".",A743))-1),WorkList!A:C,3,FALSE)</f>
        <v>Client Tracker</v>
      </c>
      <c r="G743" s="14" t="str">
        <f ca="1">VLOOKUP(CONCATENATE(A743),WorkList!A:C,3,FALSE)</f>
        <v>Fix Client Data Filter issue and set EntryDate to null for duplicates</v>
      </c>
      <c r="H743" s="13" t="str">
        <f ca="1">VLOOKUP(CONCATENATE(A743),WorkList!A:D,4,FALSE)</f>
        <v>Neil</v>
      </c>
      <c r="I743" s="15">
        <f ca="1">VLOOKUP(CONCATENATE(A743),WorkList!A:E,5,FALSE)</f>
        <v>40456</v>
      </c>
      <c r="J743" s="49">
        <f ca="1">VLOOKUP(CONCATENATE(A743),WorkList!A:F,6,FALSE)</f>
        <v>1</v>
      </c>
      <c r="K743" s="49" t="str">
        <f ca="1">VLOOKUP(CONCATENATE(A743),WorkList!A:G,7,FALSE)</f>
        <v>Support</v>
      </c>
      <c r="L743" s="7" t="s">
        <v>13</v>
      </c>
      <c r="M743" s="16">
        <v>40459</v>
      </c>
      <c r="N743" s="60">
        <f ca="1">VALUE(LEFT(C743))</f>
        <v>0</v>
      </c>
      <c r="O743" s="61">
        <f ca="1">INT(IF(N743&gt;0,1+MAX(N743*N743-(IF(D743="",TODAY()+(5-N743)*15,D743)-TODAY())/4,N743),IF(TODAY()-M743&gt;10,0,1)))</f>
        <v>0</v>
      </c>
      <c r="P743" s="1" t="str">
        <f ca="1">IF(ISNA(VLOOKUP(A743,Projects!B:B,1,FALSE)),"","Yes")</f>
        <v/>
      </c>
    </row>
    <row r="744" spans="1:16">
      <c r="A744" s="4" t="s">
        <v>1487</v>
      </c>
      <c r="B744" s="5" t="s">
        <v>11</v>
      </c>
      <c r="C744" s="7" t="s">
        <v>48</v>
      </c>
      <c r="D744" s="7">
        <v>40434</v>
      </c>
      <c r="F744" s="13" t="str">
        <f ca="1">VLOOKUP(LEFT(A744,IF(ISERROR(FIND(".",A744)),LEN(A744)+1,FIND(".",A744))-1),WorkList!A:C,3,FALSE)</f>
        <v>Markit</v>
      </c>
      <c r="G744" s="14" t="str">
        <f ca="1">VLOOKUP(CONCATENATE(A744),WorkList!A:C,3,FALSE)</f>
        <v>Market1: Understand requirements</v>
      </c>
      <c r="H744" s="13" t="str">
        <f ca="1">VLOOKUP(CONCATENATE(A744),WorkList!A:D,4,FALSE)</f>
        <v>Neil</v>
      </c>
      <c r="I744" s="15">
        <f ca="1">VLOOKUP(CONCATENATE(A744),WorkList!A:E,5,FALSE)</f>
        <v>40429</v>
      </c>
      <c r="J744" s="49">
        <f ca="1">VLOOKUP(CONCATENATE(A744),WorkList!A:F,6,FALSE)</f>
        <v>1</v>
      </c>
      <c r="K744" s="49" t="str">
        <f ca="1">VLOOKUP(CONCATENATE(A744),WorkList!A:G,7,FALSE)</f>
        <v>NewDevelopment</v>
      </c>
      <c r="L744" s="7" t="s">
        <v>13</v>
      </c>
      <c r="M744" s="16">
        <v>40491</v>
      </c>
      <c r="N744" s="60">
        <f ca="1">VALUE(LEFT(C744))</f>
        <v>0</v>
      </c>
      <c r="O744" s="61">
        <f ca="1">INT(IF(N744&gt;0,1+MAX(N744*N744-(IF(D744="",TODAY()+(5-N744)*15,D744)-TODAY())/4,N744),IF(TODAY()-M744&gt;10,0,1)))</f>
        <v>0</v>
      </c>
      <c r="P744" s="1" t="str">
        <f ca="1">IF(ISNA(VLOOKUP(A744,Projects!B:B,1,FALSE)),"","Yes")</f>
        <v>Yes</v>
      </c>
    </row>
    <row r="745" spans="1:16">
      <c r="A745" s="4" t="s">
        <v>1492</v>
      </c>
      <c r="B745" s="5" t="s">
        <v>11</v>
      </c>
      <c r="C745" s="7" t="s">
        <v>48</v>
      </c>
      <c r="D745" s="7">
        <v>40438</v>
      </c>
      <c r="F745" s="13" t="str">
        <f ca="1">VLOOKUP(LEFT(A745,IF(ISERROR(FIND(".",A745)),LEN(A745)+1,FIND(".",A745))-1),WorkList!A:C,3,FALSE)</f>
        <v>Markit</v>
      </c>
      <c r="G745" s="14" t="str">
        <f ca="1">VLOOKUP(CONCATENATE(A745),WorkList!A:C,3,FALSE)</f>
        <v>Market1: Design</v>
      </c>
      <c r="H745" s="13" t="str">
        <f ca="1">VLOOKUP(CONCATENATE(A745),WorkList!A:D,4,FALSE)</f>
        <v>Neil</v>
      </c>
      <c r="I745" s="15">
        <f ca="1">VLOOKUP(CONCATENATE(A745),WorkList!A:E,5,FALSE)</f>
        <v>40429</v>
      </c>
      <c r="J745" s="49">
        <f ca="1">VLOOKUP(CONCATENATE(A745),WorkList!A:F,6,FALSE)</f>
        <v>1</v>
      </c>
      <c r="K745" s="49" t="str">
        <f ca="1">VLOOKUP(CONCATENATE(A745),WorkList!A:G,7,FALSE)</f>
        <v>NewDevelopment</v>
      </c>
      <c r="L745" s="7" t="s">
        <v>13</v>
      </c>
      <c r="M745" s="16">
        <v>40491</v>
      </c>
      <c r="N745" s="60">
        <f ca="1">VALUE(LEFT(C745))</f>
        <v>0</v>
      </c>
      <c r="O745" s="61">
        <f ca="1">INT(IF(N745&gt;0,1+MAX(N745*N745-(IF(D745="",TODAY()+(5-N745)*15,D745)-TODAY())/4,N745),IF(TODAY()-M745&gt;10,0,1)))</f>
        <v>0</v>
      </c>
      <c r="P745" s="1" t="str">
        <f ca="1">IF(ISNA(VLOOKUP(A745,Projects!B:B,1,FALSE)),"","Yes")</f>
        <v>Yes</v>
      </c>
    </row>
    <row r="746" spans="1:16">
      <c r="A746" s="4" t="s">
        <v>1493</v>
      </c>
      <c r="B746" s="5" t="s">
        <v>1159</v>
      </c>
      <c r="C746" s="7" t="s">
        <v>48</v>
      </c>
      <c r="D746" s="7">
        <v>40443</v>
      </c>
      <c r="F746" s="13" t="str">
        <f ca="1">VLOOKUP(LEFT(A746,IF(ISERROR(FIND(".",A746)),LEN(A746)+1,FIND(".",A746))-1),WorkList!A:C,3,FALSE)</f>
        <v>Markit</v>
      </c>
      <c r="G746" s="14" t="str">
        <f ca="1">VLOOKUP(CONCATENATE(A746),WorkList!A:C,3,FALSE)</f>
        <v>Market1: Implement</v>
      </c>
      <c r="H746" s="13" t="str">
        <f ca="1">VLOOKUP(CONCATENATE(A746),WorkList!A:D,4,FALSE)</f>
        <v>Neil</v>
      </c>
      <c r="I746" s="15">
        <f ca="1">VLOOKUP(CONCATENATE(A746),WorkList!A:E,5,FALSE)</f>
        <v>40429</v>
      </c>
      <c r="J746" s="49">
        <f ca="1">VLOOKUP(CONCATENATE(A746),WorkList!A:F,6,FALSE)</f>
        <v>3</v>
      </c>
      <c r="K746" s="49" t="str">
        <f ca="1">VLOOKUP(CONCATENATE(A746),WorkList!A:G,7,FALSE)</f>
        <v>NewDevelopment</v>
      </c>
      <c r="L746" s="7" t="s">
        <v>13</v>
      </c>
      <c r="M746" s="16">
        <v>40443</v>
      </c>
      <c r="N746" s="60">
        <f ca="1">VALUE(LEFT(C746))</f>
        <v>0</v>
      </c>
      <c r="O746" s="61">
        <f ca="1">INT(IF(N746&gt;0,1+MAX(N746*N746-(IF(D746="",TODAY()+(5-N746)*15,D746)-TODAY())/4,N746),IF(TODAY()-M746&gt;10,0,1)))</f>
        <v>0</v>
      </c>
      <c r="P746" s="1" t="str">
        <f ca="1">IF(ISNA(VLOOKUP(A746,Projects!B:B,1,FALSE)),"","Yes")</f>
        <v>Yes</v>
      </c>
    </row>
    <row r="747" spans="1:16">
      <c r="A747" s="4" t="s">
        <v>1494</v>
      </c>
      <c r="B747" s="5" t="s">
        <v>1159</v>
      </c>
      <c r="C747" s="7" t="s">
        <v>48</v>
      </c>
      <c r="D747" s="7">
        <v>40445</v>
      </c>
      <c r="F747" s="13" t="str">
        <f ca="1">VLOOKUP(LEFT(A747,IF(ISERROR(FIND(".",A747)),LEN(A747)+1,FIND(".",A747))-1),WorkList!A:C,3,FALSE)</f>
        <v>Markit</v>
      </c>
      <c r="G747" s="14" t="str">
        <f ca="1">VLOOKUP(CONCATENATE(A747),WorkList!A:C,3,FALSE)</f>
        <v>Market1: Test</v>
      </c>
      <c r="H747" s="13" t="str">
        <f ca="1">VLOOKUP(CONCATENATE(A747),WorkList!A:D,4,FALSE)</f>
        <v>Neil</v>
      </c>
      <c r="I747" s="15">
        <f ca="1">VLOOKUP(CONCATENATE(A747),WorkList!A:E,5,FALSE)</f>
        <v>40429</v>
      </c>
      <c r="J747" s="49">
        <f ca="1">VLOOKUP(CONCATENATE(A747),WorkList!A:F,6,FALSE)</f>
        <v>1</v>
      </c>
      <c r="K747" s="49" t="str">
        <f ca="1">VLOOKUP(CONCATENATE(A747),WorkList!A:G,7,FALSE)</f>
        <v>NewDevelopment</v>
      </c>
      <c r="L747" s="7" t="s">
        <v>13</v>
      </c>
      <c r="M747" s="16">
        <v>40457</v>
      </c>
      <c r="N747" s="60">
        <f ca="1">VALUE(LEFT(C747))</f>
        <v>0</v>
      </c>
      <c r="O747" s="61">
        <f ca="1">INT(IF(N747&gt;0,1+MAX(N747*N747-(IF(D747="",TODAY()+(5-N747)*15,D747)-TODAY())/4,N747),IF(TODAY()-M747&gt;10,0,1)))</f>
        <v>0</v>
      </c>
      <c r="P747" s="1" t="str">
        <f ca="1">IF(ISNA(VLOOKUP(A747,Projects!B:B,1,FALSE)),"","Yes")</f>
        <v>Yes</v>
      </c>
    </row>
    <row r="748" spans="1:16">
      <c r="A748" s="4" t="s">
        <v>1495</v>
      </c>
      <c r="B748" s="5" t="s">
        <v>685</v>
      </c>
      <c r="C748" s="7" t="s">
        <v>48</v>
      </c>
      <c r="D748" s="7">
        <v>40445</v>
      </c>
      <c r="F748" s="13" t="str">
        <f ca="1">VLOOKUP(LEFT(A748,IF(ISERROR(FIND(".",A748)),LEN(A748)+1,FIND(".",A748))-1),WorkList!A:C,3,FALSE)</f>
        <v>Markit</v>
      </c>
      <c r="G748" s="14" t="str">
        <f ca="1">VLOOKUP(CONCATENATE(A748),WorkList!A:C,3,FALSE)</f>
        <v>Market1: Review</v>
      </c>
      <c r="H748" s="13" t="str">
        <f ca="1">VLOOKUP(CONCATENATE(A748),WorkList!A:D,4,FALSE)</f>
        <v>Neil</v>
      </c>
      <c r="I748" s="15">
        <f ca="1">VLOOKUP(CONCATENATE(A748),WorkList!A:E,5,FALSE)</f>
        <v>40429</v>
      </c>
      <c r="J748" s="49">
        <f ca="1">VLOOKUP(CONCATENATE(A748),WorkList!A:F,6,FALSE)</f>
        <v>1</v>
      </c>
      <c r="K748" s="49" t="str">
        <f ca="1">VLOOKUP(CONCATENATE(A748),WorkList!A:G,7,FALSE)</f>
        <v>NewDevelopment</v>
      </c>
      <c r="L748" s="7" t="s">
        <v>13</v>
      </c>
      <c r="M748" s="16">
        <v>40491</v>
      </c>
      <c r="N748" s="60">
        <f ca="1">VALUE(LEFT(C748))</f>
        <v>0</v>
      </c>
      <c r="O748" s="61">
        <f ca="1">INT(IF(N748&gt;0,1+MAX(N748*N748-(IF(D748="",TODAY()+(5-N748)*15,D748)-TODAY())/4,N748),IF(TODAY()-M748&gt;10,0,1)))</f>
        <v>0</v>
      </c>
      <c r="P748" s="1" t="str">
        <f ca="1">IF(ISNA(VLOOKUP(A748,Projects!B:B,1,FALSE)),"","Yes")</f>
        <v>Yes</v>
      </c>
    </row>
    <row r="749" spans="1:16">
      <c r="A749" s="4" t="s">
        <v>1496</v>
      </c>
      <c r="B749" s="5" t="s">
        <v>1159</v>
      </c>
      <c r="C749" s="7" t="s">
        <v>48</v>
      </c>
      <c r="D749" s="7">
        <v>40449</v>
      </c>
      <c r="F749" s="13" t="str">
        <f ca="1">VLOOKUP(LEFT(A749,IF(ISERROR(FIND(".",A749)),LEN(A749)+1,FIND(".",A749))-1),WorkList!A:C,3,FALSE)</f>
        <v>Markit</v>
      </c>
      <c r="G749" s="14" t="str">
        <f ca="1">VLOOKUP(CONCATENATE(A749),WorkList!A:C,3,FALSE)</f>
        <v>Market1: Release</v>
      </c>
      <c r="H749" s="13" t="str">
        <f ca="1">VLOOKUP(CONCATENATE(A749),WorkList!A:D,4,FALSE)</f>
        <v>Neil</v>
      </c>
      <c r="I749" s="15">
        <f ca="1">VLOOKUP(CONCATENATE(A749),WorkList!A:E,5,FALSE)</f>
        <v>40429</v>
      </c>
      <c r="J749" s="49">
        <f ca="1">VLOOKUP(CONCATENATE(A749),WorkList!A:F,6,FALSE)</f>
        <v>1</v>
      </c>
      <c r="K749" s="49" t="str">
        <f ca="1">VLOOKUP(CONCATENATE(A749),WorkList!A:G,7,FALSE)</f>
        <v>NewDevelopment</v>
      </c>
      <c r="L749" s="7" t="s">
        <v>13</v>
      </c>
      <c r="M749" s="16">
        <v>40491</v>
      </c>
      <c r="N749" s="60">
        <f ca="1">VALUE(LEFT(C749))</f>
        <v>0</v>
      </c>
      <c r="O749" s="61">
        <f ca="1">INT(IF(N749&gt;0,1+MAX(N749*N749-(IF(D749="",TODAY()+(5-N749)*15,D749)-TODAY())/4,N749),IF(TODAY()-M749&gt;10,0,1)))</f>
        <v>0</v>
      </c>
      <c r="P749" s="1" t="str">
        <f ca="1">IF(ISNA(VLOOKUP(A749,Projects!B:B,1,FALSE)),"","Yes")</f>
        <v>Yes</v>
      </c>
    </row>
    <row r="750" spans="1:16">
      <c r="A750" s="4" t="s">
        <v>1696</v>
      </c>
      <c r="B750" s="5" t="s">
        <v>1159</v>
      </c>
      <c r="C750" s="7" t="s">
        <v>48</v>
      </c>
      <c r="F750" s="13" t="str">
        <f ca="1">VLOOKUP(LEFT(A750,IF(ISERROR(FIND(".",A750)),LEN(A750)+1,FIND(".",A750))-1),WorkList!A:C,3,FALSE)</f>
        <v>Markit</v>
      </c>
      <c r="G750" s="14" t="str">
        <f ca="1">VLOOKUP(CONCATENATE(A750),WorkList!A:C,3,FALSE)</f>
        <v>Feed 2 Market: Requirements and Design</v>
      </c>
      <c r="H750" s="13" t="str">
        <f ca="1">VLOOKUP(CONCATENATE(A750),WorkList!A:D,4,FALSE)</f>
        <v>Neil</v>
      </c>
      <c r="I750" s="15">
        <f ca="1">VLOOKUP(CONCATENATE(A750),WorkList!A:E,5,FALSE)</f>
        <v>40554</v>
      </c>
      <c r="J750" s="49">
        <f ca="1">VLOOKUP(CONCATENATE(A750),WorkList!A:F,6,FALSE)</f>
        <v>1</v>
      </c>
      <c r="K750" s="49" t="str">
        <f ca="1">VLOOKUP(CONCATENATE(A750),WorkList!A:G,7,FALSE)</f>
        <v>NewDevelopment</v>
      </c>
      <c r="L750" s="7" t="s">
        <v>13</v>
      </c>
      <c r="M750" s="16">
        <v>40590</v>
      </c>
      <c r="N750" s="60">
        <f ca="1">VALUE(LEFT(C750))</f>
        <v>0</v>
      </c>
      <c r="O750" s="61">
        <f ca="1">INT(IF(N750&gt;0,1+MAX(N750*N750-(IF(D750="",TODAY()+(5-N750)*15,D750)-TODAY())/4,N750),IF(TODAY()-M750&gt;10,0,1)))</f>
        <v>1</v>
      </c>
      <c r="P750" s="1" t="str">
        <f ca="1">IF(ISNA(VLOOKUP(A750,Projects!B:B,1,FALSE)),"","Yes")</f>
        <v/>
      </c>
    </row>
    <row r="751" spans="1:16">
      <c r="A751" s="4" t="s">
        <v>1818</v>
      </c>
      <c r="B751" s="5" t="s">
        <v>1607</v>
      </c>
      <c r="C751" s="7" t="s">
        <v>10</v>
      </c>
      <c r="E751" s="12">
        <v>1</v>
      </c>
      <c r="F751" s="13" t="str">
        <f ca="1">VLOOKUP(LEFT(A751,IF(ISERROR(FIND(".",A751)),LEN(A751)+1,FIND(".",A751))-1),WorkList!A:C,3,FALSE)</f>
        <v>Markit</v>
      </c>
      <c r="G751" s="14" t="str">
        <f ca="1">VLOOKUP(CONCATENATE(A751),WorkList!A:C,3,FALSE)</f>
        <v>Feed 2 Market: Develop</v>
      </c>
      <c r="H751" s="13" t="str">
        <f ca="1">VLOOKUP(CONCATENATE(A751),WorkList!A:D,4,FALSE)</f>
        <v>Neil</v>
      </c>
      <c r="I751" s="15">
        <f ca="1">VLOOKUP(CONCATENATE(A751),WorkList!A:E,5,FALSE)</f>
        <v>40554</v>
      </c>
      <c r="J751" s="49">
        <f ca="1">VLOOKUP(CONCATENATE(A751),WorkList!A:F,6,FALSE)</f>
        <v>3</v>
      </c>
      <c r="K751" s="49" t="str">
        <f ca="1">VLOOKUP(CONCATENATE(A751),WorkList!A:G,7,FALSE)</f>
        <v>NewDevelopment</v>
      </c>
      <c r="L751" s="7" t="s">
        <v>5</v>
      </c>
      <c r="M751" s="16">
        <v>40590</v>
      </c>
      <c r="N751" s="60">
        <f ca="1">VALUE(LEFT(C751))</f>
        <v>3</v>
      </c>
      <c r="O751" s="61">
        <f ca="1">INT(IF(N751&gt;0,1+MAX(N751*N751-(IF(D751="",TODAY()+(5-N751)*15,D751)-TODAY())/4,N751),IF(TODAY()-M751&gt;10,0,1)))</f>
        <v>4</v>
      </c>
      <c r="P751" s="1" t="str">
        <f ca="1">IF(ISNA(VLOOKUP(A751,Projects!B:B,1,FALSE)),"","Yes")</f>
        <v/>
      </c>
    </row>
    <row r="752" spans="1:16">
      <c r="A752" s="4" t="s">
        <v>1819</v>
      </c>
      <c r="B752" s="5" t="s">
        <v>1607</v>
      </c>
      <c r="C752" s="7" t="s">
        <v>10</v>
      </c>
      <c r="F752" s="13" t="str">
        <f ca="1">VLOOKUP(LEFT(A752,IF(ISERROR(FIND(".",A752)),LEN(A752)+1,FIND(".",A752))-1),WorkList!A:C,3,FALSE)</f>
        <v>Markit</v>
      </c>
      <c r="G752" s="14" t="str">
        <f ca="1">VLOOKUP(CONCATENATE(A752),WorkList!A:C,3,FALSE)</f>
        <v>Feed 2 Market: Test</v>
      </c>
      <c r="H752" s="13" t="str">
        <f ca="1">VLOOKUP(CONCATENATE(A752),WorkList!A:D,4,FALSE)</f>
        <v>Neil</v>
      </c>
      <c r="I752" s="15">
        <f ca="1">VLOOKUP(CONCATENATE(A752),WorkList!A:E,5,FALSE)</f>
        <v>40554</v>
      </c>
      <c r="J752" s="49">
        <f ca="1">VLOOKUP(CONCATENATE(A752),WorkList!A:F,6,FALSE)</f>
        <v>1</v>
      </c>
      <c r="K752" s="49" t="str">
        <f ca="1">VLOOKUP(CONCATENATE(A752),WorkList!A:G,7,FALSE)</f>
        <v>NewDevelopment</v>
      </c>
      <c r="L752" s="7" t="s">
        <v>7</v>
      </c>
      <c r="M752" s="16">
        <v>40554</v>
      </c>
      <c r="N752" s="60">
        <f ca="1">VALUE(LEFT(C752))</f>
        <v>3</v>
      </c>
      <c r="O752" s="61">
        <f ca="1">INT(IF(N752&gt;0,1+MAX(N752*N752-(IF(D752="",TODAY()+(5-N752)*15,D752)-TODAY())/4,N752),IF(TODAY()-M752&gt;10,0,1)))</f>
        <v>4</v>
      </c>
      <c r="P752" s="1" t="str">
        <f ca="1">IF(ISNA(VLOOKUP(A752,Projects!B:B,1,FALSE)),"","Yes")</f>
        <v/>
      </c>
    </row>
    <row r="753" spans="1:16">
      <c r="A753" s="4" t="s">
        <v>1821</v>
      </c>
      <c r="B753" s="5" t="s">
        <v>1607</v>
      </c>
      <c r="C753" s="7" t="s">
        <v>10</v>
      </c>
      <c r="F753" s="13" t="str">
        <f ca="1">VLOOKUP(LEFT(A753,IF(ISERROR(FIND(".",A753)),LEN(A753)+1,FIND(".",A753))-1),WorkList!A:C,3,FALSE)</f>
        <v>Markit</v>
      </c>
      <c r="G753" s="14" t="str">
        <f ca="1">VLOOKUP(CONCATENATE(A753),WorkList!A:C,3,FALSE)</f>
        <v>Feed 2 Market: Review</v>
      </c>
      <c r="H753" s="13" t="str">
        <f ca="1">VLOOKUP(CONCATENATE(A753),WorkList!A:D,4,FALSE)</f>
        <v>Neil</v>
      </c>
      <c r="I753" s="15">
        <f ca="1">VLOOKUP(CONCATENATE(A753),WorkList!A:E,5,FALSE)</f>
        <v>40554</v>
      </c>
      <c r="J753" s="49">
        <f ca="1">VLOOKUP(CONCATENATE(A753),WorkList!A:F,6,FALSE)</f>
        <v>1</v>
      </c>
      <c r="K753" s="49" t="str">
        <f ca="1">VLOOKUP(CONCATENATE(A753),WorkList!A:G,7,FALSE)</f>
        <v>NewDevelopment</v>
      </c>
      <c r="L753" s="7" t="s">
        <v>7</v>
      </c>
      <c r="M753" s="16">
        <v>40554</v>
      </c>
      <c r="N753" s="60">
        <f ca="1">VALUE(LEFT(C753))</f>
        <v>3</v>
      </c>
      <c r="O753" s="61">
        <f ca="1">INT(IF(N753&gt;0,1+MAX(N753*N753-(IF(D753="",TODAY()+(5-N753)*15,D753)-TODAY())/4,N753),IF(TODAY()-M753&gt;10,0,1)))</f>
        <v>4</v>
      </c>
      <c r="P753" s="1" t="str">
        <f ca="1">IF(ISNA(VLOOKUP(A753,Projects!B:B,1,FALSE)),"","Yes")</f>
        <v/>
      </c>
    </row>
    <row r="754" spans="1:16">
      <c r="A754" s="4" t="s">
        <v>1820</v>
      </c>
      <c r="B754" s="5" t="s">
        <v>1607</v>
      </c>
      <c r="C754" s="7" t="s">
        <v>10</v>
      </c>
      <c r="F754" s="13" t="str">
        <f ca="1">VLOOKUP(LEFT(A754,IF(ISERROR(FIND(".",A754)),LEN(A754)+1,FIND(".",A754))-1),WorkList!A:C,3,FALSE)</f>
        <v>Markit</v>
      </c>
      <c r="G754" s="14" t="str">
        <f ca="1">VLOOKUP(CONCATENATE(A754),WorkList!A:C,3,FALSE)</f>
        <v>Feed 2 Market: Release</v>
      </c>
      <c r="H754" s="13" t="str">
        <f ca="1">VLOOKUP(CONCATENATE(A754),WorkList!A:D,4,FALSE)</f>
        <v>Neil</v>
      </c>
      <c r="I754" s="15">
        <f ca="1">VLOOKUP(CONCATENATE(A754),WorkList!A:E,5,FALSE)</f>
        <v>40554</v>
      </c>
      <c r="J754" s="49">
        <f ca="1">VLOOKUP(CONCATENATE(A754),WorkList!A:F,6,FALSE)</f>
        <v>1</v>
      </c>
      <c r="K754" s="49" t="str">
        <f ca="1">VLOOKUP(CONCATENATE(A754),WorkList!A:G,7,FALSE)</f>
        <v>NewDevelopment</v>
      </c>
      <c r="L754" s="7" t="s">
        <v>7</v>
      </c>
      <c r="M754" s="16">
        <v>40554</v>
      </c>
      <c r="N754" s="60">
        <f ca="1">VALUE(LEFT(C754))</f>
        <v>3</v>
      </c>
      <c r="O754" s="61">
        <f ca="1">INT(IF(N754&gt;0,1+MAX(N754*N754-(IF(D754="",TODAY()+(5-N754)*15,D754)-TODAY())/4,N754),IF(TODAY()-M754&gt;10,0,1)))</f>
        <v>4</v>
      </c>
      <c r="P754" s="1" t="str">
        <f ca="1">IF(ISNA(VLOOKUP(A754,Projects!B:B,1,FALSE)),"","Yes")</f>
        <v/>
      </c>
    </row>
    <row r="755" spans="1:16">
      <c r="A755" s="4" t="s">
        <v>1812</v>
      </c>
      <c r="B755" s="5" t="s">
        <v>1159</v>
      </c>
      <c r="C755" s="7" t="s">
        <v>48</v>
      </c>
      <c r="F755" s="13" t="str">
        <f ca="1">VLOOKUP(LEFT(A755,IF(ISERROR(FIND(".",A755)),LEN(A755)+1,FIND(".",A755))-1),WorkList!A:C,3,FALSE)</f>
        <v>Markit</v>
      </c>
      <c r="G755" s="14" t="str">
        <f ca="1">VLOOKUP(CONCATENATE(A755),WorkList!A:C,3,FALSE)</f>
        <v>Feed From Market: Requirements and Design</v>
      </c>
      <c r="H755" s="13" t="str">
        <f ca="1">VLOOKUP(CONCATENATE(A755),WorkList!A:D,4,FALSE)</f>
        <v>Neil</v>
      </c>
      <c r="I755" s="15">
        <f ca="1">VLOOKUP(CONCATENATE(A755),WorkList!A:E,5,FALSE)</f>
        <v>40554</v>
      </c>
      <c r="J755" s="49">
        <f ca="1">VLOOKUP(CONCATENATE(A755),WorkList!A:F,6,FALSE)</f>
        <v>1</v>
      </c>
      <c r="K755" s="49" t="str">
        <f ca="1">VLOOKUP(CONCATENATE(A755),WorkList!A:G,7,FALSE)</f>
        <v>NewDevelopment</v>
      </c>
      <c r="L755" s="7" t="s">
        <v>13</v>
      </c>
      <c r="M755" s="16">
        <v>40590</v>
      </c>
      <c r="N755" s="60">
        <f ca="1">VALUE(LEFT(C755))</f>
        <v>0</v>
      </c>
      <c r="O755" s="61">
        <f ca="1">INT(IF(N755&gt;0,1+MAX(N755*N755-(IF(D755="",TODAY()+(5-N755)*15,D755)-TODAY())/4,N755),IF(TODAY()-M755&gt;10,0,1)))</f>
        <v>1</v>
      </c>
      <c r="P755" s="1" t="str">
        <f ca="1">IF(ISNA(VLOOKUP(A755,Projects!B:B,1,FALSE)),"","Yes")</f>
        <v/>
      </c>
    </row>
    <row r="756" spans="1:16">
      <c r="A756" s="4" t="s">
        <v>1813</v>
      </c>
      <c r="B756" s="5" t="s">
        <v>1159</v>
      </c>
      <c r="C756" s="7" t="s">
        <v>48</v>
      </c>
      <c r="F756" s="13" t="str">
        <f ca="1">VLOOKUP(LEFT(A756,IF(ISERROR(FIND(".",A756)),LEN(A756)+1,FIND(".",A756))-1),WorkList!A:C,3,FALSE)</f>
        <v>Markit</v>
      </c>
      <c r="G756" s="14" t="str">
        <f ca="1">VLOOKUP(CONCATENATE(A756),WorkList!A:C,3,FALSE)</f>
        <v>Feed From Market: Develop</v>
      </c>
      <c r="H756" s="13" t="str">
        <f ca="1">VLOOKUP(CONCATENATE(A756),WorkList!A:D,4,FALSE)</f>
        <v>Neil</v>
      </c>
      <c r="I756" s="15">
        <f ca="1">VLOOKUP(CONCATENATE(A756),WorkList!A:E,5,FALSE)</f>
        <v>40554</v>
      </c>
      <c r="J756" s="49">
        <f ca="1">VLOOKUP(CONCATENATE(A756),WorkList!A:F,6,FALSE)</f>
        <v>5</v>
      </c>
      <c r="K756" s="49" t="str">
        <f ca="1">VLOOKUP(CONCATENATE(A756),WorkList!A:G,7,FALSE)</f>
        <v>NewDevelopment</v>
      </c>
      <c r="L756" s="7" t="s">
        <v>13</v>
      </c>
      <c r="M756" s="16">
        <v>40590</v>
      </c>
      <c r="N756" s="60">
        <f ca="1">VALUE(LEFT(C756))</f>
        <v>0</v>
      </c>
      <c r="O756" s="61">
        <f ca="1">INT(IF(N756&gt;0,1+MAX(N756*N756-(IF(D756="",TODAY()+(5-N756)*15,D756)-TODAY())/4,N756),IF(TODAY()-M756&gt;10,0,1)))</f>
        <v>1</v>
      </c>
      <c r="P756" s="1" t="str">
        <f ca="1">IF(ISNA(VLOOKUP(A756,Projects!B:B,1,FALSE)),"","Yes")</f>
        <v/>
      </c>
    </row>
    <row r="757" spans="1:16">
      <c r="A757" s="4" t="s">
        <v>1814</v>
      </c>
      <c r="B757" s="5" t="s">
        <v>1159</v>
      </c>
      <c r="C757" s="7" t="s">
        <v>10</v>
      </c>
      <c r="F757" s="13" t="str">
        <f ca="1">VLOOKUP(LEFT(A757,IF(ISERROR(FIND(".",A757)),LEN(A757)+1,FIND(".",A757))-1),WorkList!A:C,3,FALSE)</f>
        <v>Markit</v>
      </c>
      <c r="G757" s="14" t="str">
        <f ca="1">VLOOKUP(CONCATENATE(A757),WorkList!A:C,3,FALSE)</f>
        <v>Feed From Market: Test</v>
      </c>
      <c r="H757" s="13" t="str">
        <f ca="1">VLOOKUP(CONCATENATE(A757),WorkList!A:D,4,FALSE)</f>
        <v>Neil</v>
      </c>
      <c r="I757" s="15">
        <f ca="1">VLOOKUP(CONCATENATE(A757),WorkList!A:E,5,FALSE)</f>
        <v>40554</v>
      </c>
      <c r="J757" s="49">
        <f ca="1">VLOOKUP(CONCATENATE(A757),WorkList!A:F,6,FALSE)</f>
        <v>1</v>
      </c>
      <c r="K757" s="49" t="str">
        <f ca="1">VLOOKUP(CONCATENATE(A757),WorkList!A:G,7,FALSE)</f>
        <v>NewDevelopment</v>
      </c>
      <c r="L757" s="7" t="s">
        <v>5</v>
      </c>
      <c r="M757" s="16">
        <v>40590</v>
      </c>
      <c r="N757" s="60">
        <f ca="1">VALUE(LEFT(C757))</f>
        <v>3</v>
      </c>
      <c r="O757" s="61">
        <f ca="1">INT(IF(N757&gt;0,1+MAX(N757*N757-(IF(D757="",TODAY()+(5-N757)*15,D757)-TODAY())/4,N757),IF(TODAY()-M757&gt;10,0,1)))</f>
        <v>4</v>
      </c>
      <c r="P757" s="1" t="str">
        <f ca="1">IF(ISNA(VLOOKUP(A757,Projects!B:B,1,FALSE)),"","Yes")</f>
        <v/>
      </c>
    </row>
    <row r="758" spans="1:16">
      <c r="A758" s="4" t="s">
        <v>1815</v>
      </c>
      <c r="B758" s="5" t="s">
        <v>1159</v>
      </c>
      <c r="C758" s="7" t="s">
        <v>10</v>
      </c>
      <c r="F758" s="13" t="str">
        <f ca="1">VLOOKUP(LEFT(A758,IF(ISERROR(FIND(".",A758)),LEN(A758)+1,FIND(".",A758))-1),WorkList!A:C,3,FALSE)</f>
        <v>Markit</v>
      </c>
      <c r="G758" s="14" t="str">
        <f ca="1">VLOOKUP(CONCATENATE(A758),WorkList!A:C,3,FALSE)</f>
        <v>Feed From Market: Review</v>
      </c>
      <c r="H758" s="13" t="str">
        <f ca="1">VLOOKUP(CONCATENATE(A758),WorkList!A:D,4,FALSE)</f>
        <v>Neil</v>
      </c>
      <c r="I758" s="15">
        <f ca="1">VLOOKUP(CONCATENATE(A758),WorkList!A:E,5,FALSE)</f>
        <v>40554</v>
      </c>
      <c r="J758" s="49">
        <f ca="1">VLOOKUP(CONCATENATE(A758),WorkList!A:F,6,FALSE)</f>
        <v>1</v>
      </c>
      <c r="K758" s="49" t="str">
        <f ca="1">VLOOKUP(CONCATENATE(A758),WorkList!A:G,7,FALSE)</f>
        <v>NewDevelopment</v>
      </c>
      <c r="L758" s="7" t="s">
        <v>7</v>
      </c>
      <c r="M758" s="16">
        <v>40554</v>
      </c>
      <c r="N758" s="60">
        <f ca="1">VALUE(LEFT(C758))</f>
        <v>3</v>
      </c>
      <c r="O758" s="61">
        <f ca="1">INT(IF(N758&gt;0,1+MAX(N758*N758-(IF(D758="",TODAY()+(5-N758)*15,D758)-TODAY())/4,N758),IF(TODAY()-M758&gt;10,0,1)))</f>
        <v>4</v>
      </c>
      <c r="P758" s="1" t="str">
        <f ca="1">IF(ISNA(VLOOKUP(A758,Projects!B:B,1,FALSE)),"","Yes")</f>
        <v/>
      </c>
    </row>
    <row r="759" spans="1:16">
      <c r="A759" s="4" t="s">
        <v>1816</v>
      </c>
      <c r="B759" s="5" t="s">
        <v>1159</v>
      </c>
      <c r="C759" s="7" t="s">
        <v>10</v>
      </c>
      <c r="F759" s="13" t="str">
        <f ca="1">VLOOKUP(LEFT(A759,IF(ISERROR(FIND(".",A759)),LEN(A759)+1,FIND(".",A759))-1),WorkList!A:C,3,FALSE)</f>
        <v>Markit</v>
      </c>
      <c r="G759" s="14" t="str">
        <f ca="1">VLOOKUP(CONCATENATE(A759),WorkList!A:C,3,FALSE)</f>
        <v>Feed From Market: Release</v>
      </c>
      <c r="H759" s="13" t="str">
        <f ca="1">VLOOKUP(CONCATENATE(A759),WorkList!A:D,4,FALSE)</f>
        <v>Neil</v>
      </c>
      <c r="I759" s="15">
        <f ca="1">VLOOKUP(CONCATENATE(A759),WorkList!A:E,5,FALSE)</f>
        <v>40554</v>
      </c>
      <c r="J759" s="49">
        <f ca="1">VLOOKUP(CONCATENATE(A759),WorkList!A:F,6,FALSE)</f>
        <v>1</v>
      </c>
      <c r="K759" s="49" t="str">
        <f ca="1">VLOOKUP(CONCATENATE(A759),WorkList!A:G,7,FALSE)</f>
        <v>NewDevelopment</v>
      </c>
      <c r="L759" s="7" t="s">
        <v>7</v>
      </c>
      <c r="M759" s="16">
        <v>40554</v>
      </c>
      <c r="N759" s="60">
        <f ca="1">VALUE(LEFT(C759))</f>
        <v>3</v>
      </c>
      <c r="O759" s="61">
        <f ca="1">INT(IF(N759&gt;0,1+MAX(N759*N759-(IF(D759="",TODAY()+(5-N759)*15,D759)-TODAY())/4,N759),IF(TODAY()-M759&gt;10,0,1)))</f>
        <v>4</v>
      </c>
      <c r="P759" s="1" t="str">
        <f ca="1">IF(ISNA(VLOOKUP(A759,Projects!B:B,1,FALSE)),"","Yes")</f>
        <v/>
      </c>
    </row>
    <row r="760" spans="1:16">
      <c r="A760" s="4" t="s">
        <v>1817</v>
      </c>
      <c r="B760" s="5" t="s">
        <v>1159</v>
      </c>
      <c r="C760" s="7" t="s">
        <v>10</v>
      </c>
      <c r="F760" s="13" t="str">
        <f ca="1">VLOOKUP(LEFT(A760,IF(ISERROR(FIND(".",A760)),LEN(A760)+1,FIND(".",A760))-1),WorkList!A:C,3,FALSE)</f>
        <v>Markit</v>
      </c>
      <c r="G760" s="14" t="str">
        <f ca="1">VLOOKUP(CONCATENATE(A760),WorkList!A:C,3,FALSE)</f>
        <v>Feed From Market: Back populate missing data</v>
      </c>
      <c r="H760" s="13" t="str">
        <f ca="1">VLOOKUP(CONCATENATE(A760),WorkList!A:D,4,FALSE)</f>
        <v>Neil</v>
      </c>
      <c r="I760" s="15">
        <f ca="1">VLOOKUP(CONCATENATE(A760),WorkList!A:E,5,FALSE)</f>
        <v>40554</v>
      </c>
      <c r="J760" s="49">
        <f ca="1">VLOOKUP(CONCATENATE(A760),WorkList!A:F,6,FALSE)</f>
        <v>2</v>
      </c>
      <c r="K760" s="49" t="str">
        <f ca="1">VLOOKUP(CONCATENATE(A760),WorkList!A:G,7,FALSE)</f>
        <v>NewDevelopment</v>
      </c>
      <c r="L760" s="7" t="s">
        <v>7</v>
      </c>
      <c r="M760" s="16">
        <v>40554</v>
      </c>
      <c r="N760" s="60">
        <f ca="1">VALUE(LEFT(C760))</f>
        <v>3</v>
      </c>
      <c r="O760" s="61">
        <f ca="1">INT(IF(N760&gt;0,1+MAX(N760*N760-(IF(D760="",TODAY()+(5-N760)*15,D760)-TODAY())/4,N760),IF(TODAY()-M760&gt;10,0,1)))</f>
        <v>4</v>
      </c>
      <c r="P760" s="1" t="str">
        <f ca="1">IF(ISNA(VLOOKUP(A760,Projects!B:B,1,FALSE)),"","Yes")</f>
        <v/>
      </c>
    </row>
    <row r="761" spans="1:16">
      <c r="A761" s="4" t="s">
        <v>1526</v>
      </c>
      <c r="B761" s="5" t="s">
        <v>11</v>
      </c>
      <c r="C761" s="6" t="s">
        <v>48</v>
      </c>
      <c r="F761" s="13" t="str">
        <f ca="1">VLOOKUP(LEFT(A761,IF(ISERROR(FIND(".",A761)),LEN(A761)+1,FIND(".",A761))-1),WorkList!A:C,3,FALSE)</f>
        <v>Bloomberg data feed</v>
      </c>
      <c r="G761" s="14" t="str">
        <f ca="1">VLOOKUP(CONCATENATE(A761),WorkList!A:C,3,FALSE)</f>
        <v>BBG Feed: Gather requirements</v>
      </c>
      <c r="H761" s="13" t="str">
        <f ca="1">VLOOKUP(CONCATENATE(A761),WorkList!A:D,4,FALSE)</f>
        <v>Neil</v>
      </c>
      <c r="I761" s="15">
        <f ca="1">VLOOKUP(CONCATENATE(A761),WorkList!A:E,5,FALSE)</f>
        <v>40438</v>
      </c>
      <c r="J761" s="49">
        <f ca="1">VLOOKUP(CONCATENATE(A761),WorkList!A:F,6,FALSE)</f>
        <v>5</v>
      </c>
      <c r="K761" s="49" t="str">
        <f ca="1">VLOOKUP(CONCATENATE(A761),WorkList!A:G,7,FALSE)</f>
        <v>NewDevelopment</v>
      </c>
      <c r="L761" s="7" t="s">
        <v>13</v>
      </c>
      <c r="M761" s="16">
        <v>40567</v>
      </c>
      <c r="N761" s="60">
        <f ca="1">VALUE(LEFT(C761))</f>
        <v>0</v>
      </c>
      <c r="O761" s="61">
        <f ca="1">INT(IF(N761&gt;0,1+MAX(N761*N761-(IF(D761="",TODAY()+(5-N761)*15,D761)-TODAY())/4,N761),IF(TODAY()-M761&gt;10,0,1)))</f>
        <v>0</v>
      </c>
      <c r="P761" s="1" t="str">
        <f ca="1">IF(ISNA(VLOOKUP(A761,Projects!B:B,1,FALSE)),"","Yes")</f>
        <v>Yes</v>
      </c>
    </row>
    <row r="762" spans="1:16">
      <c r="A762" s="4" t="s">
        <v>1529</v>
      </c>
      <c r="B762" s="5" t="s">
        <v>1159</v>
      </c>
      <c r="C762" s="7" t="s">
        <v>48</v>
      </c>
      <c r="F762" s="13" t="str">
        <f ca="1">VLOOKUP(LEFT(A762,IF(ISERROR(FIND(".",A762)),LEN(A762)+1,FIND(".",A762))-1),WorkList!A:C,3,FALSE)</f>
        <v>Bloomberg data feed</v>
      </c>
      <c r="G762" s="14" t="str">
        <f ca="1">VLOOKUP(CONCATENATE(A762),WorkList!A:C,3,FALSE)</f>
        <v>BBG Feed: Prototype feed process</v>
      </c>
      <c r="H762" s="13" t="str">
        <f ca="1">VLOOKUP(CONCATENATE(A762),WorkList!A:D,4,FALSE)</f>
        <v>Neil</v>
      </c>
      <c r="I762" s="15">
        <f ca="1">VLOOKUP(CONCATENATE(A762),WorkList!A:E,5,FALSE)</f>
        <v>40438</v>
      </c>
      <c r="J762" s="49">
        <f ca="1">VLOOKUP(CONCATENATE(A762),WorkList!A:F,6,FALSE)</f>
        <v>5</v>
      </c>
      <c r="K762" s="49" t="str">
        <f ca="1">VLOOKUP(CONCATENATE(A762),WorkList!A:G,7,FALSE)</f>
        <v>NewDevelopment</v>
      </c>
      <c r="L762" s="7" t="s">
        <v>13</v>
      </c>
      <c r="M762" s="16">
        <v>40553</v>
      </c>
      <c r="N762" s="60">
        <f ca="1">VALUE(LEFT(C762))</f>
        <v>0</v>
      </c>
      <c r="O762" s="61">
        <f ca="1">INT(IF(N762&gt;0,1+MAX(N762*N762-(IF(D762="",TODAY()+(5-N762)*15,D762)-TODAY())/4,N762),IF(TODAY()-M762&gt;10,0,1)))</f>
        <v>0</v>
      </c>
      <c r="P762" s="1" t="str">
        <f ca="1">IF(ISNA(VLOOKUP(A762,Projects!B:B,1,FALSE)),"","Yes")</f>
        <v>Yes</v>
      </c>
    </row>
    <row r="763" spans="1:16" ht="25.5">
      <c r="A763" s="4" t="s">
        <v>1633</v>
      </c>
      <c r="B763" s="5" t="s">
        <v>1159</v>
      </c>
      <c r="C763" s="7" t="s">
        <v>48</v>
      </c>
      <c r="F763" s="13" t="str">
        <f ca="1">VLOOKUP(LEFT(A763,IF(ISERROR(FIND(".",A763)),LEN(A763)+1,FIND(".",A763))-1),WorkList!A:C,3,FALSE)</f>
        <v>Bloomberg data feed</v>
      </c>
      <c r="G763" s="14" t="str">
        <f ca="1">VLOOKUP(CONCATENATE(A763),WorkList!A:C,3,FALSE)</f>
        <v>BBG Feed: Investigate using BBG Accessor for application usage</v>
      </c>
      <c r="H763" s="13" t="str">
        <f ca="1">VLOOKUP(CONCATENATE(A763),WorkList!A:D,4,FALSE)</f>
        <v>Neil</v>
      </c>
      <c r="I763" s="15">
        <f ca="1">VLOOKUP(CONCATENATE(A763),WorkList!A:E,5,FALSE)</f>
        <v>40477</v>
      </c>
      <c r="J763" s="49">
        <f ca="1">VLOOKUP(CONCATENATE(A763),WorkList!A:F,6,FALSE)</f>
        <v>5</v>
      </c>
      <c r="K763" s="49" t="str">
        <f ca="1">VLOOKUP(CONCATENATE(A763),WorkList!A:G,7,FALSE)</f>
        <v>NewDevelopment</v>
      </c>
      <c r="L763" s="7" t="s">
        <v>13</v>
      </c>
      <c r="M763" s="16">
        <v>40553</v>
      </c>
      <c r="N763" s="60">
        <f ca="1">VALUE(LEFT(C763))</f>
        <v>0</v>
      </c>
      <c r="O763" s="61">
        <f ca="1">INT(IF(N763&gt;0,1+MAX(N763*N763-(IF(D763="",TODAY()+(5-N763)*15,D763)-TODAY())/4,N763),IF(TODAY()-M763&gt;10,0,1)))</f>
        <v>0</v>
      </c>
      <c r="P763" s="1" t="str">
        <f ca="1">IF(ISNA(VLOOKUP(A763,Projects!B:B,1,FALSE)),"","Yes")</f>
        <v>Yes</v>
      </c>
    </row>
    <row r="764" spans="1:16">
      <c r="A764" s="4" t="s">
        <v>1801</v>
      </c>
      <c r="B764" s="5" t="s">
        <v>1159</v>
      </c>
      <c r="C764" s="7" t="s">
        <v>48</v>
      </c>
      <c r="F764" s="13" t="str">
        <f ca="1">VLOOKUP(LEFT(A764,IF(ISERROR(FIND(".",A764)),LEN(A764)+1,FIND(".",A764))-1),WorkList!A:C,3,FALSE)</f>
        <v>Bloomberg data feed</v>
      </c>
      <c r="G764" s="14" t="str">
        <f ca="1">VLOOKUP(CONCATENATE(A764),WorkList!A:C,3,FALSE)</f>
        <v>BBG Feed: Develop feed processes</v>
      </c>
      <c r="H764" s="13" t="str">
        <f ca="1">VLOOKUP(CONCATENATE(A764),WorkList!A:D,4,FALSE)</f>
        <v>Neil</v>
      </c>
      <c r="I764" s="15">
        <f ca="1">VLOOKUP(CONCATENATE(A764),WorkList!A:E,5,FALSE)</f>
        <v>40553</v>
      </c>
      <c r="J764" s="49">
        <f ca="1">VLOOKUP(CONCATENATE(A764),WorkList!A:F,6,FALSE)</f>
        <v>20</v>
      </c>
      <c r="K764" s="49" t="str">
        <f ca="1">VLOOKUP(CONCATENATE(A764),WorkList!A:G,7,FALSE)</f>
        <v>NewDevelopment</v>
      </c>
      <c r="L764" s="7" t="s">
        <v>13</v>
      </c>
      <c r="M764" s="16">
        <v>40589</v>
      </c>
      <c r="N764" s="60">
        <f ca="1">VALUE(LEFT(C764))</f>
        <v>0</v>
      </c>
      <c r="O764" s="61">
        <f ca="1">INT(IF(N764&gt;0,1+MAX(N764*N764-(IF(D764="",TODAY()+(5-N764)*15,D764)-TODAY())/4,N764),IF(TODAY()-M764&gt;10,0,1)))</f>
        <v>1</v>
      </c>
      <c r="P764" s="1" t="str">
        <f ca="1">IF(ISNA(VLOOKUP(A764,Projects!B:B,1,FALSE)),"","Yes")</f>
        <v/>
      </c>
    </row>
    <row r="765" spans="1:16">
      <c r="A765" s="4" t="s">
        <v>1911</v>
      </c>
      <c r="B765" s="5" t="s">
        <v>11</v>
      </c>
      <c r="C765" s="7" t="s">
        <v>10</v>
      </c>
      <c r="F765" s="13" t="str">
        <f ca="1">VLOOKUP(LEFT(A765,IF(ISERROR(FIND(".",A765)),LEN(A765)+1,FIND(".",A765))-1),WorkList!A:C,3,FALSE)</f>
        <v>Bloomberg data feed</v>
      </c>
      <c r="G765" s="14" t="str">
        <f ca="1">VLOOKUP(CONCATENATE(A765),WorkList!A:C,3,FALSE)</f>
        <v xml:space="preserve">BBG Feed: Release to Production </v>
      </c>
      <c r="H765" s="13" t="str">
        <f ca="1">VLOOKUP(CONCATENATE(A765),WorkList!A:D,4,FALSE)</f>
        <v>Neil</v>
      </c>
      <c r="I765" s="15">
        <f ca="1">VLOOKUP(CONCATENATE(A765),WorkList!A:E,5,FALSE)</f>
        <v>40589</v>
      </c>
      <c r="J765" s="49">
        <f ca="1">VLOOKUP(CONCATENATE(A765),WorkList!A:F,6,FALSE)</f>
        <v>2</v>
      </c>
      <c r="K765" s="49" t="str">
        <f ca="1">VLOOKUP(CONCATENATE(A765),WorkList!A:G,7,FALSE)</f>
        <v>NewDevelopment</v>
      </c>
      <c r="L765" s="7" t="s">
        <v>7</v>
      </c>
      <c r="M765" s="16">
        <v>40589</v>
      </c>
      <c r="N765" s="60">
        <f ca="1">VALUE(LEFT(C765))</f>
        <v>3</v>
      </c>
      <c r="O765" s="61">
        <f ca="1">INT(IF(N765&gt;0,1+MAX(N765*N765-(IF(D765="",TODAY()+(5-N765)*15,D765)-TODAY())/4,N765),IF(TODAY()-M765&gt;10,0,1)))</f>
        <v>4</v>
      </c>
      <c r="P765" s="1" t="str">
        <f ca="1">IF(ISNA(VLOOKUP(A765,Projects!B:B,1,FALSE)),"","Yes")</f>
        <v/>
      </c>
    </row>
    <row r="766" spans="1:16">
      <c r="A766" s="4" t="s">
        <v>1565</v>
      </c>
      <c r="B766" s="5" t="s">
        <v>21</v>
      </c>
      <c r="C766" s="6" t="s">
        <v>38</v>
      </c>
      <c r="F766" s="13" t="str">
        <f ca="1">VLOOKUP(LEFT(A766,IF(ISERROR(FIND(".",A766)),LEN(A766)+1,FIND(".",A766))-1),WorkList!A:C,3,FALSE)</f>
        <v>Totoro Reconciliation</v>
      </c>
      <c r="G766" s="14" t="str">
        <f ca="1">VLOOKUP(CONCATENATE(A766),WorkList!A:C,3,FALSE)</f>
        <v>Gather requirements</v>
      </c>
      <c r="H766" s="13" t="str">
        <f ca="1">VLOOKUP(CONCATENATE(A766),WorkList!A:D,4,FALSE)</f>
        <v>Juan</v>
      </c>
      <c r="I766" s="15">
        <f ca="1">VLOOKUP(CONCATENATE(A766),WorkList!A:E,5,FALSE)</f>
        <v>40452</v>
      </c>
      <c r="J766" s="49">
        <f ca="1">VLOOKUP(CONCATENATE(A766),WorkList!A:F,6,FALSE)</f>
        <v>1</v>
      </c>
      <c r="K766" s="49" t="str">
        <f ca="1">VLOOKUP(CONCATENATE(A766),WorkList!A:G,7,FALSE)</f>
        <v>NewDevelopment</v>
      </c>
      <c r="L766" s="7" t="s">
        <v>716</v>
      </c>
      <c r="M766" s="16">
        <v>40452</v>
      </c>
      <c r="N766" s="60">
        <f ca="1">VALUE(LEFT(C766))</f>
        <v>2</v>
      </c>
      <c r="O766" s="61">
        <f ca="1">INT(IF(N766&gt;0,1+MAX(N766*N766-(IF(D766="",TODAY()+(5-N766)*15,D766)-TODAY())/4,N766),IF(TODAY()-M766&gt;10,0,1)))</f>
        <v>3</v>
      </c>
      <c r="P766" s="1" t="str">
        <f ca="1">IF(ISNA(VLOOKUP(A766,Projects!B:B,1,FALSE)),"","Yes")</f>
        <v/>
      </c>
    </row>
    <row r="767" spans="1:16">
      <c r="A767" s="4" t="s">
        <v>1569</v>
      </c>
      <c r="B767" s="5" t="s">
        <v>21</v>
      </c>
      <c r="C767" s="6" t="s">
        <v>38</v>
      </c>
      <c r="F767" s="13" t="str">
        <f ca="1">VLOOKUP(LEFT(A767,IF(ISERROR(FIND(".",A767)),LEN(A767)+1,FIND(".",A767))-1),WorkList!A:C,3,FALSE)</f>
        <v>Inventory Viewer</v>
      </c>
      <c r="G767" s="14" t="str">
        <f ca="1">VLOOKUP(CONCATENATE(A767),WorkList!A:C,3,FALSE)</f>
        <v>Gather Requirements</v>
      </c>
      <c r="H767" s="13" t="str">
        <f ca="1">VLOOKUP(CONCATENATE(A767),WorkList!A:D,4,FALSE)</f>
        <v>Juan</v>
      </c>
      <c r="I767" s="15">
        <f ca="1">VLOOKUP(CONCATENATE(A767),WorkList!A:E,5,FALSE)</f>
        <v>40452</v>
      </c>
      <c r="J767" s="49">
        <f ca="1">VLOOKUP(CONCATENATE(A767),WorkList!A:F,6,FALSE)</f>
        <v>1</v>
      </c>
      <c r="K767" s="49" t="str">
        <f ca="1">VLOOKUP(CONCATENATE(A767),WorkList!A:G,7,FALSE)</f>
        <v>NewDevelopment</v>
      </c>
      <c r="L767" s="7" t="s">
        <v>716</v>
      </c>
      <c r="M767" s="16">
        <v>40452</v>
      </c>
      <c r="N767" s="60">
        <f ca="1">VALUE(LEFT(C767))</f>
        <v>2</v>
      </c>
      <c r="O767" s="61">
        <f ca="1">INT(IF(N767&gt;0,1+MAX(N767*N767-(IF(D767="",TODAY()+(5-N767)*15,D767)-TODAY())/4,N767),IF(TODAY()-M767&gt;10,0,1)))</f>
        <v>3</v>
      </c>
      <c r="P767" s="1" t="str">
        <f ca="1">IF(ISNA(VLOOKUP(A767,Projects!B:B,1,FALSE)),"","Yes")</f>
        <v/>
      </c>
    </row>
    <row r="768" spans="1:16">
      <c r="A768" s="4" t="s">
        <v>1606</v>
      </c>
      <c r="B768" s="5" t="s">
        <v>21</v>
      </c>
      <c r="C768" s="7" t="s">
        <v>10</v>
      </c>
      <c r="F768" s="13" t="str">
        <f ca="1">VLOOKUP(LEFT(A768,IF(ISERROR(FIND(".",A768)),LEN(A768)+1,FIND(".",A768))-1),WorkList!A:C,3,FALSE)</f>
        <v>Price monitor</v>
      </c>
      <c r="G768" s="14" t="str">
        <f ca="1">VLOOKUP(CONCATENATE(A768),WorkList!A:C,3,FALSE)</f>
        <v>Gather requirements</v>
      </c>
      <c r="H768" s="13" t="str">
        <f ca="1">VLOOKUP(CONCATENATE(A768),WorkList!A:D,4,FALSE)</f>
        <v>Zhuu</v>
      </c>
      <c r="I768" s="15">
        <f ca="1">VLOOKUP(CONCATENATE(A768),WorkList!A:E,5,FALSE)</f>
        <v>40466</v>
      </c>
      <c r="J768" s="49">
        <f ca="1">VLOOKUP(CONCATENATE(A768),WorkList!A:F,6,FALSE)</f>
        <v>5</v>
      </c>
      <c r="K768" s="49" t="str">
        <f ca="1">VLOOKUP(CONCATENATE(A768),WorkList!A:G,7,FALSE)</f>
        <v>NewDevelopment</v>
      </c>
      <c r="L768" s="7" t="s">
        <v>7</v>
      </c>
      <c r="M768" s="16">
        <v>40490</v>
      </c>
      <c r="N768" s="60">
        <f ca="1">VALUE(LEFT(C768))</f>
        <v>3</v>
      </c>
      <c r="O768" s="61">
        <f ca="1">INT(IF(N768&gt;0,1+MAX(N768*N768-(IF(D768="",TODAY()+(5-N768)*15,D768)-TODAY())/4,N768),IF(TODAY()-M768&gt;10,0,1)))</f>
        <v>4</v>
      </c>
      <c r="P768" s="1" t="str">
        <f ca="1">IF(ISNA(VLOOKUP(A768,Projects!B:B,1,FALSE)),"","Yes")</f>
        <v/>
      </c>
    </row>
    <row r="769" spans="1:16">
      <c r="A769" s="4" t="s">
        <v>1605</v>
      </c>
      <c r="B769" s="5" t="s">
        <v>11</v>
      </c>
      <c r="C769" s="6" t="s">
        <v>48</v>
      </c>
      <c r="F769" s="13" t="str">
        <f ca="1">VLOOKUP(LEFT(A769,IF(ISERROR(FIND(".",A769)),LEN(A769)+1,FIND(".",A769))-1),WorkList!A:C,3,FALSE)</f>
        <v>Trader Runs to Bloomberg</v>
      </c>
      <c r="G769" s="14" t="str">
        <f ca="1">VLOOKUP(CONCATENATE(A769),WorkList!A:C,3,FALSE)</f>
        <v>SaveOpeningRuns: Gather requirements</v>
      </c>
      <c r="H769" s="13" t="str">
        <f ca="1">VLOOKUP(CONCATENATE(A769),WorkList!A:D,4,FALSE)</f>
        <v>Zhuu</v>
      </c>
      <c r="I769" s="15">
        <f ca="1">VLOOKUP(CONCATENATE(A769),WorkList!A:E,5,FALSE)</f>
        <v>40483</v>
      </c>
      <c r="J769" s="49">
        <f ca="1">VLOOKUP(CONCATENATE(A769),WorkList!A:F,6,FALSE)</f>
        <v>1</v>
      </c>
      <c r="K769" s="49" t="str">
        <f ca="1">VLOOKUP(CONCATENATE(A769),WorkList!A:G,7,FALSE)</f>
        <v>NewDevelopment</v>
      </c>
      <c r="L769" s="7" t="s">
        <v>13</v>
      </c>
      <c r="M769" s="16">
        <v>40483</v>
      </c>
      <c r="N769" s="60">
        <f ca="1">VALUE(LEFT(C769))</f>
        <v>0</v>
      </c>
      <c r="O769" s="61">
        <f ca="1">INT(IF(N769&gt;0,1+MAX(N769*N769-(IF(D769="",TODAY()+(5-N769)*15,D769)-TODAY())/4,N769),IF(TODAY()-M769&gt;10,0,1)))</f>
        <v>0</v>
      </c>
      <c r="P769" s="1" t="str">
        <f ca="1">IF(ISNA(VLOOKUP(A769,Projects!B:B,1,FALSE)),"","Yes")</f>
        <v>Yes</v>
      </c>
    </row>
    <row r="770" spans="1:16">
      <c r="A770" s="4" t="s">
        <v>1656</v>
      </c>
      <c r="B770" s="5" t="s">
        <v>11</v>
      </c>
      <c r="C770" s="6" t="s">
        <v>48</v>
      </c>
      <c r="F770" s="13" t="str">
        <f ca="1">VLOOKUP(LEFT(A770,IF(ISERROR(FIND(".",A770)),LEN(A770)+1,FIND(".",A770))-1),WorkList!A:C,3,FALSE)</f>
        <v>Trader Runs to Bloomberg</v>
      </c>
      <c r="G770" s="14" t="str">
        <f ca="1">VLOOKUP(CONCATENATE(A770),WorkList!A:C,3,FALSE)</f>
        <v>SaveOpeningRuns: Build app to save runs from email</v>
      </c>
      <c r="H770" s="13" t="str">
        <f ca="1">VLOOKUP(CONCATENATE(A770),WorkList!A:D,4,FALSE)</f>
        <v>Zhuu</v>
      </c>
      <c r="I770" s="15">
        <f ca="1">VLOOKUP(CONCATENATE(A770),WorkList!A:E,5,FALSE)</f>
        <v>40483</v>
      </c>
      <c r="J770" s="49">
        <f ca="1">VLOOKUP(CONCATENATE(A770),WorkList!A:F,6,FALSE)</f>
        <v>2</v>
      </c>
      <c r="K770" s="49" t="str">
        <f ca="1">VLOOKUP(CONCATENATE(A770),WorkList!A:G,7,FALSE)</f>
        <v>NewDevelopment</v>
      </c>
      <c r="L770" s="7" t="s">
        <v>13</v>
      </c>
      <c r="M770" s="16">
        <v>40519</v>
      </c>
      <c r="N770" s="60">
        <f ca="1">VALUE(LEFT(C770))</f>
        <v>0</v>
      </c>
      <c r="O770" s="61">
        <f ca="1">INT(IF(N770&gt;0,1+MAX(N770*N770-(IF(D770="",TODAY()+(5-N770)*15,D770)-TODAY())/4,N770),IF(TODAY()-M770&gt;10,0,1)))</f>
        <v>0</v>
      </c>
      <c r="P770" s="1" t="str">
        <f ca="1">IF(ISNA(VLOOKUP(A770,Projects!B:B,1,FALSE)),"","Yes")</f>
        <v>Yes</v>
      </c>
    </row>
    <row r="771" spans="1:16">
      <c r="A771" s="4" t="s">
        <v>1744</v>
      </c>
      <c r="B771" s="5" t="s">
        <v>11</v>
      </c>
      <c r="C771" s="7" t="s">
        <v>10</v>
      </c>
      <c r="F771" s="13" t="str">
        <f ca="1">VLOOKUP(LEFT(A771,IF(ISERROR(FIND(".",A771)),LEN(A771)+1,FIND(".",A771))-1),WorkList!A:C,3,FALSE)</f>
        <v>Trader Runs to Bloomberg</v>
      </c>
      <c r="G771" s="14" t="str">
        <f ca="1">VLOOKUP(CONCATENATE(A771),WorkList!A:C,3,FALSE)</f>
        <v>Fixes to OpeningRuns App</v>
      </c>
      <c r="H771" s="13" t="str">
        <f ca="1">VLOOKUP(CONCATENATE(A771),WorkList!A:D,4,FALSE)</f>
        <v>Zhuu</v>
      </c>
      <c r="I771" s="15">
        <f ca="1">VLOOKUP(CONCATENATE(A771),WorkList!A:E,5,FALSE)</f>
        <v>40519</v>
      </c>
      <c r="J771" s="49">
        <f ca="1">VLOOKUP(CONCATENATE(A771),WorkList!A:F,6,FALSE)</f>
        <v>1</v>
      </c>
      <c r="K771" s="49" t="str">
        <f ca="1">VLOOKUP(CONCATENATE(A771),WorkList!A:G,7,FALSE)</f>
        <v>Maintenance</v>
      </c>
      <c r="L771" s="7" t="s">
        <v>7</v>
      </c>
      <c r="M771" s="16">
        <v>40246</v>
      </c>
      <c r="N771" s="60">
        <f ca="1">VALUE(LEFT(C771))</f>
        <v>3</v>
      </c>
      <c r="O771" s="61">
        <f ca="1">INT(IF(N771&gt;0,1+MAX(N771*N771-(IF(D771="",TODAY()+(5-N771)*15,D771)-TODAY())/4,N771),IF(TODAY()-M771&gt;10,0,1)))</f>
        <v>4</v>
      </c>
      <c r="P771" s="1" t="str">
        <f ca="1">IF(ISNA(VLOOKUP(A771,Projects!B:B,1,FALSE)),"","Yes")</f>
        <v/>
      </c>
    </row>
    <row r="772" spans="1:16">
      <c r="A772" s="4" t="s">
        <v>1938</v>
      </c>
      <c r="B772" s="5" t="s">
        <v>11</v>
      </c>
      <c r="C772" s="7" t="s">
        <v>684</v>
      </c>
      <c r="F772" s="13" t="str">
        <f ca="1">VLOOKUP(LEFT(A772,IF(ISERROR(FIND(".",A772)),LEN(A772)+1,FIND(".",A772))-1),WorkList!A:C,3,FALSE)</f>
        <v>Trader Runs to Bloomberg</v>
      </c>
      <c r="G772" s="14" t="str">
        <f ca="1">VLOOKUP(CONCATENATE(A772),WorkList!A:C,3,FALSE)</f>
        <v>Opening Runs Code Review</v>
      </c>
      <c r="H772" s="13" t="str">
        <f ca="1">VLOOKUP(CONCATENATE(A772),WorkList!A:D,4,FALSE)</f>
        <v>Neil</v>
      </c>
      <c r="I772" s="15">
        <f ca="1">VLOOKUP(CONCATENATE(A772),WorkList!A:E,5,FALSE)</f>
        <v>40590</v>
      </c>
      <c r="J772" s="49">
        <f ca="1">VLOOKUP(CONCATENATE(A772),WorkList!A:F,6,FALSE)</f>
        <v>1</v>
      </c>
      <c r="K772" s="49" t="str">
        <f ca="1">VLOOKUP(CONCATENATE(A772),WorkList!A:G,7,FALSE)</f>
        <v>NewDevelopment</v>
      </c>
      <c r="L772" s="7" t="s">
        <v>5</v>
      </c>
      <c r="M772" s="16">
        <v>40590</v>
      </c>
      <c r="N772" s="60">
        <f ca="1">VALUE(LEFT(C772))</f>
        <v>5</v>
      </c>
      <c r="O772" s="61">
        <f ca="1">INT(IF(N772&gt;0,1+MAX(N772*N772-(IF(D772="",TODAY()+(5-N772)*15,D772)-TODAY())/4,N772),IF(TODAY()-M772&gt;10,0,1)))</f>
        <v>26</v>
      </c>
      <c r="P772" s="1" t="str">
        <f ca="1">IF(ISNA(VLOOKUP(A772,Projects!B:B,1,FALSE)),"","Yes")</f>
        <v/>
      </c>
    </row>
    <row r="773" spans="1:16">
      <c r="A773" s="4" t="s">
        <v>1661</v>
      </c>
      <c r="B773" s="5" t="s">
        <v>21</v>
      </c>
      <c r="C773" s="7" t="s">
        <v>10</v>
      </c>
      <c r="F773" s="13" t="str">
        <f ca="1">VLOOKUP(LEFT(A773,IF(ISERROR(FIND(".",A773)),LEN(A773)+1,FIND(".",A773))-1),WorkList!A:C,3,FALSE)</f>
        <v>Trader Runs to Bloomberg</v>
      </c>
      <c r="G773" s="14" t="str">
        <f ca="1">VLOOKUP(CONCATENATE(A773),WorkList!A:C,3,FALSE)</f>
        <v>OpeningRunsGUI: Design</v>
      </c>
      <c r="H773" s="13" t="str">
        <f ca="1">VLOOKUP(CONCATENATE(A773),WorkList!A:D,4,FALSE)</f>
        <v>Neil</v>
      </c>
      <c r="I773" s="15">
        <f ca="1">VLOOKUP(CONCATENATE(A773),WorkList!A:E,5,FALSE)</f>
        <v>40483</v>
      </c>
      <c r="J773" s="49">
        <f ca="1">VLOOKUP(CONCATENATE(A773),WorkList!A:F,6,FALSE)</f>
        <v>1</v>
      </c>
      <c r="K773" s="49" t="str">
        <f ca="1">VLOOKUP(CONCATENATE(A773),WorkList!A:G,7,FALSE)</f>
        <v>NewDevelopment</v>
      </c>
      <c r="L773" s="7" t="s">
        <v>7</v>
      </c>
      <c r="M773" s="16">
        <v>40483</v>
      </c>
      <c r="N773" s="60">
        <f ca="1">VALUE(LEFT(C773))</f>
        <v>3</v>
      </c>
      <c r="O773" s="61">
        <f ca="1">INT(IF(N773&gt;0,1+MAX(N773*N773-(IF(D773="",TODAY()+(5-N773)*15,D773)-TODAY())/4,N773),IF(TODAY()-M773&gt;10,0,1)))</f>
        <v>4</v>
      </c>
      <c r="P773" s="1" t="str">
        <f ca="1">IF(ISNA(VLOOKUP(A773,Projects!B:B,1,FALSE)),"","Yes")</f>
        <v/>
      </c>
    </row>
    <row r="774" spans="1:16">
      <c r="A774" s="4" t="s">
        <v>1663</v>
      </c>
      <c r="B774" s="5" t="s">
        <v>21</v>
      </c>
      <c r="C774" s="7" t="s">
        <v>10</v>
      </c>
      <c r="F774" s="13" t="str">
        <f ca="1">VLOOKUP(LEFT(A774,IF(ISERROR(FIND(".",A774)),LEN(A774)+1,FIND(".",A774))-1),WorkList!A:C,3,FALSE)</f>
        <v>Trader Runs to Bloomberg</v>
      </c>
      <c r="G774" s="14" t="str">
        <f ca="1">VLOOKUP(CONCATENATE(A774),WorkList!A:C,3,FALSE)</f>
        <v>OpeningRunsGUI: Implement</v>
      </c>
      <c r="H774" s="13" t="str">
        <f ca="1">VLOOKUP(CONCATENATE(A774),WorkList!A:D,4,FALSE)</f>
        <v>Neil</v>
      </c>
      <c r="I774" s="15">
        <f ca="1">VLOOKUP(CONCATENATE(A774),WorkList!A:E,5,FALSE)</f>
        <v>40483</v>
      </c>
      <c r="J774" s="49">
        <f ca="1">VLOOKUP(CONCATENATE(A774),WorkList!A:F,6,FALSE)</f>
        <v>5</v>
      </c>
      <c r="K774" s="49" t="str">
        <f ca="1">VLOOKUP(CONCATENATE(A774),WorkList!A:G,7,FALSE)</f>
        <v>NewDevelopment</v>
      </c>
      <c r="L774" s="7" t="s">
        <v>7</v>
      </c>
      <c r="M774" s="16">
        <v>40483</v>
      </c>
      <c r="N774" s="60">
        <f ca="1">VALUE(LEFT(C774))</f>
        <v>3</v>
      </c>
      <c r="O774" s="61">
        <f ca="1">INT(IF(N774&gt;0,1+MAX(N774*N774-(IF(D774="",TODAY()+(5-N774)*15,D774)-TODAY())/4,N774),IF(TODAY()-M774&gt;10,0,1)))</f>
        <v>4</v>
      </c>
      <c r="P774" s="1" t="str">
        <f ca="1">IF(ISNA(VLOOKUP(A774,Projects!B:B,1,FALSE)),"","Yes")</f>
        <v/>
      </c>
    </row>
    <row r="775" spans="1:16">
      <c r="A775" s="4" t="s">
        <v>1614</v>
      </c>
      <c r="B775" s="5" t="s">
        <v>11</v>
      </c>
      <c r="C775" s="6" t="s">
        <v>48</v>
      </c>
      <c r="F775" s="13" t="str">
        <f ca="1">VLOOKUP(LEFT(A775,IF(ISERROR(FIND(".",A775)),LEN(A775)+1,FIND(".",A775))-1),WorkList!A:C,3,FALSE)</f>
        <v>Daily Book Marking for MIS (AVR)</v>
      </c>
      <c r="G775" s="14" t="str">
        <f ca="1">VLOOKUP(CONCATENATE(A775),WorkList!A:C,3,FALSE)</f>
        <v>AVR: Gather requirements</v>
      </c>
      <c r="H775" s="13" t="str">
        <f ca="1">VLOOKUP(CONCATENATE(A775),WorkList!A:D,4,FALSE)</f>
        <v>Zhuu</v>
      </c>
      <c r="I775" s="15">
        <f ca="1">VLOOKUP(CONCATENATE(A775),WorkList!A:E,5,FALSE)</f>
        <v>40483</v>
      </c>
      <c r="J775" s="49">
        <f ca="1">VLOOKUP(CONCATENATE(A775),WorkList!A:F,6,FALSE)</f>
        <v>3</v>
      </c>
      <c r="K775" s="49" t="str">
        <f ca="1">VLOOKUP(CONCATENATE(A775),WorkList!A:G,7,FALSE)</f>
        <v>NewDevelopment</v>
      </c>
      <c r="L775" s="7" t="s">
        <v>13</v>
      </c>
      <c r="M775" s="16">
        <v>40567</v>
      </c>
      <c r="N775" s="60">
        <f ca="1">VALUE(LEFT(C775))</f>
        <v>0</v>
      </c>
      <c r="O775" s="61">
        <f ca="1">INT(IF(N775&gt;0,1+MAX(N775*N775-(IF(D775="",TODAY()+(5-N775)*15,D775)-TODAY())/4,N775),IF(TODAY()-M775&gt;10,0,1)))</f>
        <v>0</v>
      </c>
      <c r="P775" s="1" t="str">
        <f ca="1">IF(ISNA(VLOOKUP(A775,Projects!B:B,1,FALSE)),"","Yes")</f>
        <v>Yes</v>
      </c>
    </row>
    <row r="776" spans="1:16">
      <c r="A776" s="4" t="s">
        <v>1654</v>
      </c>
      <c r="B776" s="5" t="s">
        <v>11</v>
      </c>
      <c r="C776" s="6" t="s">
        <v>48</v>
      </c>
      <c r="F776" s="13" t="str">
        <f ca="1">VLOOKUP(LEFT(A776,IF(ISERROR(FIND(".",A776)),LEN(A776)+1,FIND(".",A776))-1),WorkList!A:C,3,FALSE)</f>
        <v>Daily Book Marking for MIS (AVR)</v>
      </c>
      <c r="G776" s="14" t="str">
        <f ca="1">VLOOKUP(CONCATENATE(A776),WorkList!A:C,3,FALSE)</f>
        <v>AVR: Design application</v>
      </c>
      <c r="H776" s="13" t="str">
        <f ca="1">VLOOKUP(CONCATENATE(A776),WorkList!A:D,4,FALSE)</f>
        <v>Neil</v>
      </c>
      <c r="I776" s="15">
        <f ca="1">VLOOKUP(CONCATENATE(A776),WorkList!A:E,5,FALSE)</f>
        <v>40483</v>
      </c>
      <c r="J776" s="49">
        <f ca="1">VLOOKUP(CONCATENATE(A776),WorkList!A:F,6,FALSE)</f>
        <v>2</v>
      </c>
      <c r="K776" s="49" t="str">
        <f ca="1">VLOOKUP(CONCATENATE(A776),WorkList!A:G,7,FALSE)</f>
        <v>NewDevelopment</v>
      </c>
      <c r="L776" s="7" t="s">
        <v>13</v>
      </c>
      <c r="M776" s="16">
        <v>40567</v>
      </c>
      <c r="N776" s="60">
        <f ca="1">VALUE(LEFT(C776))</f>
        <v>0</v>
      </c>
      <c r="O776" s="61">
        <f ca="1">INT(IF(N776&gt;0,1+MAX(N776*N776-(IF(D776="",TODAY()+(5-N776)*15,D776)-TODAY())/4,N776),IF(TODAY()-M776&gt;10,0,1)))</f>
        <v>0</v>
      </c>
      <c r="P776" s="1" t="str">
        <f ca="1">IF(ISNA(VLOOKUP(A776,Projects!B:B,1,FALSE)),"","Yes")</f>
        <v>Yes</v>
      </c>
    </row>
    <row r="777" spans="1:16">
      <c r="A777" s="4" t="s">
        <v>1842</v>
      </c>
      <c r="B777" s="5" t="s">
        <v>11</v>
      </c>
      <c r="C777" s="7" t="s">
        <v>48</v>
      </c>
      <c r="E777" s="12">
        <v>1</v>
      </c>
      <c r="F777" s="13" t="str">
        <f ca="1">VLOOKUP(LEFT(A777,IF(ISERROR(FIND(".",A777)),LEN(A777)+1,FIND(".",A777))-1),WorkList!A:C,3,FALSE)</f>
        <v>Daily Book Marking for MIS (AVR)</v>
      </c>
      <c r="G777" s="14" t="str">
        <f ca="1">VLOOKUP(CONCATENATE(A777),WorkList!A:C,3,FALSE)</f>
        <v>AVR: Code Review</v>
      </c>
      <c r="H777" s="13" t="str">
        <f ca="1">VLOOKUP(CONCATENATE(A777),WorkList!A:D,4,FALSE)</f>
        <v>Neil</v>
      </c>
      <c r="I777" s="15">
        <f ca="1">VLOOKUP(CONCATENATE(A777),WorkList!A:E,5,FALSE)</f>
        <v>40563</v>
      </c>
      <c r="J777" s="49">
        <f ca="1">VLOOKUP(CONCATENATE(A777),WorkList!A:F,6,FALSE)</f>
        <v>2</v>
      </c>
      <c r="K777" s="49" t="str">
        <f ca="1">VLOOKUP(CONCATENATE(A777),WorkList!A:G,7,FALSE)</f>
        <v>NewDevelopment</v>
      </c>
      <c r="L777" s="7" t="s">
        <v>13</v>
      </c>
      <c r="M777" s="16">
        <v>40589</v>
      </c>
      <c r="N777" s="60">
        <f ca="1">VALUE(LEFT(C777))</f>
        <v>0</v>
      </c>
      <c r="O777" s="61">
        <f ca="1">INT(IF(N777&gt;0,1+MAX(N777*N777-(IF(D777="",TODAY()+(5-N777)*15,D777)-TODAY())/4,N777),IF(TODAY()-M777&gt;10,0,1)))</f>
        <v>1</v>
      </c>
      <c r="P777" s="1" t="str">
        <f ca="1">IF(ISNA(VLOOKUP(A777,Projects!B:B,1,FALSE)),"","Yes")</f>
        <v>Yes</v>
      </c>
    </row>
    <row r="778" spans="1:16">
      <c r="A778" s="4" t="s">
        <v>1845</v>
      </c>
      <c r="B778" s="5" t="s">
        <v>11</v>
      </c>
      <c r="C778" s="7" t="s">
        <v>48</v>
      </c>
      <c r="F778" s="13" t="str">
        <f ca="1">VLOOKUP(LEFT(A778,IF(ISERROR(FIND(".",A778)),LEN(A778)+1,FIND(".",A778))-1),WorkList!A:C,3,FALSE)</f>
        <v>Daily Book Marking for MIS (AVR)</v>
      </c>
      <c r="G778" s="14" t="str">
        <f ca="1">VLOOKUP(CONCATENATE(A778),WorkList!A:C,3,FALSE)</f>
        <v>AVR: User Testing</v>
      </c>
      <c r="H778" s="13" t="str">
        <f ca="1">VLOOKUP(CONCATENATE(A778),WorkList!A:D,4,FALSE)</f>
        <v>Neil</v>
      </c>
      <c r="I778" s="15">
        <f ca="1">VLOOKUP(CONCATENATE(A778),WorkList!A:E,5,FALSE)</f>
        <v>40563</v>
      </c>
      <c r="J778" s="49">
        <f ca="1">VLOOKUP(CONCATENATE(A778),WorkList!A:F,6,FALSE)</f>
        <v>2</v>
      </c>
      <c r="K778" s="49" t="str">
        <f ca="1">VLOOKUP(CONCATENATE(A778),WorkList!A:G,7,FALSE)</f>
        <v>NewDevelopment</v>
      </c>
      <c r="L778" s="7" t="s">
        <v>13</v>
      </c>
      <c r="M778" s="16">
        <v>40589</v>
      </c>
      <c r="N778" s="60">
        <f ca="1">VALUE(LEFT(C778))</f>
        <v>0</v>
      </c>
      <c r="O778" s="61">
        <f ca="1">INT(IF(N778&gt;0,1+MAX(N778*N778-(IF(D778="",TODAY()+(5-N778)*15,D778)-TODAY())/4,N778),IF(TODAY()-M778&gt;10,0,1)))</f>
        <v>1</v>
      </c>
      <c r="P778" s="1" t="str">
        <f ca="1">IF(ISNA(VLOOKUP(A778,Projects!B:B,1,FALSE)),"","Yes")</f>
        <v/>
      </c>
    </row>
    <row r="779" spans="1:16">
      <c r="A779" s="4" t="s">
        <v>1905</v>
      </c>
      <c r="B779" s="5" t="s">
        <v>11</v>
      </c>
      <c r="C779" s="7" t="s">
        <v>48</v>
      </c>
      <c r="F779" s="13" t="str">
        <f ca="1">VLOOKUP(LEFT(A779,IF(ISERROR(FIND(".",A779)),LEN(A779)+1,FIND(".",A779))-1),WorkList!A:C,3,FALSE)</f>
        <v>Daily Book Marking for MIS (AVR)</v>
      </c>
      <c r="G779" s="14" t="str">
        <f ca="1">VLOOKUP(CONCATENATE(A779),WorkList!A:C,3,FALSE)</f>
        <v>AVR: Release</v>
      </c>
      <c r="H779" s="13" t="str">
        <f ca="1">VLOOKUP(CONCATENATE(A779),WorkList!A:D,4,FALSE)</f>
        <v>Neil</v>
      </c>
      <c r="I779" s="15">
        <f ca="1">VLOOKUP(CONCATENATE(A779),WorkList!A:E,5,FALSE)</f>
        <v>40589</v>
      </c>
      <c r="J779" s="49">
        <f ca="1">VLOOKUP(CONCATENATE(A779),WorkList!A:F,6,FALSE)</f>
        <v>1</v>
      </c>
      <c r="K779" s="49" t="str">
        <f ca="1">VLOOKUP(CONCATENATE(A779),WorkList!A:G,7,FALSE)</f>
        <v>NewDevelopment</v>
      </c>
      <c r="L779" s="7" t="s">
        <v>13</v>
      </c>
      <c r="M779" s="16">
        <v>40589</v>
      </c>
      <c r="N779" s="60">
        <f ca="1">VALUE(LEFT(C779))</f>
        <v>0</v>
      </c>
      <c r="O779" s="61">
        <f ca="1">INT(IF(N779&gt;0,1+MAX(N779*N779-(IF(D779="",TODAY()+(5-N779)*15,D779)-TODAY())/4,N779),IF(TODAY()-M779&gt;10,0,1)))</f>
        <v>1</v>
      </c>
      <c r="P779" s="1" t="str">
        <f ca="1">IF(ISNA(VLOOKUP(A779,Projects!B:B,1,FALSE)),"","Yes")</f>
        <v/>
      </c>
    </row>
    <row r="780" spans="1:16">
      <c r="A780" s="4" t="s">
        <v>1632</v>
      </c>
      <c r="B780" s="5" t="s">
        <v>21</v>
      </c>
      <c r="C780" s="7" t="s">
        <v>10</v>
      </c>
      <c r="F780" s="13" t="str">
        <f ca="1">VLOOKUP(LEFT(A780,IF(ISERROR(FIND(".",A780)),LEN(A780)+1,FIND(".",A780))-1),WorkList!A:C,3,FALSE)</f>
        <v>Daily Book Marking for MIS (AVR)</v>
      </c>
      <c r="G780" s="14" t="str">
        <f ca="1">VLOOKUP(CONCATENATE(A780),WorkList!A:C,3,FALSE)</f>
        <v>Gather requirements</v>
      </c>
      <c r="H780" s="13" t="str">
        <f ca="1">VLOOKUP(CONCATENATE(A780),WorkList!A:D,4,FALSE)</f>
        <v>Zhuu</v>
      </c>
      <c r="I780" s="15">
        <f ca="1">VLOOKUP(CONCATENATE(A780),WorkList!A:E,5,FALSE)</f>
        <v>40477</v>
      </c>
      <c r="J780" s="49">
        <f ca="1">VLOOKUP(CONCATENATE(A780),WorkList!A:F,6,FALSE)</f>
        <v>2</v>
      </c>
      <c r="K780" s="49" t="str">
        <f ca="1">VLOOKUP(CONCATENATE(A780),WorkList!A:G,7,FALSE)</f>
        <v>NewDevelopment</v>
      </c>
      <c r="L780" s="7" t="s">
        <v>7</v>
      </c>
      <c r="M780" s="16">
        <v>40477</v>
      </c>
      <c r="N780" s="60">
        <f ca="1">VALUE(LEFT(C780))</f>
        <v>3</v>
      </c>
      <c r="O780" s="61">
        <f ca="1">INT(IF(N780&gt;0,1+MAX(N780*N780-(IF(D780="",TODAY()+(5-N780)*15,D780)-TODAY())/4,N780),IF(TODAY()-M780&gt;10,0,1)))</f>
        <v>4</v>
      </c>
      <c r="P780" s="1" t="str">
        <f ca="1">IF(ISNA(VLOOKUP(A780,Projects!B:B,1,FALSE)),"","Yes")</f>
        <v/>
      </c>
    </row>
    <row r="781" spans="1:16">
      <c r="A781" s="4" t="s">
        <v>1740</v>
      </c>
      <c r="B781" s="5" t="s">
        <v>11</v>
      </c>
      <c r="C781" s="6" t="s">
        <v>48</v>
      </c>
      <c r="F781" s="13" t="str">
        <f ca="1">VLOOKUP(LEFT(A781,IF(ISERROR(FIND(".",A781)),LEN(A781)+1,FIND(".",A781))-1),WorkList!A:C,3,FALSE)</f>
        <v>Mid/Back office data source</v>
      </c>
      <c r="G781" s="14" t="str">
        <f ca="1">VLOOKUP(CONCATENATE(A781),WorkList!A:C,3,FALSE)</f>
        <v>Define approach</v>
      </c>
      <c r="H781" s="13" t="str">
        <f ca="1">VLOOKUP(CONCATENATE(A781),WorkList!A:D,4,FALSE)</f>
        <v>David</v>
      </c>
      <c r="I781" s="15">
        <f ca="1">VLOOKUP(CONCATENATE(A781),WorkList!A:E,5,FALSE)</f>
        <v>40519</v>
      </c>
      <c r="J781" s="49">
        <f ca="1">VLOOKUP(CONCATENATE(A781),WorkList!A:F,6,FALSE)</f>
        <v>1</v>
      </c>
      <c r="K781" s="49" t="str">
        <f ca="1">VLOOKUP(CONCATENATE(A781),WorkList!A:G,7,FALSE)</f>
        <v>Other</v>
      </c>
      <c r="L781" s="7" t="s">
        <v>13</v>
      </c>
      <c r="M781" s="16">
        <v>40246</v>
      </c>
      <c r="N781" s="60">
        <f ca="1">VALUE(LEFT(C781))</f>
        <v>0</v>
      </c>
      <c r="O781" s="61">
        <f ca="1">INT(IF(N781&gt;0,1+MAX(N781*N781-(IF(D781="",TODAY()+(5-N781)*15,D781)-TODAY())/4,N781),IF(TODAY()-M781&gt;10,0,1)))</f>
        <v>0</v>
      </c>
      <c r="P781" s="1" t="str">
        <f ca="1">IF(ISNA(VLOOKUP(A781,Projects!B:B,1,FALSE)),"","Yes")</f>
        <v/>
      </c>
    </row>
    <row r="782" spans="1:16">
      <c r="A782" s="4" t="s">
        <v>1742</v>
      </c>
      <c r="B782" s="5" t="s">
        <v>11</v>
      </c>
      <c r="C782" s="7" t="s">
        <v>10</v>
      </c>
      <c r="F782" s="13" t="str">
        <f ca="1">VLOOKUP(LEFT(A782,IF(ISERROR(FIND(".",A782)),LEN(A782)+1,FIND(".",A782))-1),WorkList!A:C,3,FALSE)</f>
        <v>Mid/Back office data source</v>
      </c>
      <c r="G782" s="14" t="str">
        <f ca="1">VLOOKUP(CONCATENATE(A782),WorkList!A:C,3,FALSE)</f>
        <v>Produce detailed plan</v>
      </c>
      <c r="H782" s="13" t="str">
        <f ca="1">VLOOKUP(CONCATENATE(A782),WorkList!A:D,4,FALSE)</f>
        <v>David</v>
      </c>
      <c r="I782" s="15">
        <f ca="1">VLOOKUP(CONCATENATE(A782),WorkList!A:E,5,FALSE)</f>
        <v>40519</v>
      </c>
      <c r="J782" s="49">
        <f ca="1">VLOOKUP(CONCATENATE(A782),WorkList!A:F,6,FALSE)</f>
        <v>2</v>
      </c>
      <c r="K782" s="49" t="str">
        <f ca="1">VLOOKUP(CONCATENATE(A782),WorkList!A:G,7,FALSE)</f>
        <v>Other</v>
      </c>
      <c r="L782" s="7" t="s">
        <v>7</v>
      </c>
      <c r="M782" s="16">
        <v>40246</v>
      </c>
      <c r="N782" s="60">
        <f ca="1">VALUE(LEFT(C782))</f>
        <v>3</v>
      </c>
      <c r="O782" s="61">
        <f ca="1">INT(IF(N782&gt;0,1+MAX(N782*N782-(IF(D782="",TODAY()+(5-N782)*15,D782)-TODAY())/4,N782),IF(TODAY()-M782&gt;10,0,1)))</f>
        <v>4</v>
      </c>
      <c r="P782" s="1" t="str">
        <f ca="1">IF(ISNA(VLOOKUP(A782,Projects!B:B,1,FALSE)),"","Yes")</f>
        <v/>
      </c>
    </row>
  </sheetData>
  <autoFilter ref="A1:P779">
    <filterColumn colId="1"/>
    <filterColumn colId="2"/>
    <filterColumn colId="6"/>
    <filterColumn colId="7"/>
    <filterColumn colId="11"/>
    <filterColumn colId="12"/>
    <sortState ref="A68:P769">
      <sortCondition descending="1" ref="F1:F770"/>
    </sortState>
  </autoFilter>
  <sortState ref="A2:P782">
    <sortCondition ref="A2"/>
  </sortState>
  <phoneticPr fontId="1" type="noConversion"/>
  <conditionalFormatting sqref="K424:K503 F2:K371 K469:P469 F373:K476 F478:K590 F593:K762 G765:K1048576 F765:F772 F774:F1048576 F780:K782">
    <cfRule type="expression" dxfId="262" priority="174">
      <formula>OR($L2="Closed",$L2="Cancelled")</formula>
    </cfRule>
  </conditionalFormatting>
  <conditionalFormatting sqref="F400:K400">
    <cfRule type="expression" dxfId="261" priority="173">
      <formula>$L400="Closed"</formula>
    </cfRule>
  </conditionalFormatting>
  <conditionalFormatting sqref="F401:K401">
    <cfRule type="expression" dxfId="260" priority="172">
      <formula>$L401="Closed"</formula>
    </cfRule>
  </conditionalFormatting>
  <conditionalFormatting sqref="F402:K402">
    <cfRule type="expression" dxfId="259" priority="171">
      <formula>$L402="Closed"</formula>
    </cfRule>
  </conditionalFormatting>
  <conditionalFormatting sqref="F403:K403">
    <cfRule type="expression" dxfId="258" priority="170">
      <formula>$L403="Closed"</formula>
    </cfRule>
  </conditionalFormatting>
  <conditionalFormatting sqref="F404:K404">
    <cfRule type="expression" dxfId="257" priority="169">
      <formula>$L404="Closed"</formula>
    </cfRule>
  </conditionalFormatting>
  <conditionalFormatting sqref="F405:K405">
    <cfRule type="expression" dxfId="256" priority="168">
      <formula>$L405="Closed"</formula>
    </cfRule>
  </conditionalFormatting>
  <conditionalFormatting sqref="F405:K405">
    <cfRule type="expression" dxfId="255" priority="167">
      <formula>$L405="Closed"</formula>
    </cfRule>
  </conditionalFormatting>
  <conditionalFormatting sqref="F406:K423">
    <cfRule type="expression" dxfId="254" priority="166">
      <formula>$L406="Closed"</formula>
    </cfRule>
  </conditionalFormatting>
  <conditionalFormatting sqref="F406:K423">
    <cfRule type="expression" dxfId="253" priority="165">
      <formula>$L406="Closed"</formula>
    </cfRule>
  </conditionalFormatting>
  <conditionalFormatting sqref="F424:K424">
    <cfRule type="expression" dxfId="252" priority="160">
      <formula>$L424="Closed"</formula>
    </cfRule>
  </conditionalFormatting>
  <conditionalFormatting sqref="F424:K424">
    <cfRule type="expression" dxfId="251" priority="159">
      <formula>$L424="Closed"</formula>
    </cfRule>
  </conditionalFormatting>
  <conditionalFormatting sqref="F425:K425">
    <cfRule type="expression" dxfId="250" priority="158">
      <formula>$L425="Closed"</formula>
    </cfRule>
  </conditionalFormatting>
  <conditionalFormatting sqref="F425:K425">
    <cfRule type="expression" dxfId="249" priority="157">
      <formula>$L425="Closed"</formula>
    </cfRule>
  </conditionalFormatting>
  <conditionalFormatting sqref="F426:K426">
    <cfRule type="expression" dxfId="248" priority="156">
      <formula>$L426="Closed"</formula>
    </cfRule>
  </conditionalFormatting>
  <conditionalFormatting sqref="F426:K426">
    <cfRule type="expression" dxfId="247" priority="155">
      <formula>$L426="Closed"</formula>
    </cfRule>
  </conditionalFormatting>
  <conditionalFormatting sqref="F427:K427">
    <cfRule type="expression" dxfId="246" priority="154">
      <formula>$L427="Closed"</formula>
    </cfRule>
  </conditionalFormatting>
  <conditionalFormatting sqref="F427:K427">
    <cfRule type="expression" dxfId="245" priority="153">
      <formula>$L427="Closed"</formula>
    </cfRule>
  </conditionalFormatting>
  <conditionalFormatting sqref="F428:K428">
    <cfRule type="expression" dxfId="244" priority="152">
      <formula>$L428="Closed"</formula>
    </cfRule>
  </conditionalFormatting>
  <conditionalFormatting sqref="F428:K428">
    <cfRule type="expression" dxfId="243" priority="151">
      <formula>$L428="Closed"</formula>
    </cfRule>
  </conditionalFormatting>
  <conditionalFormatting sqref="F429:K429">
    <cfRule type="expression" dxfId="242" priority="150">
      <formula>$L429="Closed"</formula>
    </cfRule>
  </conditionalFormatting>
  <conditionalFormatting sqref="F429:K429">
    <cfRule type="expression" dxfId="241" priority="149">
      <formula>$L429="Closed"</formula>
    </cfRule>
  </conditionalFormatting>
  <conditionalFormatting sqref="F430:K430">
    <cfRule type="expression" dxfId="240" priority="148">
      <formula>$L430="Closed"</formula>
    </cfRule>
  </conditionalFormatting>
  <conditionalFormatting sqref="F430:K430">
    <cfRule type="expression" dxfId="239" priority="147">
      <formula>$L430="Closed"</formula>
    </cfRule>
  </conditionalFormatting>
  <conditionalFormatting sqref="F431:K431">
    <cfRule type="expression" dxfId="238" priority="146">
      <formula>$L431="Closed"</formula>
    </cfRule>
  </conditionalFormatting>
  <conditionalFormatting sqref="F431:K431">
    <cfRule type="expression" dxfId="237" priority="145">
      <formula>$L431="Closed"</formula>
    </cfRule>
  </conditionalFormatting>
  <conditionalFormatting sqref="F432:K432">
    <cfRule type="expression" dxfId="236" priority="144">
      <formula>$L432="Closed"</formula>
    </cfRule>
  </conditionalFormatting>
  <conditionalFormatting sqref="F432:K432">
    <cfRule type="expression" dxfId="235" priority="143">
      <formula>$L432="Closed"</formula>
    </cfRule>
  </conditionalFormatting>
  <conditionalFormatting sqref="F433:K433">
    <cfRule type="expression" dxfId="234" priority="142">
      <formula>$L433="Closed"</formula>
    </cfRule>
  </conditionalFormatting>
  <conditionalFormatting sqref="F433:K433">
    <cfRule type="expression" dxfId="233" priority="141">
      <formula>$L433="Closed"</formula>
    </cfRule>
  </conditionalFormatting>
  <conditionalFormatting sqref="F434:K434">
    <cfRule type="expression" dxfId="232" priority="140">
      <formula>$L434="Closed"</formula>
    </cfRule>
  </conditionalFormatting>
  <conditionalFormatting sqref="F434:K434">
    <cfRule type="expression" dxfId="231" priority="139">
      <formula>$L434="Closed"</formula>
    </cfRule>
  </conditionalFormatting>
  <conditionalFormatting sqref="F435:K435">
    <cfRule type="expression" dxfId="230" priority="138">
      <formula>$L435="Closed"</formula>
    </cfRule>
  </conditionalFormatting>
  <conditionalFormatting sqref="F435:K435">
    <cfRule type="expression" dxfId="229" priority="137">
      <formula>$L435="Closed"</formula>
    </cfRule>
  </conditionalFormatting>
  <conditionalFormatting sqref="F436:K436">
    <cfRule type="expression" dxfId="228" priority="136">
      <formula>$L436="Closed"</formula>
    </cfRule>
  </conditionalFormatting>
  <conditionalFormatting sqref="F436:K436">
    <cfRule type="expression" dxfId="227" priority="135">
      <formula>$L436="Closed"</formula>
    </cfRule>
  </conditionalFormatting>
  <conditionalFormatting sqref="F437:K438">
    <cfRule type="expression" dxfId="226" priority="134">
      <formula>$L437="Closed"</formula>
    </cfRule>
  </conditionalFormatting>
  <conditionalFormatting sqref="F437:K438">
    <cfRule type="expression" dxfId="225" priority="133">
      <formula>$L437="Closed"</formula>
    </cfRule>
  </conditionalFormatting>
  <conditionalFormatting sqref="F439:K439">
    <cfRule type="expression" dxfId="224" priority="132">
      <formula>$L439="Closed"</formula>
    </cfRule>
  </conditionalFormatting>
  <conditionalFormatting sqref="F439:K439">
    <cfRule type="expression" dxfId="223" priority="131">
      <formula>$L439="Closed"</formula>
    </cfRule>
  </conditionalFormatting>
  <conditionalFormatting sqref="F440:K440">
    <cfRule type="expression" dxfId="222" priority="130">
      <formula>$L440="Closed"</formula>
    </cfRule>
  </conditionalFormatting>
  <conditionalFormatting sqref="F440:K440">
    <cfRule type="expression" dxfId="221" priority="129">
      <formula>$L440="Closed"</formula>
    </cfRule>
  </conditionalFormatting>
  <conditionalFormatting sqref="F441:K442">
    <cfRule type="expression" dxfId="220" priority="128">
      <formula>$L441="Closed"</formula>
    </cfRule>
  </conditionalFormatting>
  <conditionalFormatting sqref="F441:K442">
    <cfRule type="expression" dxfId="219" priority="127">
      <formula>$L441="Closed"</formula>
    </cfRule>
  </conditionalFormatting>
  <conditionalFormatting sqref="F444:K444">
    <cfRule type="expression" dxfId="218" priority="126">
      <formula>$L444="Closed"</formula>
    </cfRule>
  </conditionalFormatting>
  <conditionalFormatting sqref="F444:K444">
    <cfRule type="expression" dxfId="217" priority="125">
      <formula>$L444="Closed"</formula>
    </cfRule>
  </conditionalFormatting>
  <conditionalFormatting sqref="F443:K443">
    <cfRule type="expression" dxfId="216" priority="124">
      <formula>$L443="Closed"</formula>
    </cfRule>
  </conditionalFormatting>
  <conditionalFormatting sqref="F443:K443">
    <cfRule type="expression" dxfId="215" priority="123">
      <formula>$L443="Closed"</formula>
    </cfRule>
  </conditionalFormatting>
  <conditionalFormatting sqref="F445:K445">
    <cfRule type="expression" dxfId="214" priority="122">
      <formula>$L445="Closed"</formula>
    </cfRule>
  </conditionalFormatting>
  <conditionalFormatting sqref="F445:K445">
    <cfRule type="expression" dxfId="213" priority="121">
      <formula>$L445="Closed"</formula>
    </cfRule>
  </conditionalFormatting>
  <conditionalFormatting sqref="F446:K446">
    <cfRule type="expression" dxfId="212" priority="120">
      <formula>$L446="Closed"</formula>
    </cfRule>
  </conditionalFormatting>
  <conditionalFormatting sqref="F446:K446">
    <cfRule type="expression" dxfId="211" priority="119">
      <formula>$L446="Closed"</formula>
    </cfRule>
  </conditionalFormatting>
  <conditionalFormatting sqref="F447:K447">
    <cfRule type="expression" dxfId="210" priority="118">
      <formula>$L447="Closed"</formula>
    </cfRule>
  </conditionalFormatting>
  <conditionalFormatting sqref="F447:K447">
    <cfRule type="expression" dxfId="209" priority="117">
      <formula>$L447="Closed"</formula>
    </cfRule>
  </conditionalFormatting>
  <conditionalFormatting sqref="F448:K452">
    <cfRule type="expression" dxfId="208" priority="116">
      <formula>$L448="Closed"</formula>
    </cfRule>
  </conditionalFormatting>
  <conditionalFormatting sqref="F448:K452">
    <cfRule type="expression" dxfId="207" priority="115">
      <formula>$L448="Closed"</formula>
    </cfRule>
  </conditionalFormatting>
  <conditionalFormatting sqref="F453:K453">
    <cfRule type="expression" dxfId="206" priority="114">
      <formula>$L453="Closed"</formula>
    </cfRule>
  </conditionalFormatting>
  <conditionalFormatting sqref="F453:K453">
    <cfRule type="expression" dxfId="205" priority="113">
      <formula>$L453="Closed"</formula>
    </cfRule>
  </conditionalFormatting>
  <conditionalFormatting sqref="F454:K454">
    <cfRule type="expression" dxfId="204" priority="112">
      <formula>$L454="Closed"</formula>
    </cfRule>
  </conditionalFormatting>
  <conditionalFormatting sqref="F454:K454">
    <cfRule type="expression" dxfId="203" priority="111">
      <formula>$L454="Closed"</formula>
    </cfRule>
  </conditionalFormatting>
  <conditionalFormatting sqref="F455:K455">
    <cfRule type="expression" dxfId="202" priority="110">
      <formula>$L455="Closed"</formula>
    </cfRule>
  </conditionalFormatting>
  <conditionalFormatting sqref="F455:K455">
    <cfRule type="expression" dxfId="201" priority="109">
      <formula>$L455="Closed"</formula>
    </cfRule>
  </conditionalFormatting>
  <conditionalFormatting sqref="F456:K456">
    <cfRule type="expression" dxfId="200" priority="108">
      <formula>$L456="Closed"</formula>
    </cfRule>
  </conditionalFormatting>
  <conditionalFormatting sqref="F456:K456">
    <cfRule type="expression" dxfId="199" priority="107">
      <formula>$L456="Closed"</formula>
    </cfRule>
  </conditionalFormatting>
  <conditionalFormatting sqref="F457:K457">
    <cfRule type="expression" dxfId="198" priority="106">
      <formula>$L457="Closed"</formula>
    </cfRule>
  </conditionalFormatting>
  <conditionalFormatting sqref="F457:K457">
    <cfRule type="expression" dxfId="197" priority="105">
      <formula>$L457="Closed"</formula>
    </cfRule>
  </conditionalFormatting>
  <conditionalFormatting sqref="F458:K459">
    <cfRule type="expression" dxfId="196" priority="104">
      <formula>$L458="Closed"</formula>
    </cfRule>
  </conditionalFormatting>
  <conditionalFormatting sqref="F458:K459">
    <cfRule type="expression" dxfId="195" priority="103">
      <formula>$L458="Closed"</formula>
    </cfRule>
  </conditionalFormatting>
  <conditionalFormatting sqref="F460:K464">
    <cfRule type="expression" dxfId="194" priority="102">
      <formula>$L460="Closed"</formula>
    </cfRule>
  </conditionalFormatting>
  <conditionalFormatting sqref="F460:K464">
    <cfRule type="expression" dxfId="193" priority="101">
      <formula>$L460="Closed"</formula>
    </cfRule>
  </conditionalFormatting>
  <conditionalFormatting sqref="F465:K465">
    <cfRule type="expression" dxfId="192" priority="100">
      <formula>$L465="Closed"</formula>
    </cfRule>
  </conditionalFormatting>
  <conditionalFormatting sqref="F465:K465">
    <cfRule type="expression" dxfId="191" priority="99">
      <formula>$L465="Closed"</formula>
    </cfRule>
  </conditionalFormatting>
  <conditionalFormatting sqref="F466:K466">
    <cfRule type="expression" dxfId="190" priority="98">
      <formula>$L466="Closed"</formula>
    </cfRule>
  </conditionalFormatting>
  <conditionalFormatting sqref="F466:K466">
    <cfRule type="expression" dxfId="189" priority="97">
      <formula>$L466="Closed"</formula>
    </cfRule>
  </conditionalFormatting>
  <conditionalFormatting sqref="F467:K467">
    <cfRule type="expression" dxfId="188" priority="96">
      <formula>$L467="Closed"</formula>
    </cfRule>
  </conditionalFormatting>
  <conditionalFormatting sqref="F467:K467">
    <cfRule type="expression" dxfId="187" priority="95">
      <formula>$L467="Closed"</formula>
    </cfRule>
  </conditionalFormatting>
  <conditionalFormatting sqref="F467:K467">
    <cfRule type="expression" dxfId="186" priority="94">
      <formula>$L467="Closed"</formula>
    </cfRule>
  </conditionalFormatting>
  <conditionalFormatting sqref="F467:K467">
    <cfRule type="expression" dxfId="185" priority="93">
      <formula>$L467="Closed"</formula>
    </cfRule>
  </conditionalFormatting>
  <conditionalFormatting sqref="F468:K468">
    <cfRule type="expression" dxfId="184" priority="92">
      <formula>$L468="Closed"</formula>
    </cfRule>
  </conditionalFormatting>
  <conditionalFormatting sqref="F468:K468">
    <cfRule type="expression" dxfId="183" priority="91">
      <formula>$L468="Closed"</formula>
    </cfRule>
  </conditionalFormatting>
  <conditionalFormatting sqref="F468:K468">
    <cfRule type="expression" dxfId="182" priority="90">
      <formula>$L468="Closed"</formula>
    </cfRule>
  </conditionalFormatting>
  <conditionalFormatting sqref="F468:K468">
    <cfRule type="expression" dxfId="181" priority="89">
      <formula>$L468="Closed"</formula>
    </cfRule>
  </conditionalFormatting>
  <conditionalFormatting sqref="F470:K471">
    <cfRule type="expression" dxfId="180" priority="84">
      <formula>$L470="Closed"</formula>
    </cfRule>
  </conditionalFormatting>
  <conditionalFormatting sqref="F470:K471">
    <cfRule type="expression" dxfId="179" priority="83">
      <formula>$L470="Closed"</formula>
    </cfRule>
  </conditionalFormatting>
  <conditionalFormatting sqref="F470:K471">
    <cfRule type="expression" dxfId="178" priority="82">
      <formula>$L470="Closed"</formula>
    </cfRule>
  </conditionalFormatting>
  <conditionalFormatting sqref="F470:K471">
    <cfRule type="expression" dxfId="177" priority="81">
      <formula>$L470="Closed"</formula>
    </cfRule>
  </conditionalFormatting>
  <conditionalFormatting sqref="F472:K472">
    <cfRule type="expression" dxfId="176" priority="80">
      <formula>$L472="Closed"</formula>
    </cfRule>
  </conditionalFormatting>
  <conditionalFormatting sqref="F472:K472">
    <cfRule type="expression" dxfId="175" priority="79">
      <formula>$L472="Closed"</formula>
    </cfRule>
  </conditionalFormatting>
  <conditionalFormatting sqref="F472:K472">
    <cfRule type="expression" dxfId="174" priority="78">
      <formula>$L472="Closed"</formula>
    </cfRule>
  </conditionalFormatting>
  <conditionalFormatting sqref="F472:K472">
    <cfRule type="expression" dxfId="173" priority="77">
      <formula>$L472="Closed"</formula>
    </cfRule>
  </conditionalFormatting>
  <conditionalFormatting sqref="F478:K478">
    <cfRule type="expression" dxfId="172" priority="72">
      <formula>$L478="Closed"</formula>
    </cfRule>
  </conditionalFormatting>
  <conditionalFormatting sqref="F478:K478">
    <cfRule type="expression" dxfId="171" priority="71">
      <formula>$L478="Closed"</formula>
    </cfRule>
  </conditionalFormatting>
  <conditionalFormatting sqref="F478:K478">
    <cfRule type="expression" dxfId="170" priority="70">
      <formula>$L478="Closed"</formula>
    </cfRule>
  </conditionalFormatting>
  <conditionalFormatting sqref="F478:K478">
    <cfRule type="expression" dxfId="169" priority="69">
      <formula>$L478="Closed"</formula>
    </cfRule>
  </conditionalFormatting>
  <conditionalFormatting sqref="F469:K469">
    <cfRule type="expression" dxfId="168" priority="176">
      <formula>$L477="Closed"</formula>
    </cfRule>
  </conditionalFormatting>
  <conditionalFormatting sqref="F477:K477">
    <cfRule type="expression" dxfId="167" priority="177">
      <formula>#REF!="Closed"</formula>
    </cfRule>
  </conditionalFormatting>
  <conditionalFormatting sqref="F477:I477">
    <cfRule type="expression" dxfId="166" priority="68">
      <formula>OR($L477="Closed",$L477="Cancelled")</formula>
    </cfRule>
  </conditionalFormatting>
  <conditionalFormatting sqref="J477">
    <cfRule type="expression" dxfId="165" priority="67">
      <formula>OR($L477="Closed",$L477="Cancelled")</formula>
    </cfRule>
  </conditionalFormatting>
  <conditionalFormatting sqref="J477">
    <cfRule type="expression" dxfId="164" priority="66">
      <formula>$L477="Closed"</formula>
    </cfRule>
  </conditionalFormatting>
  <conditionalFormatting sqref="J477">
    <cfRule type="expression" dxfId="163" priority="65">
      <formula>$L477="Closed"</formula>
    </cfRule>
  </conditionalFormatting>
  <conditionalFormatting sqref="J477">
    <cfRule type="expression" dxfId="162" priority="64">
      <formula>$L477="Closed"</formula>
    </cfRule>
  </conditionalFormatting>
  <conditionalFormatting sqref="J477">
    <cfRule type="expression" dxfId="161" priority="63">
      <formula>$L477="Closed"</formula>
    </cfRule>
  </conditionalFormatting>
  <conditionalFormatting sqref="F591:K591 F763:K763">
    <cfRule type="expression" dxfId="160" priority="179">
      <formula>OR($L592="Closed",$L592="Cancelled")</formula>
    </cfRule>
  </conditionalFormatting>
  <conditionalFormatting sqref="F591:K591">
    <cfRule type="expression" dxfId="159" priority="62">
      <formula>OR($L591="Closed",$L591="Cancelled")</formula>
    </cfRule>
  </conditionalFormatting>
  <conditionalFormatting sqref="F592:K592">
    <cfRule type="expression" dxfId="158" priority="61">
      <formula>OR($L593="Closed",$L593="Cancelled")</formula>
    </cfRule>
  </conditionalFormatting>
  <conditionalFormatting sqref="F592:K592">
    <cfRule type="expression" dxfId="157" priority="60">
      <formula>OR($L592="Closed",$L592="Cancelled")</formula>
    </cfRule>
  </conditionalFormatting>
  <conditionalFormatting sqref="F593:K593">
    <cfRule type="expression" dxfId="156" priority="59">
      <formula>OR($L594="Closed",$L594="Cancelled")</formula>
    </cfRule>
  </conditionalFormatting>
  <conditionalFormatting sqref="F593:K593">
    <cfRule type="expression" dxfId="155" priority="58">
      <formula>OR($L593="Closed",$L593="Cancelled")</formula>
    </cfRule>
  </conditionalFormatting>
  <conditionalFormatting sqref="F594:K597">
    <cfRule type="expression" dxfId="154" priority="57">
      <formula>OR($L595="Closed",$L595="Cancelled")</formula>
    </cfRule>
  </conditionalFormatting>
  <conditionalFormatting sqref="F594:K597">
    <cfRule type="expression" dxfId="153" priority="56">
      <formula>OR($L594="Closed",$L594="Cancelled")</formula>
    </cfRule>
  </conditionalFormatting>
  <conditionalFormatting sqref="F372:K372">
    <cfRule type="expression" dxfId="152" priority="182">
      <formula>OR(#REF!="Closed",#REF!="Cancelled")</formula>
    </cfRule>
  </conditionalFormatting>
  <conditionalFormatting sqref="F372">
    <cfRule type="expression" dxfId="151" priority="55">
      <formula>OR($L372="Closed",$L372="Cancelled")</formula>
    </cfRule>
  </conditionalFormatting>
  <conditionalFormatting sqref="G372">
    <cfRule type="expression" dxfId="150" priority="54">
      <formula>OR($L372="Closed",$L372="Cancelled")</formula>
    </cfRule>
  </conditionalFormatting>
  <conditionalFormatting sqref="H372:I372">
    <cfRule type="expression" dxfId="149" priority="53">
      <formula>OR($L372="Closed",$L372="Cancelled")</formula>
    </cfRule>
  </conditionalFormatting>
  <conditionalFormatting sqref="J372:K372">
    <cfRule type="expression" dxfId="148" priority="52">
      <formula>OR($L372="Closed",$L372="Cancelled")</formula>
    </cfRule>
  </conditionalFormatting>
  <conditionalFormatting sqref="F464:K464">
    <cfRule type="expression" dxfId="147" priority="51">
      <formula>$L464="Closed"</formula>
    </cfRule>
  </conditionalFormatting>
  <conditionalFormatting sqref="F464:K464">
    <cfRule type="expression" dxfId="146" priority="50">
      <formula>$L464="Closed"</formula>
    </cfRule>
  </conditionalFormatting>
  <conditionalFormatting sqref="F722:K728">
    <cfRule type="expression" dxfId="145" priority="45">
      <formula>$L722="Closed"</formula>
    </cfRule>
  </conditionalFormatting>
  <conditionalFormatting sqref="F722:K728">
    <cfRule type="expression" dxfId="144" priority="44">
      <formula>$L722="Closed"</formula>
    </cfRule>
  </conditionalFormatting>
  <conditionalFormatting sqref="F722:K728">
    <cfRule type="expression" dxfId="143" priority="43">
      <formula>$L722="Closed"</formula>
    </cfRule>
  </conditionalFormatting>
  <conditionalFormatting sqref="F722:K728">
    <cfRule type="expression" dxfId="142" priority="42">
      <formula>$L722="Closed"</formula>
    </cfRule>
  </conditionalFormatting>
  <conditionalFormatting sqref="F469:I469">
    <cfRule type="expression" dxfId="141" priority="41">
      <formula>OR($L469="Closed",$L469="Cancelled")</formula>
    </cfRule>
  </conditionalFormatting>
  <conditionalFormatting sqref="F469:I469">
    <cfRule type="expression" dxfId="140" priority="40">
      <formula>$L469="Closed"</formula>
    </cfRule>
  </conditionalFormatting>
  <conditionalFormatting sqref="F469:I469">
    <cfRule type="expression" dxfId="139" priority="39">
      <formula>$L469="Closed"</formula>
    </cfRule>
  </conditionalFormatting>
  <conditionalFormatting sqref="F469:I469">
    <cfRule type="expression" dxfId="138" priority="38">
      <formula>$L469="Closed"</formula>
    </cfRule>
  </conditionalFormatting>
  <conditionalFormatting sqref="F469:I469">
    <cfRule type="expression" dxfId="137" priority="37">
      <formula>$L469="Closed"</formula>
    </cfRule>
  </conditionalFormatting>
  <conditionalFormatting sqref="K469:P469">
    <cfRule type="expression" dxfId="136" priority="36">
      <formula>$L469="Closed"</formula>
    </cfRule>
  </conditionalFormatting>
  <conditionalFormatting sqref="K469:P469">
    <cfRule type="expression" dxfId="135" priority="35">
      <formula>$L469="Closed"</formula>
    </cfRule>
  </conditionalFormatting>
  <conditionalFormatting sqref="K469:P469">
    <cfRule type="expression" dxfId="134" priority="34">
      <formula>$L469="Closed"</formula>
    </cfRule>
  </conditionalFormatting>
  <conditionalFormatting sqref="K469:P469">
    <cfRule type="expression" dxfId="133" priority="33">
      <formula>$L469="Closed"</formula>
    </cfRule>
  </conditionalFormatting>
  <conditionalFormatting sqref="F761:K761">
    <cfRule type="expression" dxfId="132" priority="32">
      <formula>$L761="Closed"</formula>
    </cfRule>
  </conditionalFormatting>
  <conditionalFormatting sqref="F761:K761">
    <cfRule type="expression" dxfId="131" priority="31">
      <formula>$L761="Closed"</formula>
    </cfRule>
  </conditionalFormatting>
  <conditionalFormatting sqref="F764:K764">
    <cfRule type="expression" dxfId="130" priority="185">
      <formula>OR(#REF!="Closed",#REF!="Cancelled")</formula>
    </cfRule>
  </conditionalFormatting>
  <conditionalFormatting sqref="F765:K765">
    <cfRule type="expression" dxfId="129" priority="30">
      <formula>OR(#REF!="Closed",#REF!="Cancelled")</formula>
    </cfRule>
  </conditionalFormatting>
  <conditionalFormatting sqref="F766:K766">
    <cfRule type="expression" dxfId="128" priority="29">
      <formula>OR(#REF!="Closed",#REF!="Cancelled")</formula>
    </cfRule>
  </conditionalFormatting>
  <conditionalFormatting sqref="F767:K767">
    <cfRule type="expression" dxfId="127" priority="28">
      <formula>OR(#REF!="Closed",#REF!="Cancelled")</formula>
    </cfRule>
  </conditionalFormatting>
  <conditionalFormatting sqref="F768:K768">
    <cfRule type="expression" dxfId="126" priority="27">
      <formula>OR(#REF!="Closed",#REF!="Cancelled")</formula>
    </cfRule>
  </conditionalFormatting>
  <conditionalFormatting sqref="F774:K774">
    <cfRule type="expression" dxfId="125" priority="26">
      <formula>$L774="Closed"</formula>
    </cfRule>
  </conditionalFormatting>
  <conditionalFormatting sqref="F774:K774">
    <cfRule type="expression" dxfId="124" priority="25">
      <formula>$L774="Closed"</formula>
    </cfRule>
  </conditionalFormatting>
  <conditionalFormatting sqref="F774:K774">
    <cfRule type="expression" dxfId="123" priority="24">
      <formula>$L774="Closed"</formula>
    </cfRule>
  </conditionalFormatting>
  <conditionalFormatting sqref="F774:K774">
    <cfRule type="expression" dxfId="122" priority="23">
      <formula>$L774="Closed"</formula>
    </cfRule>
  </conditionalFormatting>
  <conditionalFormatting sqref="F775:K775">
    <cfRule type="expression" dxfId="121" priority="22">
      <formula>$L775="Closed"</formula>
    </cfRule>
  </conditionalFormatting>
  <conditionalFormatting sqref="F775:K775">
    <cfRule type="expression" dxfId="120" priority="21">
      <formula>$L775="Closed"</formula>
    </cfRule>
  </conditionalFormatting>
  <conditionalFormatting sqref="F775:K775">
    <cfRule type="expression" dxfId="119" priority="20">
      <formula>$L775="Closed"</formula>
    </cfRule>
  </conditionalFormatting>
  <conditionalFormatting sqref="F775:K775">
    <cfRule type="expression" dxfId="118" priority="19">
      <formula>$L775="Closed"</formula>
    </cfRule>
  </conditionalFormatting>
  <conditionalFormatting sqref="F779:K779">
    <cfRule type="expression" dxfId="117" priority="16">
      <formula>$L779="Closed"</formula>
    </cfRule>
  </conditionalFormatting>
  <conditionalFormatting sqref="F779:K779">
    <cfRule type="expression" dxfId="116" priority="15">
      <formula>$L779="Closed"</formula>
    </cfRule>
  </conditionalFormatting>
  <conditionalFormatting sqref="F779:K779">
    <cfRule type="expression" dxfId="115" priority="14">
      <formula>$L779="Closed"</formula>
    </cfRule>
  </conditionalFormatting>
  <conditionalFormatting sqref="F779:K779">
    <cfRule type="expression" dxfId="114" priority="13">
      <formula>$L779="Closed"</formula>
    </cfRule>
  </conditionalFormatting>
  <conditionalFormatting sqref="F780:K780">
    <cfRule type="expression" dxfId="113" priority="12">
      <formula>$L780="Closed"</formula>
    </cfRule>
  </conditionalFormatting>
  <conditionalFormatting sqref="F780:K780">
    <cfRule type="expression" dxfId="112" priority="11">
      <formula>$L780="Closed"</formula>
    </cfRule>
  </conditionalFormatting>
  <conditionalFormatting sqref="F780:K780">
    <cfRule type="expression" dxfId="111" priority="10">
      <formula>$L780="Closed"</formula>
    </cfRule>
  </conditionalFormatting>
  <conditionalFormatting sqref="F780:K780">
    <cfRule type="expression" dxfId="110" priority="9">
      <formula>$L780="Closed"</formula>
    </cfRule>
  </conditionalFormatting>
  <conditionalFormatting sqref="F781:K781">
    <cfRule type="expression" dxfId="109" priority="8">
      <formula>$L781="Closed"</formula>
    </cfRule>
  </conditionalFormatting>
  <conditionalFormatting sqref="F781:K781">
    <cfRule type="expression" dxfId="108" priority="7">
      <formula>$L781="Closed"</formula>
    </cfRule>
  </conditionalFormatting>
  <conditionalFormatting sqref="F781:K781">
    <cfRule type="expression" dxfId="107" priority="6">
      <formula>$L781="Closed"</formula>
    </cfRule>
  </conditionalFormatting>
  <conditionalFormatting sqref="F781:K781">
    <cfRule type="expression" dxfId="106" priority="5">
      <formula>$L781="Closed"</formula>
    </cfRule>
  </conditionalFormatting>
  <conditionalFormatting sqref="F782:K782">
    <cfRule type="expression" dxfId="105" priority="4">
      <formula>$L782="Closed"</formula>
    </cfRule>
  </conditionalFormatting>
  <conditionalFormatting sqref="F782:K782">
    <cfRule type="expression" dxfId="104" priority="3">
      <formula>$L782="Closed"</formula>
    </cfRule>
  </conditionalFormatting>
  <conditionalFormatting sqref="F782:K782">
    <cfRule type="expression" dxfId="103" priority="2">
      <formula>$L782="Closed"</formula>
    </cfRule>
  </conditionalFormatting>
  <conditionalFormatting sqref="F782:K782">
    <cfRule type="expression" dxfId="102" priority="1">
      <formula>$L782="Closed"</formula>
    </cfRule>
  </conditionalFormatting>
  <pageMargins left="0" right="0.43307086614173229" top="0" bottom="0" header="0" footer="0"/>
  <pageSetup paperSize="9" scale="34" fitToHeight="2" orientation="portrait" r:id="rId1"/>
  <headerFooter alignWithMargins="0"/>
  <drawing r:id="rId2"/>
  <legacyDrawing r:id="rId3"/>
  <controls>
    <control shapeId="4108" r:id="rId4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K268"/>
  <sheetViews>
    <sheetView topLeftCell="A244" workbookViewId="0"/>
  </sheetViews>
  <sheetFormatPr defaultRowHeight="12.75"/>
  <cols>
    <col min="1" max="1" width="16.7109375" style="1" bestFit="1" customWidth="1"/>
    <col min="2" max="2" width="9.140625" style="1"/>
    <col min="3" max="3" width="10.7109375" style="1" bestFit="1" customWidth="1"/>
    <col min="4" max="4" width="10.42578125" style="1" bestFit="1" customWidth="1"/>
    <col min="5" max="5" width="10.42578125" style="1" customWidth="1"/>
    <col min="6" max="6" width="5.28515625" style="80" bestFit="1" customWidth="1"/>
    <col min="7" max="7" width="52.5703125" style="42" customWidth="1"/>
    <col min="8" max="16384" width="9.140625" style="1"/>
  </cols>
  <sheetData>
    <row r="1" spans="1:11">
      <c r="A1" s="75" t="s">
        <v>1282</v>
      </c>
      <c r="B1" s="75" t="s">
        <v>3</v>
      </c>
      <c r="C1" s="75" t="s">
        <v>2</v>
      </c>
      <c r="D1" s="75" t="s">
        <v>4</v>
      </c>
      <c r="E1" s="75" t="s">
        <v>1280</v>
      </c>
      <c r="F1" s="76" t="s">
        <v>1281</v>
      </c>
      <c r="G1" s="47" t="s">
        <v>1</v>
      </c>
    </row>
    <row r="2" spans="1:11" s="77" customFormat="1" ht="13.5" thickBot="1">
      <c r="F2" s="78"/>
      <c r="G2" s="79"/>
    </row>
    <row r="3" spans="1:11">
      <c r="A3" s="75" t="s">
        <v>29</v>
      </c>
      <c r="B3" s="75" t="s">
        <v>1284</v>
      </c>
      <c r="D3" s="13"/>
      <c r="E3" s="13"/>
      <c r="F3" s="69"/>
      <c r="G3" s="14"/>
    </row>
    <row r="4" spans="1:11">
      <c r="B4" s="1" t="s">
        <v>1214</v>
      </c>
      <c r="C4" s="1" t="str">
        <f ca="1">VLOOKUP(B4,TaskPlan!A:B,2,FALSE)</f>
        <v>Ruth</v>
      </c>
      <c r="D4" s="13" t="str">
        <f ca="1">VLOOKUP(B4,TaskPlan!A:L,12,FALSE)</f>
        <v>Closed</v>
      </c>
      <c r="E4" s="13">
        <f ca="1">IF(VLOOKUP(B4,TaskPlan!A:D,4,FALSE)=0,"",VLOOKUP(B4,TaskPlan!A:D,4,FALSE))</f>
        <v>40354</v>
      </c>
      <c r="F4" s="70">
        <f ca="1">VLOOKUP(B4,WorkList!A:F,6,FALSE)</f>
        <v>2</v>
      </c>
      <c r="G4" s="14" t="str">
        <f ca="1">VLOOKUP(B4,WorkList!A:C,3,FALSE)</f>
        <v>Key Matrix Results on bondID rather than ISIN</v>
      </c>
    </row>
    <row r="5" spans="1:11" ht="25.5">
      <c r="B5" s="1" t="s">
        <v>1215</v>
      </c>
      <c r="C5" s="1" t="str">
        <f ca="1">VLOOKUP(B5,TaskPlan!A:B,2,FALSE)</f>
        <v>Ruth</v>
      </c>
      <c r="D5" s="13" t="str">
        <f ca="1">VLOOKUP(B5,TaskPlan!A:L,12,FALSE)</f>
        <v>Closed</v>
      </c>
      <c r="E5" s="13">
        <f ca="1">IF(VLOOKUP(B5,TaskPlan!A:D,4,FALSE)=0,"",VLOOKUP(B5,TaskPlan!A:D,4,FALSE))</f>
        <v>40354</v>
      </c>
      <c r="F5" s="70">
        <f ca="1">VLOOKUP(B5,WorkList!A:F,6,FALSE)</f>
        <v>3</v>
      </c>
      <c r="G5" s="14" t="str">
        <f ca="1">VLOOKUP(B5,WorkList!A:C,3,FALSE)</f>
        <v>Add Spread+Price on Viewer and Editor + add all fields to View Search</v>
      </c>
    </row>
    <row r="6" spans="1:11">
      <c r="B6" s="1" t="s">
        <v>1216</v>
      </c>
      <c r="C6" s="1" t="str">
        <f ca="1">VLOOKUP(B6,TaskPlan!A:B,2,FALSE)</f>
        <v>Ruth</v>
      </c>
      <c r="D6" s="13" t="str">
        <f ca="1">VLOOKUP(B6,TaskPlan!A:L,12,FALSE)</f>
        <v>Closed</v>
      </c>
      <c r="E6" s="13">
        <f ca="1">IF(VLOOKUP(B6,TaskPlan!A:D,4,FALSE)=0,"",VLOOKUP(B6,TaskPlan!A:D,4,FALSE))</f>
        <v>40354</v>
      </c>
      <c r="F6" s="70">
        <f ca="1">VLOOKUP(B6,WorkList!A:F,6,FALSE)</f>
        <v>2</v>
      </c>
      <c r="G6" s="14" t="str">
        <f ca="1">VLOOKUP(B6,WorkList!A:C,3,FALSE)</f>
        <v>Remove 'ISIN' field from pricing results.</v>
      </c>
    </row>
    <row r="7" spans="1:11">
      <c r="B7" s="1" t="s">
        <v>1217</v>
      </c>
      <c r="C7" s="1" t="str">
        <f ca="1">VLOOKUP(B7,TaskPlan!A:B,2,FALSE)</f>
        <v>Ruth</v>
      </c>
      <c r="D7" s="13" t="str">
        <f ca="1">VLOOKUP(B7,TaskPlan!A:L,12,FALSE)</f>
        <v>Closed</v>
      </c>
      <c r="E7" s="13">
        <f ca="1">IF(VLOOKUP(B7,TaskPlan!A:D,4,FALSE)=0,"",VLOOKUP(B7,TaskPlan!A:D,4,FALSE))</f>
        <v>40354</v>
      </c>
      <c r="F7" s="70">
        <f ca="1">VLOOKUP(B7,WorkList!A:F,6,FALSE)</f>
        <v>2</v>
      </c>
      <c r="G7" s="14" t="str">
        <f ca="1">VLOOKUP(B7,WorkList!A:C,3,FALSE)</f>
        <v>Various fixes for Zhuu</v>
      </c>
    </row>
    <row r="8" spans="1:11">
      <c r="B8" s="1" t="s">
        <v>1125</v>
      </c>
      <c r="C8" s="1" t="str">
        <f ca="1">VLOOKUP(B8,TaskPlan!A:B,2,FALSE)</f>
        <v>Ruth</v>
      </c>
      <c r="D8" s="13" t="str">
        <f ca="1">VLOOKUP(B8,TaskPlan!A:L,12,FALSE)</f>
        <v>Closed</v>
      </c>
      <c r="E8" s="13">
        <f ca="1">IF(VLOOKUP(B8,TaskPlan!A:D,4,FALSE)=0,"",VLOOKUP(B8,TaskPlan!A:D,4,FALSE))</f>
        <v>40354</v>
      </c>
      <c r="F8" s="70">
        <f ca="1">VLOOKUP(B8,WorkList!A:F,6,FALSE)</f>
        <v>2</v>
      </c>
      <c r="G8" s="14" t="str">
        <f ca="1">VLOOKUP(B8,WorkList!A:C,3,FALSE)</f>
        <v>Tier by Front Pay / Back Pay</v>
      </c>
    </row>
    <row r="9" spans="1:11">
      <c r="B9" s="1" t="s">
        <v>1127</v>
      </c>
      <c r="C9" s="1" t="str">
        <f ca="1">VLOOKUP(B9,TaskPlan!A:B,2,FALSE)</f>
        <v>Ruth</v>
      </c>
      <c r="D9" s="13" t="str">
        <f ca="1">VLOOKUP(B9,TaskPlan!A:L,12,FALSE)</f>
        <v>Closed</v>
      </c>
      <c r="E9" s="13">
        <f ca="1">IF(VLOOKUP(B9,TaskPlan!A:D,4,FALSE)=0,"",VLOOKUP(B9,TaskPlan!A:D,4,FALSE))</f>
        <v>40354</v>
      </c>
      <c r="F9" s="70">
        <f ca="1">VLOOKUP(B9,WorkList!A:F,6,FALSE)</f>
        <v>2</v>
      </c>
      <c r="G9" s="14" t="str">
        <f ca="1">VLOOKUP(B9,WorkList!A:C,3,FALSE)</f>
        <v>Tier by Credit Enhancement</v>
      </c>
      <c r="K9" s="4"/>
    </row>
    <row r="10" spans="1:11">
      <c r="B10" s="1" t="s">
        <v>1129</v>
      </c>
      <c r="C10" s="1" t="str">
        <f ca="1">VLOOKUP(B10,TaskPlan!A:B,2,FALSE)</f>
        <v>Ruth</v>
      </c>
      <c r="D10" s="13" t="str">
        <f ca="1">VLOOKUP(B10,TaskPlan!A:L,12,FALSE)</f>
        <v>Closed</v>
      </c>
      <c r="E10" s="13">
        <f ca="1">IF(VLOOKUP(B10,TaskPlan!A:D,4,FALSE)=0,"",VLOOKUP(B10,TaskPlan!A:D,4,FALSE))</f>
        <v>40354</v>
      </c>
      <c r="F10" s="70">
        <f ca="1">VLOOKUP(B10,WorkList!A:F,6,FALSE)</f>
        <v>2</v>
      </c>
      <c r="G10" s="14" t="str">
        <f ca="1">VLOOKUP(B10,WorkList!A:C,3,FALSE)</f>
        <v>Show additional fields on Level 3 to allow filtering/sorting</v>
      </c>
    </row>
    <row r="11" spans="1:11">
      <c r="B11" s="1" t="s">
        <v>1131</v>
      </c>
      <c r="C11" s="1" t="str">
        <f ca="1">VLOOKUP(B11,TaskPlan!A:B,2,FALSE)</f>
        <v>Ruth</v>
      </c>
      <c r="D11" s="13" t="str">
        <f ca="1">VLOOKUP(B11,TaskPlan!A:L,12,FALSE)</f>
        <v>Closed</v>
      </c>
      <c r="E11" s="13">
        <f ca="1">IF(VLOOKUP(B11,TaskPlan!A:D,4,FALSE)=0,"",VLOOKUP(B11,TaskPlan!A:D,4,FALSE))</f>
        <v>40354</v>
      </c>
      <c r="F11" s="70">
        <f ca="1">VLOOKUP(B11,WorkList!A:F,6,FALSE)</f>
        <v>3</v>
      </c>
      <c r="G11" s="14" t="str">
        <f ca="1">VLOOKUP(B11,WorkList!A:C,3,FALSE)</f>
        <v>Add a new comment field for level 2 + 3 rules</v>
      </c>
    </row>
    <row r="12" spans="1:11">
      <c r="B12" s="1" t="s">
        <v>1133</v>
      </c>
      <c r="C12" s="1" t="str">
        <f ca="1">VLOOKUP(B12,TaskPlan!A:B,2,FALSE)</f>
        <v>Ruth</v>
      </c>
      <c r="D12" s="13" t="str">
        <f ca="1">VLOOKUP(B12,TaskPlan!A:L,12,FALSE)</f>
        <v>Closed</v>
      </c>
      <c r="E12" s="13">
        <f ca="1">IF(VLOOKUP(B12,TaskPlan!A:D,4,FALSE)=0,"",VLOOKUP(B12,TaskPlan!A:D,4,FALSE))</f>
        <v>40354</v>
      </c>
      <c r="F12" s="70">
        <f ca="1">VLOOKUP(B12,WorkList!A:F,6,FALSE)</f>
        <v>3</v>
      </c>
      <c r="G12" s="14" t="str">
        <f ca="1">VLOOKUP(B12,WorkList!A:C,3,FALSE)</f>
        <v>Add ability to specify a 1 year WAL bucket</v>
      </c>
    </row>
    <row r="13" spans="1:11">
      <c r="B13" s="7" t="s">
        <v>1243</v>
      </c>
      <c r="C13" s="1" t="str">
        <f ca="1">VLOOKUP(B13,TaskPlan!A:B,2,FALSE)</f>
        <v>Ruth</v>
      </c>
      <c r="D13" s="13" t="str">
        <f ca="1">VLOOKUP(B13,TaskPlan!A:L,12,FALSE)</f>
        <v>Closed</v>
      </c>
      <c r="E13" s="13">
        <f ca="1">IF(VLOOKUP(B13,TaskPlan!A:D,4,FALSE)=0,"",VLOOKUP(B13,TaskPlan!A:D,4,FALSE))</f>
        <v>40379</v>
      </c>
      <c r="F13" s="70">
        <f ca="1">VLOOKUP(B13,WorkList!A:F,6,FALSE)</f>
        <v>2</v>
      </c>
      <c r="G13" s="14" t="str">
        <f ca="1">VLOOKUP(B13,WorkList!A:C,3,FALSE)</f>
        <v>Test and UAT all changes</v>
      </c>
    </row>
    <row r="14" spans="1:11">
      <c r="B14" s="7" t="s">
        <v>1245</v>
      </c>
      <c r="C14" s="1" t="str">
        <f ca="1">VLOOKUP(B14,TaskPlan!A:B,2,FALSE)</f>
        <v>Pramendra</v>
      </c>
      <c r="D14" s="13" t="str">
        <f ca="1">VLOOKUP(B14,TaskPlan!A:L,12,FALSE)</f>
        <v>Closed</v>
      </c>
      <c r="E14" s="13">
        <f ca="1">IF(VLOOKUP(B14,TaskPlan!A:D,4,FALSE)=0,"",VLOOKUP(B14,TaskPlan!A:D,4,FALSE))</f>
        <v>40380</v>
      </c>
      <c r="F14" s="70">
        <f ca="1">VLOOKUP(B14,WorkList!A:F,6,FALSE)</f>
        <v>1</v>
      </c>
      <c r="G14" s="14" t="str">
        <f ca="1">VLOOKUP(B14,WorkList!A:C,3,FALSE)</f>
        <v>Review Matrix Pricing changes</v>
      </c>
    </row>
    <row r="15" spans="1:11">
      <c r="B15" s="7" t="s">
        <v>1247</v>
      </c>
      <c r="C15" s="1" t="str">
        <f ca="1">VLOOKUP(B15,TaskPlan!A:B,2,FALSE)</f>
        <v>Ruth</v>
      </c>
      <c r="D15" s="13" t="str">
        <f ca="1">VLOOKUP(B15,TaskPlan!A:L,12,FALSE)</f>
        <v>Closed</v>
      </c>
      <c r="E15" s="13">
        <f ca="1">IF(VLOOKUP(B15,TaskPlan!A:D,4,FALSE)=0,"",VLOOKUP(B15,TaskPlan!A:D,4,FALSE))</f>
        <v>40382</v>
      </c>
      <c r="F15" s="70">
        <f ca="1">VLOOKUP(B15,WorkList!A:F,6,FALSE)</f>
        <v>1</v>
      </c>
      <c r="G15" s="14" t="str">
        <f ca="1">VLOOKUP(B15,WorkList!A:C,3,FALSE)</f>
        <v>Release Matrix Pricing changes</v>
      </c>
    </row>
    <row r="16" spans="1:11" s="77" customFormat="1" ht="13.5" thickBot="1">
      <c r="D16" s="72"/>
      <c r="E16" s="72"/>
      <c r="F16" s="71"/>
      <c r="G16" s="73"/>
    </row>
    <row r="17" spans="1:7">
      <c r="A17" s="75" t="s">
        <v>1159</v>
      </c>
      <c r="B17" s="75" t="s">
        <v>1285</v>
      </c>
      <c r="C17" s="75"/>
      <c r="D17" s="13"/>
      <c r="E17" s="13"/>
      <c r="F17" s="70"/>
      <c r="G17" s="14"/>
    </row>
    <row r="18" spans="1:7">
      <c r="B18" s="4" t="s">
        <v>1203</v>
      </c>
      <c r="C18" s="1" t="str">
        <f ca="1">VLOOKUP(B18,TaskPlan!A:B,2,FALSE)</f>
        <v>Sreevani</v>
      </c>
      <c r="D18" s="13" t="str">
        <f ca="1">VLOOKUP(B18,TaskPlan!A:L,12,FALSE)</f>
        <v>Closed</v>
      </c>
      <c r="E18" s="13">
        <f ca="1">IF(VLOOKUP(B18,TaskPlan!A:D,4,FALSE)=0,"",VLOOKUP(B18,TaskPlan!A:D,4,FALSE))</f>
        <v>40349</v>
      </c>
      <c r="F18" s="70">
        <f ca="1">VLOOKUP(B18,WorkList!A:F,6,FALSE)</f>
        <v>1</v>
      </c>
      <c r="G18" s="14" t="str">
        <f ca="1">VLOOKUP(B18,WorkList!A:C,3,FALSE)</f>
        <v>Issue pasting ISIN etc for new bonds</v>
      </c>
    </row>
    <row r="19" spans="1:7" ht="38.25">
      <c r="B19" s="4" t="s">
        <v>1173</v>
      </c>
      <c r="C19" s="1" t="str">
        <f ca="1">VLOOKUP(B19,TaskPlan!A:B,2,FALSE)</f>
        <v>Sreevani</v>
      </c>
      <c r="D19" s="13" t="str">
        <f ca="1">VLOOKUP(B19,TaskPlan!A:L,12,FALSE)</f>
        <v>Closed</v>
      </c>
      <c r="E19" s="13">
        <f ca="1">IF(VLOOKUP(B19,TaskPlan!A:D,4,FALSE)=0,"",VLOOKUP(B19,TaskPlan!A:D,4,FALSE))</f>
        <v>40349</v>
      </c>
      <c r="F19" s="70">
        <f ca="1">VLOOKUP(B19,WorkList!A:F,6,FALSE)</f>
        <v>2</v>
      </c>
      <c r="G19" s="14" t="str">
        <f ca="1">VLOOKUP(B19,WorkList!A:C,3,FALSE)</f>
        <v>Make BBG-&gt;Fingal holiday calendar mapping handle 'A$' -&gt; 'MEL,SYD' and make it extendable via the Config without need for a new release</v>
      </c>
    </row>
    <row r="20" spans="1:7" ht="25.5">
      <c r="B20" s="4" t="s">
        <v>1055</v>
      </c>
      <c r="C20" s="1" t="str">
        <f ca="1">VLOOKUP(B20,TaskPlan!A:B,2,FALSE)</f>
        <v>Sreevani</v>
      </c>
      <c r="D20" s="13" t="str">
        <f ca="1">VLOOKUP(B20,TaskPlan!A:L,12,FALSE)</f>
        <v>Closed</v>
      </c>
      <c r="E20" s="13">
        <f ca="1">IF(VLOOKUP(B20,TaskPlan!A:D,4,FALSE)=0,"",VLOOKUP(B20,TaskPlan!A:D,4,FALSE))</f>
        <v>40349</v>
      </c>
      <c r="F20" s="70">
        <f ca="1">VLOOKUP(B20,WorkList!A:F,6,FALSE)</f>
        <v>1</v>
      </c>
      <c r="G20" s="14" t="str">
        <f ca="1">VLOOKUP(B20,WorkList!A:C,3,FALSE)</f>
        <v>Make default format for DateTime in Logger to be 'dd-MMM-yyyy'</v>
      </c>
    </row>
    <row r="21" spans="1:7">
      <c r="B21" s="4" t="s">
        <v>1094</v>
      </c>
      <c r="C21" s="1" t="str">
        <f ca="1">VLOOKUP(B21,TaskPlan!A:B,2,FALSE)</f>
        <v>Neil</v>
      </c>
      <c r="D21" s="13" t="str">
        <f ca="1">VLOOKUP(B21,TaskPlan!A:L,12,FALSE)</f>
        <v>Closed</v>
      </c>
      <c r="E21" s="13">
        <f ca="1">IF(VLOOKUP(B21,TaskPlan!A:D,4,FALSE)=0,"",VLOOKUP(B21,TaskPlan!A:D,4,FALSE))</f>
        <v>40357</v>
      </c>
      <c r="F21" s="70">
        <f ca="1">VLOOKUP(B21,WorkList!A:F,6,FALSE)</f>
        <v>3</v>
      </c>
      <c r="G21" s="14" t="str">
        <f ca="1">VLOOKUP(B21,WorkList!A:C,3,FALSE)</f>
        <v>Find better way to tag libraries</v>
      </c>
    </row>
    <row r="22" spans="1:7" s="77" customFormat="1" ht="13.5" thickBot="1">
      <c r="B22" s="74"/>
      <c r="D22" s="72"/>
      <c r="E22" s="72"/>
      <c r="F22" s="71"/>
      <c r="G22" s="73"/>
    </row>
    <row r="23" spans="1:7">
      <c r="A23" s="75" t="s">
        <v>1159</v>
      </c>
      <c r="B23" s="75" t="s">
        <v>1286</v>
      </c>
      <c r="D23" s="13"/>
      <c r="E23" s="13"/>
      <c r="F23" s="70"/>
      <c r="G23" s="14"/>
    </row>
    <row r="24" spans="1:7">
      <c r="B24" s="4" t="s">
        <v>1228</v>
      </c>
      <c r="C24" s="1" t="str">
        <f ca="1">VLOOKUP(B24,TaskPlan!A:B,2,FALSE)</f>
        <v>Sreevani</v>
      </c>
      <c r="D24" s="13" t="str">
        <f ca="1">VLOOKUP(B24,TaskPlan!A:L,12,FALSE)</f>
        <v>Closed</v>
      </c>
      <c r="E24" s="13">
        <f ca="1">IF(VLOOKUP(B24,TaskPlan!A:D,4,FALSE)=0,"",VLOOKUP(B24,TaskPlan!A:D,4,FALSE))</f>
        <v>40354</v>
      </c>
      <c r="F24" s="70">
        <f ca="1">VLOOKUP(B24,WorkList!A:F,6,FALSE)</f>
        <v>2</v>
      </c>
      <c r="G24" s="14" t="str">
        <f ca="1">VLOOKUP(B24,WorkList!A:C,3,FALSE)</f>
        <v>Investigate applicability of WPF</v>
      </c>
    </row>
    <row r="25" spans="1:7">
      <c r="B25" s="4" t="s">
        <v>1083</v>
      </c>
      <c r="C25" s="1" t="str">
        <f ca="1">VLOOKUP(B25,TaskPlan!A:B,2,FALSE)</f>
        <v>Sreevani</v>
      </c>
      <c r="D25" s="13" t="str">
        <f ca="1">VLOOKUP(B25,TaskPlan!A:L,12,FALSE)</f>
        <v>Closed</v>
      </c>
      <c r="E25" s="13">
        <f ca="1">IF(VLOOKUP(B25,TaskPlan!A:D,4,FALSE)=0,"",VLOOKUP(B25,TaskPlan!A:D,4,FALSE))</f>
        <v>40352</v>
      </c>
      <c r="F25" s="70">
        <f ca="1">VLOOKUP(B25,WorkList!A:F,6,FALSE)</f>
        <v>1</v>
      </c>
      <c r="G25" s="14" t="str">
        <f ca="1">VLOOKUP(B25,WorkList!A:C,3,FALSE)</f>
        <v>ClientTracker: Gather requirements</v>
      </c>
    </row>
    <row r="26" spans="1:7">
      <c r="B26" s="1" t="s">
        <v>1230</v>
      </c>
      <c r="C26" s="1" t="str">
        <f ca="1">VLOOKUP(B26,TaskPlan!A:B,2,FALSE)</f>
        <v>Sreevani</v>
      </c>
      <c r="D26" s="13" t="str">
        <f ca="1">VLOOKUP(B26,TaskPlan!A:L,12,FALSE)</f>
        <v>Closed</v>
      </c>
      <c r="E26" s="13">
        <f ca="1">IF(VLOOKUP(B26,TaskPlan!A:D,4,FALSE)=0,"",VLOOKUP(B26,TaskPlan!A:D,4,FALSE))</f>
        <v>40358</v>
      </c>
      <c r="F26" s="70">
        <f ca="1">VLOOKUP(B26,WorkList!A:F,6,FALSE)</f>
        <v>3</v>
      </c>
      <c r="G26" s="14" t="str">
        <f ca="1">VLOOKUP(B26,WorkList!A:C,3,FALSE)</f>
        <v>ClientTracker: Initial Design</v>
      </c>
    </row>
    <row r="27" spans="1:7">
      <c r="B27" s="1" t="s">
        <v>1238</v>
      </c>
      <c r="C27" s="1" t="str">
        <f ca="1">VLOOKUP(B27,TaskPlan!A:B,2,FALSE)</f>
        <v>All</v>
      </c>
      <c r="D27" s="13" t="str">
        <f ca="1">VLOOKUP(B27,TaskPlan!A:L,12,FALSE)</f>
        <v>Closed</v>
      </c>
      <c r="E27" s="13">
        <f ca="1">IF(VLOOKUP(B27,TaskPlan!A:D,4,FALSE)=0,"",VLOOKUP(B27,TaskPlan!A:D,4,FALSE))</f>
        <v>40359</v>
      </c>
      <c r="F27" s="70">
        <f ca="1">VLOOKUP(B27,WorkList!A:F,6,FALSE)</f>
        <v>1</v>
      </c>
      <c r="G27" s="14" t="str">
        <f ca="1">VLOOKUP(B27,WorkList!A:C,3,FALSE)</f>
        <v>ClientTracker: Review Design</v>
      </c>
    </row>
    <row r="28" spans="1:7">
      <c r="B28" s="1" t="s">
        <v>1239</v>
      </c>
      <c r="C28" s="1" t="str">
        <f ca="1">VLOOKUP(B28,TaskPlan!A:B,2,FALSE)</f>
        <v>Sreevani</v>
      </c>
      <c r="D28" s="13" t="str">
        <f ca="1">VLOOKUP(B28,TaskPlan!A:L,12,FALSE)</f>
        <v>Closed</v>
      </c>
      <c r="E28" s="13">
        <f ca="1">IF(VLOOKUP(B28,TaskPlan!A:D,4,FALSE)=0,"",VLOOKUP(B28,TaskPlan!A:D,4,FALSE))</f>
        <v>40371</v>
      </c>
      <c r="F28" s="70">
        <f ca="1">VLOOKUP(B28,WorkList!A:F,6,FALSE)</f>
        <v>8</v>
      </c>
      <c r="G28" s="14" t="str">
        <f ca="1">VLOOKUP(B28,WorkList!A:C,3,FALSE)</f>
        <v>ClientTracker: Implement and Test</v>
      </c>
    </row>
    <row r="29" spans="1:7">
      <c r="B29" s="1" t="s">
        <v>1240</v>
      </c>
      <c r="C29" s="1" t="str">
        <f ca="1">VLOOKUP(B29,TaskPlan!A:B,2,FALSE)</f>
        <v>All</v>
      </c>
      <c r="D29" s="13" t="str">
        <f ca="1">VLOOKUP(B29,TaskPlan!A:L,12,FALSE)</f>
        <v>Closed</v>
      </c>
      <c r="E29" s="13">
        <f ca="1">IF(VLOOKUP(B29,TaskPlan!A:D,4,FALSE)=0,"",VLOOKUP(B29,TaskPlan!A:D,4,FALSE))</f>
        <v>40409</v>
      </c>
      <c r="F29" s="70">
        <f ca="1">VLOOKUP(B29,WorkList!A:F,6,FALSE)</f>
        <v>1</v>
      </c>
      <c r="G29" s="14" t="str">
        <f ca="1">VLOOKUP(B29,WorkList!A:C,3,FALSE)</f>
        <v>ClientTracker: Review Implementation</v>
      </c>
    </row>
    <row r="30" spans="1:7">
      <c r="B30" s="1" t="s">
        <v>1241</v>
      </c>
      <c r="C30" s="1" t="str">
        <f ca="1">VLOOKUP(B30,TaskPlan!A:B,2,FALSE)</f>
        <v>Sreevani</v>
      </c>
      <c r="D30" s="13" t="str">
        <f ca="1">VLOOKUP(B30,TaskPlan!A:L,12,FALSE)</f>
        <v>Closed</v>
      </c>
      <c r="E30" s="13">
        <f ca="1">IF(VLOOKUP(B30,TaskPlan!A:D,4,FALSE)=0,"",VLOOKUP(B30,TaskPlan!A:D,4,FALSE))</f>
        <v>40411</v>
      </c>
      <c r="F30" s="70">
        <f ca="1">VLOOKUP(B30,WorkList!A:F,6,FALSE)</f>
        <v>3</v>
      </c>
      <c r="G30" s="14" t="str">
        <f ca="1">VLOOKUP(B30,WorkList!A:C,3,FALSE)</f>
        <v>ClientTracker: Final changes and testing</v>
      </c>
    </row>
    <row r="31" spans="1:7">
      <c r="B31" s="1" t="s">
        <v>1242</v>
      </c>
      <c r="C31" s="1" t="str">
        <f ca="1">VLOOKUP(B31,TaskPlan!A:B,2,FALSE)</f>
        <v>Sreevani</v>
      </c>
      <c r="D31" s="13" t="str">
        <f ca="1">VLOOKUP(B31,TaskPlan!A:L,12,FALSE)</f>
        <v>Closed</v>
      </c>
      <c r="E31" s="13">
        <f ca="1">IF(VLOOKUP(B31,TaskPlan!A:D,4,FALSE)=0,"",VLOOKUP(B31,TaskPlan!A:D,4,FALSE))</f>
        <v>40413</v>
      </c>
      <c r="F31" s="70">
        <f ca="1">VLOOKUP(B31,WorkList!A:F,6,FALSE)</f>
        <v>1</v>
      </c>
      <c r="G31" s="14" t="str">
        <f ca="1">VLOOKUP(B31,WorkList!A:C,3,FALSE)</f>
        <v>ClientTracker: Release</v>
      </c>
    </row>
    <row r="32" spans="1:7">
      <c r="D32" s="13"/>
      <c r="E32" s="13"/>
      <c r="F32" s="70"/>
      <c r="G32" s="14"/>
    </row>
    <row r="33" spans="1:7" s="77" customFormat="1" ht="13.5" thickBot="1">
      <c r="D33" s="72"/>
      <c r="E33" s="72"/>
      <c r="F33" s="71"/>
      <c r="G33" s="73"/>
    </row>
    <row r="34" spans="1:7">
      <c r="A34" s="75" t="s">
        <v>11</v>
      </c>
      <c r="B34" s="75" t="s">
        <v>1287</v>
      </c>
      <c r="D34" s="13"/>
      <c r="E34" s="13"/>
      <c r="F34" s="70"/>
      <c r="G34" s="14"/>
    </row>
    <row r="35" spans="1:7">
      <c r="B35" s="1" t="s">
        <v>1188</v>
      </c>
      <c r="C35" s="1" t="str">
        <f ca="1">VLOOKUP(B35,TaskPlan!A:B,2,FALSE)</f>
        <v>Paresh</v>
      </c>
      <c r="D35" s="13" t="str">
        <f ca="1">VLOOKUP(B35,TaskPlan!A:L,12,FALSE)</f>
        <v>Closed</v>
      </c>
      <c r="E35" s="13">
        <f ca="1">IF(VLOOKUP(B35,TaskPlan!A:D,4,FALSE)=0,"",VLOOKUP(B35,TaskPlan!A:D,4,FALSE))</f>
        <v>40343</v>
      </c>
      <c r="F35" s="70">
        <f ca="1">VLOOKUP(B35,WorkList!A:F,6,FALSE)</f>
        <v>0.5</v>
      </c>
      <c r="G35" s="14" t="str">
        <f ca="1">VLOOKUP(B35,WorkList!A:C,3,FALSE)</f>
        <v>Set goals for 2010_2011</v>
      </c>
    </row>
    <row r="36" spans="1:7">
      <c r="B36" s="1" t="s">
        <v>1190</v>
      </c>
      <c r="C36" s="1" t="str">
        <f ca="1">VLOOKUP(B36,TaskPlan!A:B,2,FALSE)</f>
        <v>Pramendra</v>
      </c>
      <c r="D36" s="13" t="str">
        <f ca="1">VLOOKUP(B36,TaskPlan!A:L,12,FALSE)</f>
        <v>Closed</v>
      </c>
      <c r="E36" s="13">
        <f ca="1">IF(VLOOKUP(B36,TaskPlan!A:D,4,FALSE)=0,"",VLOOKUP(B36,TaskPlan!A:D,4,FALSE))</f>
        <v>40343</v>
      </c>
      <c r="F36" s="70">
        <f ca="1">VLOOKUP(B36,WorkList!A:F,6,FALSE)</f>
        <v>0.5</v>
      </c>
      <c r="G36" s="14" t="str">
        <f ca="1">VLOOKUP(B36,WorkList!A:C,3,FALSE)</f>
        <v>Set goals for 2010_2011</v>
      </c>
    </row>
    <row r="37" spans="1:7">
      <c r="B37" s="1" t="s">
        <v>1191</v>
      </c>
      <c r="C37" s="1" t="str">
        <f ca="1">VLOOKUP(B37,TaskPlan!A:B,2,FALSE)</f>
        <v>Ruth</v>
      </c>
      <c r="D37" s="13" t="str">
        <f ca="1">VLOOKUP(B37,TaskPlan!A:L,12,FALSE)</f>
        <v>Closed</v>
      </c>
      <c r="E37" s="13">
        <f ca="1">IF(VLOOKUP(B37,TaskPlan!A:D,4,FALSE)=0,"",VLOOKUP(B37,TaskPlan!A:D,4,FALSE))</f>
        <v>40343</v>
      </c>
      <c r="F37" s="70">
        <f ca="1">VLOOKUP(B37,WorkList!A:F,6,FALSE)</f>
        <v>0.5</v>
      </c>
      <c r="G37" s="14" t="str">
        <f ca="1">VLOOKUP(B37,WorkList!A:C,3,FALSE)</f>
        <v>Set goals for 2010_2011</v>
      </c>
    </row>
    <row r="38" spans="1:7">
      <c r="B38" s="1" t="s">
        <v>1192</v>
      </c>
      <c r="C38" s="1" t="str">
        <f ca="1">VLOOKUP(B38,TaskPlan!A:B,2,FALSE)</f>
        <v>Sachin</v>
      </c>
      <c r="D38" s="13" t="str">
        <f ca="1">VLOOKUP(B38,TaskPlan!A:L,12,FALSE)</f>
        <v>Closed</v>
      </c>
      <c r="E38" s="13">
        <f ca="1">IF(VLOOKUP(B38,TaskPlan!A:D,4,FALSE)=0,"",VLOOKUP(B38,TaskPlan!A:D,4,FALSE))</f>
        <v>40343</v>
      </c>
      <c r="F38" s="70">
        <f ca="1">VLOOKUP(B38,WorkList!A:F,6,FALSE)</f>
        <v>0.5</v>
      </c>
      <c r="G38" s="14" t="str">
        <f ca="1">VLOOKUP(B38,WorkList!A:C,3,FALSE)</f>
        <v>Set goals for 2010_2011</v>
      </c>
    </row>
    <row r="39" spans="1:7" ht="25.5">
      <c r="B39" s="4" t="s">
        <v>1249</v>
      </c>
      <c r="C39" s="1" t="str">
        <f ca="1">VLOOKUP(B39,TaskPlan!A:B,2,FALSE)</f>
        <v>Neil</v>
      </c>
      <c r="D39" s="13" t="str">
        <f ca="1">VLOOKUP(B39,TaskPlan!A:L,12,FALSE)</f>
        <v>Closed</v>
      </c>
      <c r="E39" s="13">
        <f ca="1">IF(VLOOKUP(B39,TaskPlan!A:D,4,FALSE)=0,"",VLOOKUP(B39,TaskPlan!A:D,4,FALSE))</f>
        <v>40357</v>
      </c>
      <c r="F39" s="70">
        <f ca="1">VLOOKUP(B39,WorkList!A:F,6,FALSE)</f>
        <v>1</v>
      </c>
      <c r="G39" s="14" t="str">
        <f ca="1">VLOOKUP(B39,WorkList!A:C,3,FALSE)</f>
        <v>All non WIG goals agreed by all team members and Neil and Yogesh</v>
      </c>
    </row>
    <row r="40" spans="1:7" s="77" customFormat="1" ht="13.5" thickBot="1">
      <c r="D40" s="72"/>
      <c r="E40" s="72"/>
      <c r="F40" s="71"/>
      <c r="G40" s="73"/>
    </row>
    <row r="41" spans="1:7">
      <c r="A41" s="75" t="s">
        <v>919</v>
      </c>
      <c r="B41" s="75" t="s">
        <v>1288</v>
      </c>
      <c r="D41" s="13"/>
      <c r="E41" s="13"/>
      <c r="F41" s="70"/>
      <c r="G41" s="14"/>
    </row>
    <row r="42" spans="1:7">
      <c r="B42" s="4" t="s">
        <v>1251</v>
      </c>
      <c r="C42" s="1" t="str">
        <f ca="1">VLOOKUP(B42,TaskPlan!A:B,2,FALSE)</f>
        <v>Sachin</v>
      </c>
      <c r="D42" s="13" t="str">
        <f ca="1">VLOOKUP(B42,TaskPlan!A:L,12,FALSE)</f>
        <v>Closed</v>
      </c>
      <c r="E42" s="13">
        <f ca="1">IF(VLOOKUP(B42,TaskPlan!A:D,4,FALSE)=0,"",VLOOKUP(B42,TaskPlan!A:D,4,FALSE))</f>
        <v>40353</v>
      </c>
      <c r="F42" s="70">
        <f ca="1">VLOOKUP(B42,WorkList!A:F,6,FALSE)</f>
        <v>0.5</v>
      </c>
      <c r="G42" s="14" t="str">
        <f ca="1">VLOOKUP(B42,WorkList!A:C,3,FALSE)</f>
        <v>TradeBlotter3: Agree items to include in release</v>
      </c>
    </row>
    <row r="43" spans="1:7">
      <c r="B43" s="4" t="s">
        <v>1253</v>
      </c>
      <c r="C43" s="1" t="str">
        <f ca="1">VLOOKUP(B43,TaskPlan!A:B,2,FALSE)</f>
        <v>Sachin</v>
      </c>
      <c r="D43" s="13" t="str">
        <f ca="1">VLOOKUP(B43,TaskPlan!A:L,12,FALSE)</f>
        <v>Closed</v>
      </c>
      <c r="E43" s="13">
        <f ca="1">IF(VLOOKUP(B43,TaskPlan!A:D,4,FALSE)=0,"",VLOOKUP(B43,TaskPlan!A:D,4,FALSE))</f>
        <v>40361</v>
      </c>
      <c r="F43" s="70">
        <f ca="1">VLOOKUP(B43,WorkList!A:F,6,FALSE)</f>
        <v>6</v>
      </c>
      <c r="G43" s="14" t="str">
        <f ca="1">VLOOKUP(B43,WorkList!A:C,3,FALSE)</f>
        <v>TradeBlotter3: Implement changes</v>
      </c>
    </row>
    <row r="44" spans="1:7">
      <c r="B44" s="4" t="s">
        <v>1254</v>
      </c>
      <c r="C44" s="1" t="str">
        <f ca="1">VLOOKUP(B44,TaskPlan!A:B,2,FALSE)</f>
        <v>Sachin</v>
      </c>
      <c r="D44" s="13" t="str">
        <f ca="1">VLOOKUP(B44,TaskPlan!A:L,12,FALSE)</f>
        <v>Closed</v>
      </c>
      <c r="E44" s="13">
        <f ca="1">IF(VLOOKUP(B44,TaskPlan!A:D,4,FALSE)=0,"",VLOOKUP(B44,TaskPlan!A:D,4,FALSE))</f>
        <v>40364</v>
      </c>
      <c r="F44" s="70">
        <f ca="1">VLOOKUP(B44,WorkList!A:F,6,FALSE)</f>
        <v>0.5</v>
      </c>
      <c r="G44" s="14" t="str">
        <f ca="1">VLOOKUP(B44,WorkList!A:C,3,FALSE)</f>
        <v>TradeBlotter3: Test changes</v>
      </c>
    </row>
    <row r="45" spans="1:7">
      <c r="B45" s="4" t="s">
        <v>1260</v>
      </c>
      <c r="C45" s="1" t="str">
        <f ca="1">VLOOKUP(B45,TaskPlan!A:B,2,FALSE)</f>
        <v>Sachin</v>
      </c>
      <c r="D45" s="13" t="str">
        <f ca="1">VLOOKUP(B45,TaskPlan!A:L,12,FALSE)</f>
        <v>Closed</v>
      </c>
      <c r="E45" s="13">
        <f ca="1">IF(VLOOKUP(B45,TaskPlan!A:D,4,FALSE)=0,"",VLOOKUP(B45,TaskPlan!A:D,4,FALSE))</f>
        <v>40366</v>
      </c>
      <c r="F45" s="70">
        <f ca="1">VLOOKUP(B45,WorkList!A:F,6,FALSE)</f>
        <v>0.5</v>
      </c>
      <c r="G45" s="14" t="str">
        <f ca="1">VLOOKUP(B45,WorkList!A:C,3,FALSE)</f>
        <v>TradeBlotter3: Review changes</v>
      </c>
    </row>
    <row r="46" spans="1:7">
      <c r="B46" s="4" t="s">
        <v>1262</v>
      </c>
      <c r="C46" s="1" t="str">
        <f ca="1">VLOOKUP(B46,TaskPlan!A:B,2,FALSE)</f>
        <v>Sachin</v>
      </c>
      <c r="D46" s="13" t="str">
        <f ca="1">VLOOKUP(B46,TaskPlan!A:L,12,FALSE)</f>
        <v>Closed</v>
      </c>
      <c r="E46" s="13">
        <f ca="1">IF(VLOOKUP(B46,TaskPlan!A:D,4,FALSE)=0,"",VLOOKUP(B46,TaskPlan!A:D,4,FALSE))</f>
        <v>40372</v>
      </c>
      <c r="F46" s="70">
        <f ca="1">VLOOKUP(B46,WorkList!A:F,6,FALSE)</f>
        <v>2</v>
      </c>
      <c r="G46" s="14" t="str">
        <f ca="1">VLOOKUP(B46,WorkList!A:C,3,FALSE)</f>
        <v>TradeBlotter3: Final changes and testing</v>
      </c>
    </row>
    <row r="47" spans="1:7">
      <c r="B47" s="4" t="s">
        <v>1261</v>
      </c>
      <c r="C47" s="1" t="str">
        <f ca="1">VLOOKUP(B47,TaskPlan!A:B,2,FALSE)</f>
        <v>Sachin</v>
      </c>
      <c r="D47" s="13" t="str">
        <f ca="1">VLOOKUP(B47,TaskPlan!A:L,12,FALSE)</f>
        <v>Closed</v>
      </c>
      <c r="E47" s="13">
        <f ca="1">IF(VLOOKUP(B47,TaskPlan!A:D,4,FALSE)=0,"",VLOOKUP(B47,TaskPlan!A:D,4,FALSE))</f>
        <v>40374</v>
      </c>
      <c r="F47" s="70">
        <f ca="1">VLOOKUP(B47,WorkList!A:F,6,FALSE)</f>
        <v>1</v>
      </c>
      <c r="G47" s="14" t="str">
        <f ca="1">VLOOKUP(B47,WorkList!A:C,3,FALSE)</f>
        <v>TradeBlotter3: Make release</v>
      </c>
    </row>
    <row r="48" spans="1:7" s="77" customFormat="1" ht="13.5" thickBot="1">
      <c r="F48" s="71"/>
      <c r="G48" s="79"/>
    </row>
    <row r="49" spans="1:7">
      <c r="A49" s="75" t="s">
        <v>37</v>
      </c>
      <c r="B49" s="75" t="s">
        <v>1290</v>
      </c>
      <c r="F49" s="70"/>
    </row>
    <row r="50" spans="1:7">
      <c r="B50" s="4" t="s">
        <v>1278</v>
      </c>
      <c r="C50" s="1" t="str">
        <f ca="1">VLOOKUP(B50,TaskPlan!A:B,2,FALSE)</f>
        <v>Paresh</v>
      </c>
      <c r="D50" s="13" t="str">
        <f ca="1">VLOOKUP(B50,TaskPlan!A:L,12,FALSE)</f>
        <v>Closed</v>
      </c>
      <c r="E50" s="13">
        <f ca="1">IF(VLOOKUP(B50,TaskPlan!A:D,4,FALSE)=0,"",VLOOKUP(B50,TaskPlan!A:D,4,FALSE))</f>
        <v>40396</v>
      </c>
      <c r="F50" s="70">
        <f ca="1">VLOOKUP(B50,WorkList!A:F,6,FALSE)</f>
        <v>1</v>
      </c>
      <c r="G50" s="14" t="str">
        <f ca="1">VLOOKUP(B50,WorkList!A:C,3,FALSE)</f>
        <v>Fix Spanish HPI load for data format change</v>
      </c>
    </row>
    <row r="51" spans="1:7" s="77" customFormat="1" ht="13.5" thickBot="1">
      <c r="F51" s="78"/>
      <c r="G51" s="79"/>
    </row>
    <row r="52" spans="1:7">
      <c r="A52" s="75" t="s">
        <v>919</v>
      </c>
      <c r="B52" s="75" t="s">
        <v>1356</v>
      </c>
    </row>
    <row r="53" spans="1:7">
      <c r="B53" s="7" t="s">
        <v>536</v>
      </c>
      <c r="C53" s="1" t="str">
        <f ca="1">VLOOKUP(B53,TaskPlan!A:B,2,FALSE)</f>
        <v>Sachin</v>
      </c>
      <c r="D53" s="13" t="str">
        <f ca="1">VLOOKUP(B53,TaskPlan!A:L,12,FALSE)</f>
        <v>Closed</v>
      </c>
      <c r="E53" s="13" t="str">
        <f ca="1">IF(VLOOKUP(B53,TaskPlan!A:D,4,FALSE)=0,"",VLOOKUP(B53,TaskPlan!A:D,4,FALSE))</f>
        <v/>
      </c>
      <c r="F53" s="70">
        <f ca="1">VLOOKUP(B53,WorkList!A:F,6,FALSE)</f>
        <v>2</v>
      </c>
      <c r="G53" s="14" t="str">
        <f ca="1">VLOOKUP(B53,WorkList!A:C,3,FALSE)</f>
        <v>NN RRA: Initial requirements &amp; design</v>
      </c>
    </row>
    <row r="54" spans="1:7">
      <c r="B54" s="7" t="s">
        <v>692</v>
      </c>
      <c r="C54" s="1" t="str">
        <f ca="1">VLOOKUP(B54,TaskPlan!A:B,2,FALSE)</f>
        <v>All</v>
      </c>
      <c r="D54" s="13" t="str">
        <f ca="1">VLOOKUP(B54,TaskPlan!A:L,12,FALSE)</f>
        <v>Closed</v>
      </c>
      <c r="E54" s="13">
        <f ca="1">IF(VLOOKUP(B54,TaskPlan!A:D,4,FALSE)=0,"",VLOOKUP(B54,TaskPlan!A:D,4,FALSE))</f>
        <v>40415</v>
      </c>
      <c r="F54" s="70">
        <f ca="1">VLOOKUP(B54,WorkList!A:F,6,FALSE)</f>
        <v>1</v>
      </c>
      <c r="G54" s="14" t="str">
        <f ca="1">VLOOKUP(B54,WorkList!A:C,3,FALSE)</f>
        <v>NN RRA: Review Design</v>
      </c>
    </row>
    <row r="55" spans="1:7">
      <c r="B55" s="7" t="s">
        <v>1444</v>
      </c>
      <c r="C55" s="1" t="str">
        <f ca="1">VLOOKUP(B55,TaskPlan!A:B,2,FALSE)</f>
        <v>Sachin</v>
      </c>
      <c r="D55" s="13" t="str">
        <f ca="1">VLOOKUP(B55,TaskPlan!A:L,12,FALSE)</f>
        <v>Closed</v>
      </c>
      <c r="E55" s="13">
        <f ca="1">IF(VLOOKUP(B55,TaskPlan!A:D,4,FALSE)=0,"",VLOOKUP(B55,TaskPlan!A:D,4,FALSE))</f>
        <v>40421</v>
      </c>
      <c r="F55" s="70">
        <f ca="1">VLOOKUP(B55,WorkList!A:F,6,FALSE)</f>
        <v>7</v>
      </c>
      <c r="G55" s="14" t="str">
        <f ca="1">VLOOKUP(B55,WorkList!A:C,3,FALSE)</f>
        <v>NN RRA: Implement RR Analyser cache</v>
      </c>
    </row>
    <row r="56" spans="1:7">
      <c r="B56" s="7" t="s">
        <v>1445</v>
      </c>
      <c r="C56" s="1" t="str">
        <f ca="1">VLOOKUP(B56,TaskPlan!A:B,2,FALSE)</f>
        <v>Sachin</v>
      </c>
      <c r="D56" s="13" t="str">
        <f ca="1">VLOOKUP(B56,TaskPlan!A:L,12,FALSE)</f>
        <v>Closed</v>
      </c>
      <c r="E56" s="13">
        <f ca="1">IF(VLOOKUP(B56,TaskPlan!A:D,4,FALSE)=0,"",VLOOKUP(B56,TaskPlan!A:D,4,FALSE))</f>
        <v>40422</v>
      </c>
      <c r="F56" s="70">
        <f ca="1">VLOOKUP(B56,WorkList!A:F,6,FALSE)</f>
        <v>4</v>
      </c>
      <c r="G56" s="14" t="str">
        <f ca="1">VLOOKUP(B56,WorkList!A:C,3,FALSE)</f>
        <v>NN RRA: UAT</v>
      </c>
    </row>
    <row r="57" spans="1:7">
      <c r="B57" s="7" t="s">
        <v>1446</v>
      </c>
      <c r="C57" s="1" t="str">
        <f ca="1">VLOOKUP(B57,TaskPlan!A:B,2,FALSE)</f>
        <v>All</v>
      </c>
      <c r="D57" s="13" t="str">
        <f ca="1">VLOOKUP(B57,TaskPlan!A:L,12,FALSE)</f>
        <v>Closed</v>
      </c>
      <c r="E57" s="13">
        <f ca="1">IF(VLOOKUP(B57,TaskPlan!A:D,4,FALSE)=0,"",VLOOKUP(B57,TaskPlan!A:D,4,FALSE))</f>
        <v>40427</v>
      </c>
      <c r="F57" s="70">
        <f ca="1">VLOOKUP(B57,WorkList!A:F,6,FALSE)</f>
        <v>1</v>
      </c>
      <c r="G57" s="14" t="str">
        <f ca="1">VLOOKUP(B57,WorkList!A:C,3,FALSE)</f>
        <v>NN RRA: Code review</v>
      </c>
    </row>
    <row r="58" spans="1:7">
      <c r="B58" s="7" t="s">
        <v>1447</v>
      </c>
      <c r="C58" s="1" t="str">
        <f ca="1">VLOOKUP(B58,TaskPlan!A:B,2,FALSE)</f>
        <v>Sachin</v>
      </c>
      <c r="D58" s="13" t="str">
        <f ca="1">VLOOKUP(B58,TaskPlan!A:L,12,FALSE)</f>
        <v>Closed</v>
      </c>
      <c r="E58" s="13">
        <f ca="1">IF(VLOOKUP(B58,TaskPlan!A:D,4,FALSE)=0,"",VLOOKUP(B58,TaskPlan!A:D,4,FALSE))</f>
        <v>40430</v>
      </c>
      <c r="F58" s="70">
        <f ca="1">VLOOKUP(B58,WorkList!A:F,6,FALSE)</f>
        <v>1</v>
      </c>
      <c r="G58" s="14" t="str">
        <f ca="1">VLOOKUP(B58,WorkList!A:C,3,FALSE)</f>
        <v>NN RRA: Release</v>
      </c>
    </row>
    <row r="59" spans="1:7">
      <c r="B59" s="7"/>
      <c r="D59" s="13"/>
      <c r="E59" s="13"/>
      <c r="F59" s="70"/>
      <c r="G59" s="14"/>
    </row>
    <row r="60" spans="1:7" s="77" customFormat="1" ht="13.5" thickBot="1">
      <c r="F60" s="78"/>
      <c r="G60" s="79"/>
    </row>
    <row r="61" spans="1:7">
      <c r="A61" s="75" t="s">
        <v>29</v>
      </c>
      <c r="B61" s="75" t="s">
        <v>1460</v>
      </c>
    </row>
    <row r="62" spans="1:7">
      <c r="B62" s="1" t="s">
        <v>1325</v>
      </c>
      <c r="C62" s="1" t="str">
        <f ca="1">VLOOKUP(B62,TaskPlan!A:B,2,FALSE)</f>
        <v>Neil</v>
      </c>
      <c r="D62" s="13" t="str">
        <f ca="1">VLOOKUP(B62,TaskPlan!A:L,12,FALSE)</f>
        <v>Closed</v>
      </c>
      <c r="E62" s="13" t="str">
        <f ca="1">IF(VLOOKUP(B62,TaskPlan!A:D,4,FALSE)=0,"",VLOOKUP(B62,TaskPlan!A:D,4,FALSE))</f>
        <v/>
      </c>
      <c r="F62" s="70">
        <f ca="1">VLOOKUP(B62,WorkList!A:F,6,FALSE)</f>
        <v>2</v>
      </c>
      <c r="G62" s="14" t="str">
        <f ca="1">VLOOKUP(B62,WorkList!A:C,3,FALSE)</f>
        <v>Schema save: Requirements</v>
      </c>
    </row>
    <row r="63" spans="1:7">
      <c r="B63" s="1" t="s">
        <v>1326</v>
      </c>
      <c r="C63" s="1" t="str">
        <f ca="1">VLOOKUP(B63,TaskPlan!A:B,2,FALSE)</f>
        <v>Ruth</v>
      </c>
      <c r="D63" s="13" t="str">
        <f ca="1">VLOOKUP(B63,TaskPlan!A:L,12,FALSE)</f>
        <v>Closed</v>
      </c>
      <c r="E63" s="13">
        <f ca="1">IF(VLOOKUP(B63,TaskPlan!A:D,4,FALSE)=0,"",VLOOKUP(B63,TaskPlan!A:D,4,FALSE))</f>
        <v>40411</v>
      </c>
      <c r="F63" s="70">
        <f ca="1">VLOOKUP(B63,WorkList!A:F,6,FALSE)</f>
        <v>5</v>
      </c>
      <c r="G63" s="14" t="str">
        <f ca="1">VLOOKUP(B63,WorkList!A:C,3,FALSE)</f>
        <v>Schema save: Build and test</v>
      </c>
    </row>
    <row r="64" spans="1:7">
      <c r="B64" s="1" t="s">
        <v>1455</v>
      </c>
      <c r="C64" s="1" t="str">
        <f ca="1">VLOOKUP(B64,TaskPlan!A:B,2,FALSE)</f>
        <v>Ruth</v>
      </c>
      <c r="D64" s="13" t="str">
        <f ca="1">VLOOKUP(B64,TaskPlan!A:L,12,FALSE)</f>
        <v>Closed</v>
      </c>
      <c r="E64" s="13">
        <f ca="1">IF(VLOOKUP(B64,TaskPlan!A:D,4,FALSE)=0,"",VLOOKUP(B64,TaskPlan!A:D,4,FALSE))</f>
        <v>40413</v>
      </c>
      <c r="F64" s="70">
        <f ca="1">VLOOKUP(B64,WorkList!A:F,6,FALSE)</f>
        <v>1</v>
      </c>
      <c r="G64" s="14" t="str">
        <f ca="1">VLOOKUP(B64,WorkList!A:C,3,FALSE)</f>
        <v>Schema save: Code review</v>
      </c>
    </row>
    <row r="65" spans="1:7">
      <c r="B65" s="1" t="s">
        <v>1457</v>
      </c>
      <c r="C65" s="1" t="str">
        <f ca="1">VLOOKUP(B65,TaskPlan!A:B,2,FALSE)</f>
        <v>Ruth</v>
      </c>
      <c r="D65" s="13" t="str">
        <f ca="1">VLOOKUP(B65,TaskPlan!A:L,12,FALSE)</f>
        <v>Closed</v>
      </c>
      <c r="E65" s="13">
        <f ca="1">IF(VLOOKUP(B65,TaskPlan!A:D,4,FALSE)=0,"",VLOOKUP(B65,TaskPlan!A:D,4,FALSE))</f>
        <v>40417</v>
      </c>
      <c r="F65" s="70">
        <f ca="1">VLOOKUP(B65,WorkList!A:F,6,FALSE)</f>
        <v>1</v>
      </c>
      <c r="G65" s="14" t="str">
        <f ca="1">VLOOKUP(B65,WorkList!A:C,3,FALSE)</f>
        <v>Schema save: Release</v>
      </c>
    </row>
    <row r="66" spans="1:7">
      <c r="B66" s="4"/>
      <c r="D66" s="13"/>
      <c r="E66" s="13"/>
      <c r="F66" s="70"/>
      <c r="G66" s="14"/>
    </row>
    <row r="67" spans="1:7">
      <c r="B67" s="4"/>
      <c r="D67" s="13"/>
      <c r="E67" s="13"/>
      <c r="F67" s="70"/>
      <c r="G67" s="14"/>
    </row>
    <row r="68" spans="1:7" s="77" customFormat="1" ht="13.5" thickBot="1">
      <c r="F68" s="78"/>
      <c r="G68" s="79"/>
    </row>
    <row r="69" spans="1:7">
      <c r="A69" s="75" t="s">
        <v>21</v>
      </c>
      <c r="B69" s="75" t="s">
        <v>1337</v>
      </c>
    </row>
    <row r="70" spans="1:7" ht="25.5">
      <c r="B70" s="1" t="s">
        <v>1338</v>
      </c>
      <c r="C70" s="1" t="str">
        <f ca="1">VLOOKUP(B70,TaskPlan!A:B,2,FALSE)</f>
        <v>Neil</v>
      </c>
      <c r="D70" s="13" t="str">
        <f ca="1">VLOOKUP(B70,TaskPlan!A:L,12,FALSE)</f>
        <v>Closed</v>
      </c>
      <c r="E70" s="13">
        <f ca="1">IF(VLOOKUP(B70,TaskPlan!A:D,4,FALSE)=0,"",VLOOKUP(B70,TaskPlan!A:D,4,FALSE))</f>
        <v>40364</v>
      </c>
      <c r="F70" s="70">
        <f ca="1">VLOOKUP(B70,WorkList!A:F,6,FALSE)</f>
        <v>1</v>
      </c>
      <c r="G70" s="14" t="str">
        <f ca="1">VLOOKUP(B70,WorkList!A:C,3,FALSE)</f>
        <v>ES Repo Rates: Build and release simple app to download files</v>
      </c>
    </row>
    <row r="71" spans="1:7">
      <c r="B71" s="1" t="s">
        <v>1339</v>
      </c>
      <c r="C71" s="1" t="str">
        <f ca="1">VLOOKUP(B71,TaskPlan!A:B,2,FALSE)</f>
        <v>Unassigned</v>
      </c>
      <c r="D71" s="13" t="str">
        <f ca="1">VLOOKUP(B71,TaskPlan!A:L,12,FALSE)</f>
        <v>Not Started</v>
      </c>
      <c r="E71" s="13" t="str">
        <f ca="1">IF(VLOOKUP(B71,TaskPlan!A:D,4,FALSE)=0,"",VLOOKUP(B71,TaskPlan!A:D,4,FALSE))</f>
        <v/>
      </c>
      <c r="F71" s="70">
        <f ca="1">VLOOKUP(B71,WorkList!A:F,6,FALSE)</f>
        <v>1</v>
      </c>
      <c r="G71" s="14" t="str">
        <f ca="1">VLOOKUP(B71,WorkList!A:C,3,FALSE)</f>
        <v>ES Repo Rates: Define Requirements</v>
      </c>
    </row>
    <row r="72" spans="1:7">
      <c r="B72" s="1" t="s">
        <v>1340</v>
      </c>
      <c r="C72" s="1" t="str">
        <f ca="1">VLOOKUP(B72,TaskPlan!A:B,2,FALSE)</f>
        <v>Unassigned</v>
      </c>
      <c r="D72" s="13" t="str">
        <f ca="1">VLOOKUP(B72,TaskPlan!A:L,12,FALSE)</f>
        <v>Not Started</v>
      </c>
      <c r="E72" s="13" t="str">
        <f ca="1">IF(VLOOKUP(B72,TaskPlan!A:D,4,FALSE)=0,"",VLOOKUP(B72,TaskPlan!A:D,4,FALSE))</f>
        <v/>
      </c>
      <c r="F72" s="70">
        <f ca="1">VLOOKUP(B72,WorkList!A:F,6,FALSE)</f>
        <v>4</v>
      </c>
      <c r="G72" s="14" t="str">
        <f ca="1">VLOOKUP(B72,WorkList!A:C,3,FALSE)</f>
        <v>ES Repo Rates: Design and implement</v>
      </c>
    </row>
    <row r="73" spans="1:7">
      <c r="B73" s="1" t="s">
        <v>1343</v>
      </c>
      <c r="C73" s="1" t="str">
        <f ca="1">VLOOKUP(B73,TaskPlan!A:B,2,FALSE)</f>
        <v>Unassigned</v>
      </c>
      <c r="D73" s="13" t="str">
        <f ca="1">VLOOKUP(B73,TaskPlan!A:L,12,FALSE)</f>
        <v>Not Started</v>
      </c>
      <c r="E73" s="13" t="str">
        <f ca="1">IF(VLOOKUP(B73,TaskPlan!A:D,4,FALSE)=0,"",VLOOKUP(B73,TaskPlan!A:D,4,FALSE))</f>
        <v/>
      </c>
      <c r="F73" s="70">
        <f ca="1">VLOOKUP(B73,WorkList!A:F,6,FALSE)</f>
        <v>1</v>
      </c>
      <c r="G73" s="14" t="str">
        <f ca="1">VLOOKUP(B73,WorkList!A:C,3,FALSE)</f>
        <v>ES Repo Rates: Review</v>
      </c>
    </row>
    <row r="74" spans="1:7">
      <c r="B74" s="1" t="s">
        <v>1345</v>
      </c>
      <c r="C74" s="1" t="str">
        <f ca="1">VLOOKUP(B74,TaskPlan!A:B,2,FALSE)</f>
        <v>Unassigned</v>
      </c>
      <c r="D74" s="13" t="str">
        <f ca="1">VLOOKUP(B74,TaskPlan!A:L,12,FALSE)</f>
        <v>Not Started</v>
      </c>
      <c r="E74" s="13" t="str">
        <f ca="1">IF(VLOOKUP(B74,TaskPlan!A:D,4,FALSE)=0,"",VLOOKUP(B74,TaskPlan!A:D,4,FALSE))</f>
        <v/>
      </c>
      <c r="F74" s="70">
        <f ca="1">VLOOKUP(B74,WorkList!A:F,6,FALSE)</f>
        <v>1</v>
      </c>
      <c r="G74" s="14" t="str">
        <f ca="1">VLOOKUP(B74,WorkList!A:C,3,FALSE)</f>
        <v>ES Repo Rates: Release</v>
      </c>
    </row>
    <row r="75" spans="1:7">
      <c r="B75" s="4"/>
      <c r="D75" s="13"/>
      <c r="E75" s="13"/>
      <c r="F75" s="70"/>
      <c r="G75" s="14"/>
    </row>
    <row r="76" spans="1:7">
      <c r="B76" s="4"/>
      <c r="D76" s="13"/>
      <c r="E76" s="13"/>
      <c r="F76" s="70"/>
      <c r="G76" s="14"/>
    </row>
    <row r="77" spans="1:7">
      <c r="B77" s="4"/>
      <c r="D77" s="13"/>
      <c r="E77" s="13"/>
      <c r="F77" s="70"/>
      <c r="G77" s="14"/>
    </row>
    <row r="78" spans="1:7">
      <c r="D78" s="13"/>
      <c r="E78" s="13"/>
      <c r="F78" s="70"/>
      <c r="G78" s="14"/>
    </row>
    <row r="79" spans="1:7" s="77" customFormat="1" ht="13.5" thickBot="1">
      <c r="D79" s="72"/>
      <c r="E79" s="72"/>
      <c r="F79" s="71"/>
      <c r="G79" s="73"/>
    </row>
    <row r="80" spans="1:7">
      <c r="A80" s="75" t="s">
        <v>32</v>
      </c>
      <c r="B80" s="68" t="s">
        <v>1283</v>
      </c>
      <c r="D80" s="13"/>
      <c r="E80" s="13"/>
      <c r="F80" s="70"/>
      <c r="G80" s="14"/>
    </row>
    <row r="81" spans="1:7">
      <c r="A81" s="75" t="s">
        <v>37</v>
      </c>
      <c r="B81" s="1" t="s">
        <v>890</v>
      </c>
      <c r="C81" s="1" t="str">
        <f ca="1">VLOOKUP(B81,TaskPlan!A:B,2,FALSE)</f>
        <v>Pramendra</v>
      </c>
      <c r="D81" s="13" t="str">
        <f ca="1">VLOOKUP(B81,TaskPlan!A:L,12,FALSE)</f>
        <v>Closed</v>
      </c>
      <c r="E81" s="13" t="str">
        <f ca="1">IF(VLOOKUP(B81,TaskPlan!A:D,4,FALSE)=0,"",VLOOKUP(B81,TaskPlan!A:D,4,FALSE))</f>
        <v/>
      </c>
      <c r="F81" s="70">
        <f ca="1">VLOOKUP(B81,WorkList!A:F,6,FALSE)</f>
        <v>5</v>
      </c>
      <c r="G81" s="14" t="str">
        <f ca="1">VLOOKUP(B81,WorkList!A:C,3,FALSE)</f>
        <v>Collateral Model: Initial Design of Framework</v>
      </c>
    </row>
    <row r="82" spans="1:7">
      <c r="B82" s="1" t="s">
        <v>891</v>
      </c>
      <c r="C82" s="1" t="str">
        <f ca="1">VLOOKUP(B82,TaskPlan!A:B,2,FALSE)</f>
        <v>All</v>
      </c>
      <c r="D82" s="13" t="str">
        <f ca="1">VLOOKUP(B82,TaskPlan!A:L,12,FALSE)</f>
        <v>Closed</v>
      </c>
      <c r="E82" s="13" t="str">
        <f ca="1">IF(VLOOKUP(B82,TaskPlan!A:D,4,FALSE)=0,"",VLOOKUP(B82,TaskPlan!A:D,4,FALSE))</f>
        <v/>
      </c>
      <c r="F82" s="70">
        <f ca="1">VLOOKUP(B82,WorkList!A:F,6,FALSE)</f>
        <v>2</v>
      </c>
      <c r="G82" s="14" t="str">
        <f ca="1">VLOOKUP(B82,WorkList!A:C,3,FALSE)</f>
        <v>Collateral Model: Review and agree design</v>
      </c>
    </row>
    <row r="83" spans="1:7">
      <c r="B83" s="1" t="s">
        <v>892</v>
      </c>
      <c r="C83" s="1" t="str">
        <f ca="1">VLOOKUP(B83,TaskPlan!A:B,2,FALSE)</f>
        <v>Pramendra</v>
      </c>
      <c r="D83" s="13" t="str">
        <f ca="1">VLOOKUP(B83,TaskPlan!A:L,12,FALSE)</f>
        <v>Closed</v>
      </c>
      <c r="E83" s="13" t="str">
        <f ca="1">IF(VLOOKUP(B83,TaskPlan!A:D,4,FALSE)=0,"",VLOOKUP(B83,TaskPlan!A:D,4,FALSE))</f>
        <v/>
      </c>
      <c r="F83" s="70">
        <f ca="1">VLOOKUP(B83,WorkList!A:F,6,FALSE)</f>
        <v>5</v>
      </c>
      <c r="G83" s="14" t="str">
        <f ca="1">VLOOKUP(B83,WorkList!A:C,3,FALSE)</f>
        <v>Collateral Model: First core implementation</v>
      </c>
    </row>
    <row r="84" spans="1:7">
      <c r="B84" s="1" t="s">
        <v>893</v>
      </c>
      <c r="C84" s="1" t="str">
        <f ca="1">VLOOKUP(B84,TaskPlan!A:B,2,FALSE)</f>
        <v>All</v>
      </c>
      <c r="D84" s="13" t="str">
        <f ca="1">VLOOKUP(B84,TaskPlan!A:L,12,FALSE)</f>
        <v>Closed</v>
      </c>
      <c r="E84" s="13" t="str">
        <f ca="1">IF(VLOOKUP(B84,TaskPlan!A:D,4,FALSE)=0,"",VLOOKUP(B84,TaskPlan!A:D,4,FALSE))</f>
        <v/>
      </c>
      <c r="F84" s="70">
        <f ca="1">VLOOKUP(B84,WorkList!A:F,6,FALSE)</f>
        <v>2</v>
      </c>
      <c r="G84" s="14" t="str">
        <f ca="1">VLOOKUP(B84,WorkList!A:C,3,FALSE)</f>
        <v>Collateral Model: Review and agree implementation</v>
      </c>
    </row>
    <row r="85" spans="1:7">
      <c r="B85" s="1" t="s">
        <v>897</v>
      </c>
      <c r="C85" s="1" t="str">
        <f ca="1">VLOOKUP(B85,TaskPlan!A:B,2,FALSE)</f>
        <v>Pramendra</v>
      </c>
      <c r="D85" s="13" t="str">
        <f ca="1">VLOOKUP(B85,TaskPlan!A:L,12,FALSE)</f>
        <v>Closed</v>
      </c>
      <c r="E85" s="13">
        <f ca="1">IF(VLOOKUP(B85,TaskPlan!A:D,4,FALSE)=0,"",VLOOKUP(B85,TaskPlan!A:D,4,FALSE))</f>
        <v>40263</v>
      </c>
      <c r="F85" s="70">
        <f ca="1">VLOOKUP(B85,WorkList!A:F,6,FALSE)</f>
        <v>15</v>
      </c>
      <c r="G85" s="14" t="str">
        <f ca="1">VLOOKUP(B85,WorkList!A:C,3,FALSE)</f>
        <v>Collateral Model: Complete implementation</v>
      </c>
    </row>
    <row r="86" spans="1:7">
      <c r="B86" s="1" t="s">
        <v>1068</v>
      </c>
      <c r="C86" s="1" t="str">
        <f ca="1">VLOOKUP(B86,TaskPlan!A:B,2,FALSE)</f>
        <v>Paresh</v>
      </c>
      <c r="D86" s="13" t="str">
        <f ca="1">VLOOKUP(B86,TaskPlan!A:L,12,FALSE)</f>
        <v>Closed</v>
      </c>
      <c r="E86" s="13">
        <f ca="1">IF(VLOOKUP(B86,TaskPlan!A:D,4,FALSE)=0,"",VLOOKUP(B86,TaskPlan!A:D,4,FALSE))</f>
        <v>40308</v>
      </c>
      <c r="F86" s="70">
        <f ca="1">VLOOKUP(B86,WorkList!A:F,6,FALSE)</f>
        <v>5</v>
      </c>
      <c r="G86" s="14" t="str">
        <f ca="1">VLOOKUP(B86,WorkList!A:C,3,FALSE)</f>
        <v>Collateral Model: Incorporate updated model coefficients</v>
      </c>
    </row>
    <row r="87" spans="1:7">
      <c r="B87" s="7" t="s">
        <v>1332</v>
      </c>
      <c r="C87" s="1" t="str">
        <f ca="1">VLOOKUP(B87,TaskPlan!A:B,2,FALSE)</f>
        <v>Pramendra</v>
      </c>
      <c r="D87" s="13" t="str">
        <f ca="1">VLOOKUP(B87,TaskPlan!A:L,12,FALSE)</f>
        <v>Closed</v>
      </c>
      <c r="E87" s="13" t="str">
        <f ca="1">IF(VLOOKUP(B87,TaskPlan!A:D,4,FALSE)=0,"",VLOOKUP(B87,TaskPlan!A:D,4,FALSE))</f>
        <v/>
      </c>
      <c r="F87" s="70">
        <f ca="1">VLOOKUP(B87,WorkList!A:F,6,FALSE)</f>
        <v>4</v>
      </c>
      <c r="G87" s="14" t="str">
        <f ca="1">VLOOKUP(B87,WorkList!A:C,3,FALSE)</f>
        <v>Collateral Model: UAT - Backtesting</v>
      </c>
    </row>
    <row r="88" spans="1:7">
      <c r="D88" s="13"/>
      <c r="E88" s="13"/>
      <c r="F88" s="70"/>
      <c r="G88" s="14"/>
    </row>
    <row r="89" spans="1:7" s="77" customFormat="1" ht="13.5" thickBot="1">
      <c r="D89" s="72"/>
      <c r="E89" s="72"/>
      <c r="F89" s="71"/>
      <c r="G89" s="73"/>
    </row>
    <row r="90" spans="1:7">
      <c r="A90" s="75" t="s">
        <v>37</v>
      </c>
      <c r="B90" s="75" t="s">
        <v>1289</v>
      </c>
      <c r="D90" s="13"/>
      <c r="E90" s="13"/>
      <c r="F90" s="70"/>
      <c r="G90" s="14"/>
    </row>
    <row r="91" spans="1:7">
      <c r="B91" s="7" t="s">
        <v>1164</v>
      </c>
      <c r="C91" s="1" t="str">
        <f ca="1">VLOOKUP(B91,TaskPlan!A:B,2,FALSE)</f>
        <v>Pramendra</v>
      </c>
      <c r="D91" s="13" t="str">
        <f ca="1">VLOOKUP(B91,TaskPlan!A:L,12,FALSE)</f>
        <v>Closed</v>
      </c>
      <c r="E91" s="13" t="str">
        <f ca="1">IF(VLOOKUP(B91,TaskPlan!A:D,4,FALSE)=0,"",VLOOKUP(B91,TaskPlan!A:D,4,FALSE))</f>
        <v/>
      </c>
      <c r="F91" s="70">
        <f ca="1">VLOOKUP(B91,WorkList!A:F,6,FALSE)</f>
        <v>1</v>
      </c>
      <c r="G91" s="14" t="str">
        <f ca="1">VLOOKUP(B91,WorkList!A:C,3,FALSE)</f>
        <v>ModelCashflows: Gather requirements</v>
      </c>
    </row>
    <row r="92" spans="1:7">
      <c r="B92" s="1" t="s">
        <v>1165</v>
      </c>
      <c r="C92" s="1" t="str">
        <f ca="1">VLOOKUP(B92,TaskPlan!A:B,2,FALSE)</f>
        <v>Paresh</v>
      </c>
      <c r="D92" s="13" t="str">
        <f ca="1">VLOOKUP(B92,TaskPlan!A:L,12,FALSE)</f>
        <v>Closed</v>
      </c>
      <c r="E92" s="13">
        <f ca="1">IF(VLOOKUP(B92,TaskPlan!A:D,4,FALSE)=0,"",VLOOKUP(B92,TaskPlan!A:D,4,FALSE))</f>
        <v>40359</v>
      </c>
      <c r="F92" s="70">
        <f ca="1">VLOOKUP(B92,WorkList!A:F,6,FALSE)</f>
        <v>2</v>
      </c>
      <c r="G92" s="14" t="str">
        <f ca="1">VLOOKUP(B92,WorkList!A:C,3,FALSE)</f>
        <v>ModelCashflows: Produce initial design</v>
      </c>
    </row>
    <row r="93" spans="1:7">
      <c r="B93" s="1" t="s">
        <v>1166</v>
      </c>
      <c r="C93" s="1" t="str">
        <f ca="1">VLOOKUP(B93,TaskPlan!A:B,2,FALSE)</f>
        <v>All</v>
      </c>
      <c r="D93" s="13" t="str">
        <f ca="1">VLOOKUP(B93,TaskPlan!A:L,12,FALSE)</f>
        <v>Closed</v>
      </c>
      <c r="E93" s="13">
        <f ca="1">IF(VLOOKUP(B93,TaskPlan!A:D,4,FALSE)=0,"",VLOOKUP(B93,TaskPlan!A:D,4,FALSE))</f>
        <v>40362</v>
      </c>
      <c r="F93" s="70">
        <f ca="1">VLOOKUP(B93,WorkList!A:F,6,FALSE)</f>
        <v>2</v>
      </c>
      <c r="G93" s="14" t="str">
        <f ca="1">VLOOKUP(B93,WorkList!A:C,3,FALSE)</f>
        <v>ModelCashflows: Review initial design</v>
      </c>
    </row>
    <row r="94" spans="1:7">
      <c r="B94" s="1" t="s">
        <v>1264</v>
      </c>
      <c r="C94" s="1" t="str">
        <f ca="1">VLOOKUP(B94,TaskPlan!A:B,2,FALSE)</f>
        <v>Paresh</v>
      </c>
      <c r="D94" s="13" t="str">
        <f ca="1">VLOOKUP(B94,TaskPlan!A:L,12,FALSE)</f>
        <v>Closed</v>
      </c>
      <c r="E94" s="13">
        <f ca="1">IF(VLOOKUP(B94,TaskPlan!A:D,4,FALSE)=0,"",VLOOKUP(B94,TaskPlan!A:D,4,FALSE))</f>
        <v>40366</v>
      </c>
      <c r="F94" s="70">
        <f ca="1">VLOOKUP(B94,WorkList!A:F,6,FALSE)</f>
        <v>3</v>
      </c>
      <c r="G94" s="14" t="str">
        <f ca="1">VLOOKUP(B94,WorkList!A:C,3,FALSE)</f>
        <v>ModelCashflows: First Implementation</v>
      </c>
    </row>
    <row r="95" spans="1:7">
      <c r="B95" s="1" t="s">
        <v>1272</v>
      </c>
      <c r="C95" s="1" t="str">
        <f ca="1">VLOOKUP(B95,TaskPlan!A:B,2,FALSE)</f>
        <v>Neil</v>
      </c>
      <c r="D95" s="13" t="str">
        <f ca="1">VLOOKUP(B95,TaskPlan!A:L,12,FALSE)</f>
        <v>Closed</v>
      </c>
      <c r="E95" s="13">
        <f ca="1">IF(VLOOKUP(B95,TaskPlan!A:D,4,FALSE)=0,"",VLOOKUP(B95,TaskPlan!A:D,4,FALSE))</f>
        <v>40410</v>
      </c>
      <c r="F95" s="70">
        <f ca="1">VLOOKUP(B95,WorkList!A:F,6,FALSE)</f>
        <v>1</v>
      </c>
      <c r="G95" s="14" t="str">
        <f ca="1">VLOOKUP(B95,WorkList!A:C,3,FALSE)</f>
        <v>ModelCashflows: Review Implementation</v>
      </c>
    </row>
    <row r="96" spans="1:7">
      <c r="B96" s="1" t="s">
        <v>1273</v>
      </c>
      <c r="C96" s="1" t="str">
        <f ca="1">VLOOKUP(B96,TaskPlan!A:B,2,FALSE)</f>
        <v>Paresh</v>
      </c>
      <c r="D96" s="13" t="str">
        <f ca="1">VLOOKUP(B96,TaskPlan!A:L,12,FALSE)</f>
        <v>Closed</v>
      </c>
      <c r="E96" s="13">
        <f ca="1">IF(VLOOKUP(B96,TaskPlan!A:D,4,FALSE)=0,"",VLOOKUP(B96,TaskPlan!A:D,4,FALSE))</f>
        <v>40374</v>
      </c>
      <c r="F96" s="70">
        <f ca="1">VLOOKUP(B96,WorkList!A:F,6,FALSE)</f>
        <v>5</v>
      </c>
      <c r="G96" s="14" t="str">
        <f ca="1">VLOOKUP(B96,WorkList!A:C,3,FALSE)</f>
        <v>ModelCashflows: Complete Implementation</v>
      </c>
    </row>
    <row r="97" spans="1:7">
      <c r="B97" s="1" t="s">
        <v>1274</v>
      </c>
      <c r="C97" s="1" t="str">
        <f ca="1">VLOOKUP(B97,TaskPlan!A:B,2,FALSE)</f>
        <v>Paresh</v>
      </c>
      <c r="D97" s="13" t="str">
        <f ca="1">VLOOKUP(B97,TaskPlan!A:L,12,FALSE)</f>
        <v>Closed</v>
      </c>
      <c r="E97" s="13" t="str">
        <f ca="1">IF(VLOOKUP(B97,TaskPlan!A:D,4,FALSE)=0,"",VLOOKUP(B97,TaskPlan!A:D,4,FALSE))</f>
        <v/>
      </c>
      <c r="F97" s="70">
        <f ca="1">VLOOKUP(B97,WorkList!A:F,6,FALSE)</f>
        <v>3</v>
      </c>
      <c r="G97" s="14" t="str">
        <f ca="1">VLOOKUP(B97,WorkList!A:C,3,FALSE)</f>
        <v>ModelCashflows: UAT Testing</v>
      </c>
    </row>
    <row r="98" spans="1:7">
      <c r="B98" s="1" t="s">
        <v>1275</v>
      </c>
      <c r="C98" s="1" t="str">
        <f ca="1">VLOOKUP(B98,TaskPlan!A:B,2,FALSE)</f>
        <v>All</v>
      </c>
      <c r="D98" s="13" t="str">
        <f ca="1">VLOOKUP(B98,TaskPlan!A:L,12,FALSE)</f>
        <v>Closed</v>
      </c>
      <c r="E98" s="13">
        <f ca="1">IF(VLOOKUP(B98,TaskPlan!A:D,4,FALSE)=0,"",VLOOKUP(B98,TaskPlan!A:D,4,FALSE))</f>
        <v>40380</v>
      </c>
      <c r="F98" s="70">
        <f ca="1">VLOOKUP(B98,WorkList!A:F,6,FALSE)</f>
        <v>1</v>
      </c>
      <c r="G98" s="14" t="str">
        <f ca="1">VLOOKUP(B98,WorkList!A:C,3,FALSE)</f>
        <v>ModelCashflows: Team review</v>
      </c>
    </row>
    <row r="99" spans="1:7">
      <c r="B99" s="1" t="s">
        <v>1276</v>
      </c>
      <c r="C99" s="1" t="str">
        <f ca="1">VLOOKUP(B99,TaskPlan!A:B,2,FALSE)</f>
        <v>Paresh</v>
      </c>
      <c r="D99" s="13" t="str">
        <f ca="1">VLOOKUP(B99,TaskPlan!A:L,12,FALSE)</f>
        <v>Closed</v>
      </c>
      <c r="E99" s="13" t="str">
        <f ca="1">IF(VLOOKUP(B99,TaskPlan!A:D,4,FALSE)=0,"",VLOOKUP(B99,TaskPlan!A:D,4,FALSE))</f>
        <v/>
      </c>
      <c r="F99" s="70">
        <f ca="1">VLOOKUP(B99,WorkList!A:F,6,FALSE)</f>
        <v>2</v>
      </c>
      <c r="G99" s="14" t="str">
        <f ca="1">VLOOKUP(B99,WorkList!A:C,3,FALSE)</f>
        <v>ModelCashflows: Modifications for comments</v>
      </c>
    </row>
    <row r="100" spans="1:7">
      <c r="B100" s="1" t="s">
        <v>1277</v>
      </c>
      <c r="C100" s="1" t="str">
        <f ca="1">VLOOKUP(B100,TaskPlan!A:B,2,FALSE)</f>
        <v>Paresh</v>
      </c>
      <c r="D100" s="13" t="str">
        <f ca="1">VLOOKUP(B100,TaskPlan!A:L,12,FALSE)</f>
        <v>Closed</v>
      </c>
      <c r="E100" s="13" t="str">
        <f ca="1">IF(VLOOKUP(B100,TaskPlan!A:D,4,FALSE)=0,"",VLOOKUP(B100,TaskPlan!A:D,4,FALSE))</f>
        <v/>
      </c>
      <c r="F100" s="70">
        <f ca="1">VLOOKUP(B100,WorkList!A:F,6,FALSE)</f>
        <v>1</v>
      </c>
      <c r="G100" s="14" t="str">
        <f ca="1">VLOOKUP(B100,WorkList!A:C,3,FALSE)</f>
        <v>ModelCashflows: Complete</v>
      </c>
    </row>
    <row r="102" spans="1:7" s="77" customFormat="1" ht="13.5" thickBot="1">
      <c r="F102" s="71"/>
      <c r="G102" s="79"/>
    </row>
    <row r="103" spans="1:7">
      <c r="A103" s="2" t="s">
        <v>11</v>
      </c>
      <c r="B103" s="75" t="s">
        <v>1637</v>
      </c>
      <c r="F103" s="70"/>
    </row>
    <row r="104" spans="1:7">
      <c r="B104" s="1" t="s">
        <v>887</v>
      </c>
      <c r="C104" s="1" t="str">
        <f ca="1">VLOOKUP(B104,TaskPlan!A:B,2,FALSE)</f>
        <v>Neil</v>
      </c>
      <c r="D104" s="13" t="str">
        <f ca="1">VLOOKUP(B104,TaskPlan!A:L,12,FALSE)</f>
        <v>Closed</v>
      </c>
      <c r="E104" s="13" t="str">
        <f ca="1">IF(VLOOKUP(B104,TaskPlan!A:D,4,FALSE)=0,"",VLOOKUP(B104,TaskPlan!A:D,4,FALSE))</f>
        <v/>
      </c>
      <c r="F104" s="70">
        <f ca="1">VLOOKUP(B104,WorkList!A:F,6,FALSE)</f>
        <v>5</v>
      </c>
      <c r="G104" s="14" t="str">
        <f ca="1">VLOOKUP(B104,WorkList!A:C,3,FALSE)</f>
        <v>Intex Wrapper: Design suitable wrapper</v>
      </c>
    </row>
    <row r="105" spans="1:7">
      <c r="B105" s="1" t="s">
        <v>888</v>
      </c>
      <c r="C105" s="1" t="str">
        <f ca="1">VLOOKUP(B105,TaskPlan!A:B,2,FALSE)</f>
        <v>All</v>
      </c>
      <c r="D105" s="13" t="str">
        <f ca="1">VLOOKUP(B105,TaskPlan!A:L,12,FALSE)</f>
        <v>Closed</v>
      </c>
      <c r="E105" s="13" t="str">
        <f ca="1">IF(VLOOKUP(B105,TaskPlan!A:D,4,FALSE)=0,"",VLOOKUP(B105,TaskPlan!A:D,4,FALSE))</f>
        <v/>
      </c>
      <c r="F105" s="70">
        <f ca="1">VLOOKUP(B105,WorkList!A:F,6,FALSE)</f>
        <v>2</v>
      </c>
      <c r="G105" s="14" t="str">
        <f ca="1">VLOOKUP(B105,WorkList!A:C,3,FALSE)</f>
        <v>Intex Wrapper: Review and agree design</v>
      </c>
    </row>
    <row r="106" spans="1:7">
      <c r="B106" s="1" t="s">
        <v>901</v>
      </c>
      <c r="C106" s="1" t="str">
        <f ca="1">VLOOKUP(B106,TaskPlan!A:B,2,FALSE)</f>
        <v>Neil</v>
      </c>
      <c r="D106" s="13" t="str">
        <f ca="1">VLOOKUP(B106,TaskPlan!A:L,12,FALSE)</f>
        <v>Closed</v>
      </c>
      <c r="E106" s="13" t="str">
        <f ca="1">IF(VLOOKUP(B106,TaskPlan!A:D,4,FALSE)=0,"",VLOOKUP(B106,TaskPlan!A:D,4,FALSE))</f>
        <v/>
      </c>
      <c r="F106" s="70">
        <f ca="1">VLOOKUP(B106,WorkList!A:F,6,FALSE)</f>
        <v>5</v>
      </c>
      <c r="G106" s="14" t="str">
        <f ca="1">VLOOKUP(B106,WorkList!A:C,3,FALSE)</f>
        <v>Intex Wrapper: First core implementation</v>
      </c>
    </row>
    <row r="107" spans="1:7">
      <c r="B107" s="1" t="s">
        <v>902</v>
      </c>
      <c r="C107" s="1" t="str">
        <f ca="1">VLOOKUP(B107,TaskPlan!A:B,2,FALSE)</f>
        <v>All</v>
      </c>
      <c r="D107" s="13" t="str">
        <f ca="1">VLOOKUP(B107,TaskPlan!A:L,12,FALSE)</f>
        <v>Closed</v>
      </c>
      <c r="E107" s="13" t="str">
        <f ca="1">IF(VLOOKUP(B107,TaskPlan!A:D,4,FALSE)=0,"",VLOOKUP(B107,TaskPlan!A:D,4,FALSE))</f>
        <v/>
      </c>
      <c r="F107" s="70">
        <f ca="1">VLOOKUP(B107,WorkList!A:F,6,FALSE)</f>
        <v>2</v>
      </c>
      <c r="G107" s="14" t="str">
        <f ca="1">VLOOKUP(B107,WorkList!A:C,3,FALSE)</f>
        <v>Intex Wrapper: Review and agree implementation</v>
      </c>
    </row>
    <row r="108" spans="1:7">
      <c r="B108" s="1" t="s">
        <v>907</v>
      </c>
      <c r="C108" s="1" t="str">
        <f ca="1">VLOOKUP(B108,TaskPlan!A:B,2,FALSE)</f>
        <v>Neil</v>
      </c>
      <c r="D108" s="13" t="str">
        <f ca="1">VLOOKUP(B108,TaskPlan!A:L,12,FALSE)</f>
        <v>Closed</v>
      </c>
      <c r="E108" s="13" t="str">
        <f ca="1">IF(VLOOKUP(B108,TaskPlan!A:D,4,FALSE)=0,"",VLOOKUP(B108,TaskPlan!A:D,4,FALSE))</f>
        <v/>
      </c>
      <c r="F108" s="70">
        <f ca="1">VLOOKUP(B108,WorkList!A:F,6,FALSE)</f>
        <v>10</v>
      </c>
      <c r="G108" s="14" t="str">
        <f ca="1">VLOOKUP(B108,WorkList!A:C,3,FALSE)</f>
        <v>Intex Wrapper: Complete implementation</v>
      </c>
    </row>
    <row r="109" spans="1:7" ht="25.5">
      <c r="B109" s="1" t="s">
        <v>1148</v>
      </c>
      <c r="C109" s="1" t="str">
        <f ca="1">VLOOKUP(B109,TaskPlan!A:B,2,FALSE)</f>
        <v>Neil</v>
      </c>
      <c r="D109" s="13" t="str">
        <f ca="1">VLOOKUP(B109,TaskPlan!A:L,12,FALSE)</f>
        <v>Closed</v>
      </c>
      <c r="E109" s="13">
        <f ca="1">IF(VLOOKUP(B109,TaskPlan!A:D,4,FALSE)=0,"",VLOOKUP(B109,TaskPlan!A:D,4,FALSE))</f>
        <v>40330</v>
      </c>
      <c r="F109" s="70">
        <f ca="1">VLOOKUP(B109,WorkList!A:F,6,FALSE)</f>
        <v>3</v>
      </c>
      <c r="G109" s="14" t="str">
        <f ca="1">VLOOKUP(B109,WorkList!A:C,3,FALSE)</f>
        <v>CFGen: Complete Prototype Implementation with Wrapped API and document</v>
      </c>
    </row>
    <row r="110" spans="1:7">
      <c r="B110" s="1" t="s">
        <v>1149</v>
      </c>
      <c r="C110" s="1" t="str">
        <f ca="1">VLOOKUP(B110,TaskPlan!A:B,2,FALSE)</f>
        <v>Neil</v>
      </c>
      <c r="D110" s="13" t="str">
        <f ca="1">VLOOKUP(B110,TaskPlan!A:L,12,FALSE)</f>
        <v>Closed</v>
      </c>
      <c r="E110" s="13" t="str">
        <f ca="1">IF(VLOOKUP(B110,TaskPlan!A:D,4,FALSE)=0,"",VLOOKUP(B110,TaskPlan!A:D,4,FALSE))</f>
        <v/>
      </c>
      <c r="F110" s="70">
        <f ca="1">VLOOKUP(B110,WorkList!A:F,6,FALSE)</f>
        <v>2</v>
      </c>
      <c r="G110" s="14" t="str">
        <f ca="1">VLOOKUP(B110,WorkList!A:C,3,FALSE)</f>
        <v>CFGen: Spec out requirements for using Intex Bond Cfs</v>
      </c>
    </row>
    <row r="111" spans="1:7">
      <c r="B111" s="1" t="s">
        <v>1150</v>
      </c>
      <c r="C111" s="1" t="str">
        <f ca="1">VLOOKUP(B111,TaskPlan!A:B,2,FALSE)</f>
        <v>Neil</v>
      </c>
      <c r="D111" s="13" t="str">
        <f ca="1">VLOOKUP(B111,TaskPlan!A:L,12,FALSE)</f>
        <v>Closed</v>
      </c>
      <c r="E111" s="13" t="str">
        <f ca="1">IF(VLOOKUP(B111,TaskPlan!A:D,4,FALSE)=0,"",VLOOKUP(B111,TaskPlan!A:D,4,FALSE))</f>
        <v/>
      </c>
      <c r="F111" s="70">
        <f ca="1">VLOOKUP(B111,WorkList!A:F,6,FALSE)</f>
        <v>5</v>
      </c>
      <c r="G111" s="14" t="str">
        <f ca="1">VLOOKUP(B111,WorkList!A:C,3,FALSE)</f>
        <v>CFGen: Design and build 1st implementation</v>
      </c>
    </row>
    <row r="112" spans="1:7">
      <c r="B112" s="1" t="s">
        <v>1153</v>
      </c>
      <c r="C112" s="1" t="str">
        <f ca="1">VLOOKUP(B112,TaskPlan!A:B,2,FALSE)</f>
        <v>Neil</v>
      </c>
      <c r="D112" s="13" t="str">
        <f ca="1">VLOOKUP(B112,TaskPlan!A:L,12,FALSE)</f>
        <v>Closed</v>
      </c>
      <c r="E112" s="13" t="str">
        <f ca="1">IF(VLOOKUP(B112,TaskPlan!A:D,4,FALSE)=0,"",VLOOKUP(B112,TaskPlan!A:D,4,FALSE))</f>
        <v/>
      </c>
      <c r="F112" s="70">
        <f ca="1">VLOOKUP(B112,WorkList!A:F,6,FALSE)</f>
        <v>2</v>
      </c>
      <c r="G112" s="14" t="str">
        <f ca="1">VLOOKUP(B112,WorkList!A:C,3,FALSE)</f>
        <v>CFGen: Review and agree implementation</v>
      </c>
    </row>
    <row r="113" spans="1:7">
      <c r="B113" s="1" t="s">
        <v>1679</v>
      </c>
      <c r="C113" s="1" t="str">
        <f ca="1">VLOOKUP(B113,TaskPlan!A:B,2,FALSE)</f>
        <v>Neil</v>
      </c>
      <c r="D113" s="13" t="str">
        <f ca="1">VLOOKUP(B113,TaskPlan!A:L,12,FALSE)</f>
        <v>Closed</v>
      </c>
      <c r="E113" s="13" t="str">
        <f ca="1">IF(VLOOKUP(B113,TaskPlan!A:D,4,FALSE)=0,"",VLOOKUP(B113,TaskPlan!A:D,4,FALSE))</f>
        <v/>
      </c>
      <c r="F113" s="70">
        <f ca="1">VLOOKUP(B113,WorkList!A:F,6,FALSE)</f>
        <v>1</v>
      </c>
      <c r="G113" s="14" t="str">
        <f ca="1">VLOOKUP(B113,WorkList!A:C,3,FALSE)</f>
        <v>Add Cashflow generation source field for each bond</v>
      </c>
    </row>
    <row r="114" spans="1:7">
      <c r="B114" s="1" t="s">
        <v>1155</v>
      </c>
      <c r="C114" s="1" t="str">
        <f ca="1">VLOOKUP(B114,TaskPlan!A:B,2,FALSE)</f>
        <v>Neil</v>
      </c>
      <c r="D114" s="13" t="str">
        <f ca="1">VLOOKUP(B114,TaskPlan!A:L,12,FALSE)</f>
        <v>Closed</v>
      </c>
      <c r="E114" s="13" t="str">
        <f ca="1">IF(VLOOKUP(B114,TaskPlan!A:D,4,FALSE)=0,"",VLOOKUP(B114,TaskPlan!A:D,4,FALSE))</f>
        <v/>
      </c>
      <c r="F114" s="70">
        <f ca="1">VLOOKUP(B114,WorkList!A:F,6,FALSE)</f>
        <v>10</v>
      </c>
      <c r="G114" s="14" t="str">
        <f ca="1">VLOOKUP(B114,WorkList!A:C,3,FALSE)</f>
        <v>CFGen: Complete first implementation</v>
      </c>
    </row>
    <row r="115" spans="1:7">
      <c r="B115" s="1" t="s">
        <v>1157</v>
      </c>
      <c r="C115" s="1" t="str">
        <f ca="1">VLOOKUP(B115,TaskPlan!A:B,2,FALSE)</f>
        <v>Neil</v>
      </c>
      <c r="D115" s="13" t="str">
        <f ca="1">VLOOKUP(B115,TaskPlan!A:L,12,FALSE)</f>
        <v>Closed</v>
      </c>
      <c r="E115" s="13" t="str">
        <f ca="1">IF(VLOOKUP(B115,TaskPlan!A:D,4,FALSE)=0,"",VLOOKUP(B115,TaskPlan!A:D,4,FALSE))</f>
        <v/>
      </c>
      <c r="F115" s="70">
        <f ca="1">VLOOKUP(B115,WorkList!A:F,6,FALSE)</f>
        <v>5</v>
      </c>
      <c r="G115" s="14" t="str">
        <f ca="1">VLOOKUP(B115,WorkList!A:C,3,FALSE)</f>
        <v>CFGen: Test in QA</v>
      </c>
    </row>
    <row r="116" spans="1:7">
      <c r="D116" s="13"/>
      <c r="E116" s="13"/>
      <c r="F116" s="70"/>
      <c r="G116" s="14"/>
    </row>
    <row r="117" spans="1:7" s="77" customFormat="1" ht="13.5" thickBot="1">
      <c r="F117" s="71"/>
      <c r="G117" s="79"/>
    </row>
    <row r="118" spans="1:7">
      <c r="A118" s="75" t="s">
        <v>919</v>
      </c>
      <c r="B118" s="75" t="s">
        <v>1291</v>
      </c>
      <c r="F118" s="70"/>
    </row>
    <row r="119" spans="1:7">
      <c r="B119" s="4" t="s">
        <v>704</v>
      </c>
      <c r="C119" s="1" t="str">
        <f ca="1">VLOOKUP(B119,TaskPlan!A:B,2,FALSE)</f>
        <v>Sachin</v>
      </c>
      <c r="D119" s="13" t="str">
        <f ca="1">VLOOKUP(B119,TaskPlan!A:L,12,FALSE)</f>
        <v>Closed</v>
      </c>
      <c r="E119" s="13" t="str">
        <f ca="1">IF(VLOOKUP(B119,TaskPlan!A:D,4,FALSE)=0,"",VLOOKUP(B119,TaskPlan!A:D,4,FALSE))</f>
        <v/>
      </c>
      <c r="F119" s="70">
        <f ca="1">VLOOKUP(B119,WorkList!A:F,6,FALSE)</f>
        <v>5</v>
      </c>
      <c r="G119" s="14" t="str">
        <f ca="1">VLOOKUP(B119,WorkList!A:C,3,FALSE)</f>
        <v>IntegrationService: Design integration mechanisms</v>
      </c>
    </row>
    <row r="120" spans="1:7">
      <c r="B120" s="4" t="s">
        <v>705</v>
      </c>
      <c r="C120" s="1" t="str">
        <f ca="1">VLOOKUP(B120,TaskPlan!A:B,2,FALSE)</f>
        <v>Sachin</v>
      </c>
      <c r="D120" s="13" t="str">
        <f ca="1">VLOOKUP(B120,TaskPlan!A:L,12,FALSE)</f>
        <v>Closed</v>
      </c>
      <c r="E120" s="13">
        <f ca="1">IF(VLOOKUP(B120,TaskPlan!A:D,4,FALSE)=0,"",VLOOKUP(B120,TaskPlan!A:D,4,FALSE))</f>
        <v>40431</v>
      </c>
      <c r="F120" s="70">
        <f ca="1">VLOOKUP(B120,WorkList!A:F,6,FALSE)</f>
        <v>9</v>
      </c>
      <c r="G120" s="14" t="str">
        <f ca="1">VLOOKUP(B120,WorkList!A:C,3,FALSE)</f>
        <v>IntegrationService:Build integration architecture</v>
      </c>
    </row>
    <row r="121" spans="1:7" ht="25.5">
      <c r="B121" s="4" t="s">
        <v>1397</v>
      </c>
      <c r="C121" s="1" t="str">
        <f ca="1">VLOOKUP(B121,TaskPlan!A:B,2,FALSE)</f>
        <v>Sachin</v>
      </c>
      <c r="D121" s="13" t="str">
        <f ca="1">VLOOKUP(B121,TaskPlan!A:L,12,FALSE)</f>
        <v>Closed</v>
      </c>
      <c r="E121" s="13" t="str">
        <f ca="1">IF(VLOOKUP(B121,TaskPlan!A:D,4,FALSE)=0,"",VLOOKUP(B121,TaskPlan!A:D,4,FALSE))</f>
        <v/>
      </c>
      <c r="F121" s="70">
        <f ca="1">VLOOKUP(B121,WorkList!A:F,6,FALSE)</f>
        <v>2</v>
      </c>
      <c r="G121" s="14" t="str">
        <f ca="1">VLOOKUP(B121,WorkList!A:C,3,FALSE)</f>
        <v>IntegrationService:Incorporate into Trade Blotter, CommentViewer and DealAnalyser</v>
      </c>
    </row>
    <row r="122" spans="1:7">
      <c r="B122" s="4" t="s">
        <v>1398</v>
      </c>
      <c r="C122" s="1" t="str">
        <f ca="1">VLOOKUP(B122,TaskPlan!A:B,2,FALSE)</f>
        <v>Sachin</v>
      </c>
      <c r="D122" s="13" t="str">
        <f ca="1">VLOOKUP(B122,TaskPlan!A:L,12,FALSE)</f>
        <v>In Progress</v>
      </c>
      <c r="E122" s="13" t="str">
        <f ca="1">IF(VLOOKUP(B122,TaskPlan!A:D,4,FALSE)=0,"",VLOOKUP(B122,TaskPlan!A:D,4,FALSE))</f>
        <v/>
      </c>
      <c r="F122" s="70">
        <f ca="1">VLOOKUP(B122,WorkList!A:F,6,FALSE)</f>
        <v>2</v>
      </c>
      <c r="G122" s="14" t="str">
        <f ca="1">VLOOKUP(B122,WorkList!A:C,3,FALSE)</f>
        <v>IntegrationService:Testing and UAT</v>
      </c>
    </row>
    <row r="123" spans="1:7">
      <c r="B123" s="4" t="s">
        <v>1399</v>
      </c>
      <c r="C123" s="1" t="str">
        <f ca="1">VLOOKUP(B123,TaskPlan!A:B,2,FALSE)</f>
        <v>Sachin</v>
      </c>
      <c r="D123" s="13" t="str">
        <f ca="1">VLOOKUP(B123,TaskPlan!A:L,12,FALSE)</f>
        <v>Not Started</v>
      </c>
      <c r="E123" s="13" t="str">
        <f ca="1">IF(VLOOKUP(B123,TaskPlan!A:D,4,FALSE)=0,"",VLOOKUP(B123,TaskPlan!A:D,4,FALSE))</f>
        <v/>
      </c>
      <c r="F123" s="70">
        <f ca="1">VLOOKUP(B123,WorkList!A:F,6,FALSE)</f>
        <v>1</v>
      </c>
      <c r="G123" s="14" t="str">
        <f ca="1">VLOOKUP(B123,WorkList!A:C,3,FALSE)</f>
        <v>IntegrationService:Code review and resulting changes</v>
      </c>
    </row>
    <row r="124" spans="1:7">
      <c r="B124" s="4" t="s">
        <v>1400</v>
      </c>
      <c r="C124" s="1" t="str">
        <f ca="1">VLOOKUP(B124,TaskPlan!A:B,2,FALSE)</f>
        <v>Sachin</v>
      </c>
      <c r="D124" s="13" t="str">
        <f ca="1">VLOOKUP(B124,TaskPlan!A:L,12,FALSE)</f>
        <v>Not Started</v>
      </c>
      <c r="E124" s="13" t="str">
        <f ca="1">IF(VLOOKUP(B124,TaskPlan!A:D,4,FALSE)=0,"",VLOOKUP(B124,TaskPlan!A:D,4,FALSE))</f>
        <v/>
      </c>
      <c r="F124" s="70">
        <f ca="1">VLOOKUP(B124,WorkList!A:F,6,FALSE)</f>
        <v>1</v>
      </c>
      <c r="G124" s="14" t="str">
        <f ca="1">VLOOKUP(B124,WorkList!A:C,3,FALSE)</f>
        <v>IntegrationService:Release to production</v>
      </c>
    </row>
    <row r="125" spans="1:7" s="77" customFormat="1" ht="13.5" thickBot="1">
      <c r="F125" s="78"/>
      <c r="G125" s="79"/>
    </row>
    <row r="126" spans="1:7">
      <c r="A126" s="75" t="s">
        <v>37</v>
      </c>
      <c r="B126" s="75" t="s">
        <v>1651</v>
      </c>
    </row>
    <row r="127" spans="1:7">
      <c r="B127" s="1" t="s">
        <v>1277</v>
      </c>
      <c r="C127" s="1" t="str">
        <f ca="1">VLOOKUP(B127,TaskPlan!A:B,2,FALSE)</f>
        <v>Paresh</v>
      </c>
      <c r="D127" s="13" t="str">
        <f ca="1">VLOOKUP(B127,TaskPlan!A:L,12,FALSE)</f>
        <v>Closed</v>
      </c>
      <c r="E127" s="13" t="str">
        <f ca="1">IF(VLOOKUP(B127,TaskPlan!A:D,4,FALSE)=0,"",VLOOKUP(B127,TaskPlan!A:D,4,FALSE))</f>
        <v/>
      </c>
      <c r="F127" s="70">
        <f ca="1">VLOOKUP(B127,WorkList!A:F,6,FALSE)</f>
        <v>1</v>
      </c>
      <c r="G127" s="14" t="str">
        <f ca="1">VLOOKUP(B127,WorkList!A:C,3,FALSE)</f>
        <v>ModelCashflows: Complete</v>
      </c>
    </row>
    <row r="128" spans="1:7">
      <c r="B128" s="1" t="s">
        <v>1294</v>
      </c>
      <c r="C128" s="1" t="str">
        <f ca="1">VLOOKUP(B128,TaskPlan!A:B,2,FALSE)</f>
        <v>Paresh</v>
      </c>
      <c r="D128" s="13" t="str">
        <f ca="1">VLOOKUP(B128,TaskPlan!A:L,12,FALSE)</f>
        <v>Closed</v>
      </c>
      <c r="E128" s="13">
        <f ca="1">IF(VLOOKUP(B128,TaskPlan!A:D,4,FALSE)=0,"",VLOOKUP(B128,TaskPlan!A:D,4,FALSE))</f>
        <v>40375</v>
      </c>
      <c r="F128" s="70">
        <f ca="1">VLOOKUP(B128,WorkList!A:F,6,FALSE)</f>
        <v>0.5</v>
      </c>
      <c r="G128" s="14" t="str">
        <f ca="1">VLOOKUP(B128,WorkList!A:C,3,FALSE)</f>
        <v>IntexCduPss: Define requirements</v>
      </c>
    </row>
    <row r="129" spans="2:7">
      <c r="B129" s="1" t="s">
        <v>1303</v>
      </c>
      <c r="C129" s="1" t="str">
        <f ca="1">VLOOKUP(B129,TaskPlan!A:B,2,FALSE)</f>
        <v>Paresh</v>
      </c>
      <c r="D129" s="13" t="str">
        <f ca="1">VLOOKUP(B129,TaskPlan!A:L,12,FALSE)</f>
        <v>Closed</v>
      </c>
      <c r="E129" s="13">
        <f ca="1">IF(VLOOKUP(B129,TaskPlan!A:D,4,FALSE)=0,"",VLOOKUP(B129,TaskPlan!A:D,4,FALSE))</f>
        <v>40378</v>
      </c>
      <c r="F129" s="70">
        <f ca="1">VLOOKUP(B129,WorkList!A:F,6,FALSE)</f>
        <v>0.5</v>
      </c>
      <c r="G129" s="14" t="str">
        <f ca="1">VLOOKUP(B129,WorkList!A:C,3,FALSE)</f>
        <v>IntexCduPss: Design</v>
      </c>
    </row>
    <row r="130" spans="2:7">
      <c r="B130" s="1" t="s">
        <v>1304</v>
      </c>
      <c r="C130" s="1" t="str">
        <f ca="1">VLOOKUP(B130,TaskPlan!A:B,2,FALSE)</f>
        <v>Pramendra</v>
      </c>
      <c r="D130" s="13" t="str">
        <f ca="1">VLOOKUP(B130,TaskPlan!A:L,12,FALSE)</f>
        <v>Closed</v>
      </c>
      <c r="E130" s="13" t="str">
        <f ca="1">IF(VLOOKUP(B130,TaskPlan!A:D,4,FALSE)=0,"",VLOOKUP(B130,TaskPlan!A:D,4,FALSE))</f>
        <v/>
      </c>
      <c r="F130" s="70">
        <f ca="1">VLOOKUP(B130,WorkList!A:F,6,FALSE)</f>
        <v>0.5</v>
      </c>
      <c r="G130" s="14" t="str">
        <f ca="1">VLOOKUP(B130,WorkList!A:C,3,FALSE)</f>
        <v>IntexCduPss: Review Design</v>
      </c>
    </row>
    <row r="131" spans="2:7">
      <c r="B131" s="1" t="s">
        <v>1305</v>
      </c>
      <c r="C131" s="1" t="str">
        <f ca="1">VLOOKUP(B131,TaskPlan!A:B,2,FALSE)</f>
        <v>Paresh</v>
      </c>
      <c r="D131" s="13" t="str">
        <f ca="1">VLOOKUP(B131,TaskPlan!A:L,12,FALSE)</f>
        <v>Closed</v>
      </c>
      <c r="E131" s="13" t="str">
        <f ca="1">IF(VLOOKUP(B131,TaskPlan!A:D,4,FALSE)=0,"",VLOOKUP(B131,TaskPlan!A:D,4,FALSE))</f>
        <v/>
      </c>
      <c r="F131" s="70">
        <f ca="1">VLOOKUP(B131,WorkList!A:F,6,FALSE)</f>
        <v>2</v>
      </c>
      <c r="G131" s="14" t="str">
        <f ca="1">VLOOKUP(B131,WorkList!A:C,3,FALSE)</f>
        <v>IntexCduPss: Implement</v>
      </c>
    </row>
    <row r="132" spans="2:7">
      <c r="B132" s="1" t="s">
        <v>1306</v>
      </c>
      <c r="C132" s="1" t="str">
        <f ca="1">VLOOKUP(B132,TaskPlan!A:B,2,FALSE)</f>
        <v>All</v>
      </c>
      <c r="D132" s="13" t="str">
        <f ca="1">VLOOKUP(B132,TaskPlan!A:L,12,FALSE)</f>
        <v>Closed</v>
      </c>
      <c r="E132" s="13">
        <f ca="1">IF(VLOOKUP(B132,TaskPlan!A:D,4,FALSE)=0,"",VLOOKUP(B132,TaskPlan!A:D,4,FALSE))</f>
        <v>40380</v>
      </c>
      <c r="F132" s="70">
        <f ca="1">VLOOKUP(B132,WorkList!A:F,6,FALSE)</f>
        <v>0.5</v>
      </c>
      <c r="G132" s="14" t="str">
        <f ca="1">VLOOKUP(B132,WorkList!A:C,3,FALSE)</f>
        <v>IntexCduPss: Review Implementation</v>
      </c>
    </row>
    <row r="133" spans="2:7">
      <c r="B133" s="1" t="s">
        <v>1307</v>
      </c>
      <c r="C133" s="1" t="str">
        <f ca="1">VLOOKUP(B133,TaskPlan!A:B,2,FALSE)</f>
        <v>Paresh</v>
      </c>
      <c r="D133" s="13" t="str">
        <f ca="1">VLOOKUP(B133,TaskPlan!A:L,12,FALSE)</f>
        <v>Closed</v>
      </c>
      <c r="E133" s="13" t="str">
        <f ca="1">IF(VLOOKUP(B133,TaskPlan!A:D,4,FALSE)=0,"",VLOOKUP(B133,TaskPlan!A:D,4,FALSE))</f>
        <v/>
      </c>
      <c r="F133" s="70">
        <f ca="1">VLOOKUP(B133,WorkList!A:F,6,FALSE)</f>
        <v>0.5</v>
      </c>
      <c r="G133" s="14" t="str">
        <f ca="1">VLOOKUP(B133,WorkList!A:C,3,FALSE)</f>
        <v>IntexCduPss: Complete</v>
      </c>
    </row>
    <row r="134" spans="2:7">
      <c r="B134" s="1" t="s">
        <v>1309</v>
      </c>
      <c r="C134" s="1" t="str">
        <f ca="1">VLOOKUP(B134,TaskPlan!A:B,2,FALSE)</f>
        <v>Neil</v>
      </c>
      <c r="D134" s="13" t="str">
        <f ca="1">VLOOKUP(B134,TaskPlan!A:L,12,FALSE)</f>
        <v>Closed</v>
      </c>
      <c r="E134" s="13">
        <f ca="1">IF(VLOOKUP(B134,TaskPlan!A:D,4,FALSE)=0,"",VLOOKUP(B134,TaskPlan!A:D,4,FALSE))</f>
        <v>40361</v>
      </c>
      <c r="F134" s="70">
        <f ca="1">VLOOKUP(B134,WorkList!A:F,6,FALSE)</f>
        <v>0.5</v>
      </c>
      <c r="G134" s="14" t="str">
        <f ca="1">VLOOKUP(B134,WorkList!A:C,3,FALSE)</f>
        <v>Model2Intex: Define requirements</v>
      </c>
    </row>
    <row r="135" spans="2:7">
      <c r="B135" s="1" t="s">
        <v>1310</v>
      </c>
      <c r="C135" s="1" t="str">
        <f ca="1">VLOOKUP(B135,TaskPlan!A:B,2,FALSE)</f>
        <v>Paresh</v>
      </c>
      <c r="D135" s="13" t="str">
        <f ca="1">VLOOKUP(B135,TaskPlan!A:L,12,FALSE)</f>
        <v>Closed</v>
      </c>
      <c r="E135" s="13" t="str">
        <f ca="1">IF(VLOOKUP(B135,TaskPlan!A:D,4,FALSE)=0,"",VLOOKUP(B135,TaskPlan!A:D,4,FALSE))</f>
        <v/>
      </c>
      <c r="F135" s="70">
        <f ca="1">VLOOKUP(B135,WorkList!A:F,6,FALSE)</f>
        <v>1</v>
      </c>
      <c r="G135" s="14" t="str">
        <f ca="1">VLOOKUP(B135,WorkList!A:C,3,FALSE)</f>
        <v>Model2Intex: Design</v>
      </c>
    </row>
    <row r="136" spans="2:7">
      <c r="B136" s="1" t="s">
        <v>1311</v>
      </c>
      <c r="C136" s="1" t="str">
        <f ca="1">VLOOKUP(B136,TaskPlan!A:B,2,FALSE)</f>
        <v>Neil</v>
      </c>
      <c r="D136" s="13" t="str">
        <f ca="1">VLOOKUP(B136,TaskPlan!A:L,12,FALSE)</f>
        <v>Closed</v>
      </c>
      <c r="E136" s="13">
        <f ca="1">IF(VLOOKUP(B136,TaskPlan!A:D,4,FALSE)=0,"",VLOOKUP(B136,TaskPlan!A:D,4,FALSE))</f>
        <v>40417</v>
      </c>
      <c r="F136" s="70">
        <f ca="1">VLOOKUP(B136,WorkList!A:F,6,FALSE)</f>
        <v>1</v>
      </c>
      <c r="G136" s="14" t="str">
        <f ca="1">VLOOKUP(B136,WorkList!A:C,3,FALSE)</f>
        <v>Model2Intex: Review Design</v>
      </c>
    </row>
    <row r="137" spans="2:7">
      <c r="B137" s="1" t="s">
        <v>1312</v>
      </c>
      <c r="C137" s="1" t="str">
        <f ca="1">VLOOKUP(B137,TaskPlan!A:B,2,FALSE)</f>
        <v>Paresh</v>
      </c>
      <c r="D137" s="13" t="str">
        <f ca="1">VLOOKUP(B137,TaskPlan!A:L,12,FALSE)</f>
        <v>Closed</v>
      </c>
      <c r="E137" s="13" t="str">
        <f ca="1">IF(VLOOKUP(B137,TaskPlan!A:D,4,FALSE)=0,"",VLOOKUP(B137,TaskPlan!A:D,4,FALSE))</f>
        <v/>
      </c>
      <c r="F137" s="70">
        <f ca="1">VLOOKUP(B137,WorkList!A:F,6,FALSE)</f>
        <v>5</v>
      </c>
      <c r="G137" s="14" t="str">
        <f ca="1">VLOOKUP(B137,WorkList!A:C,3,FALSE)</f>
        <v>Model2Intex: Implement</v>
      </c>
    </row>
    <row r="138" spans="2:7">
      <c r="B138" s="1" t="s">
        <v>1313</v>
      </c>
      <c r="C138" s="1" t="str">
        <f ca="1">VLOOKUP(B138,TaskPlan!A:B,2,FALSE)</f>
        <v>Neil</v>
      </c>
      <c r="D138" s="13" t="str">
        <f ca="1">VLOOKUP(B138,TaskPlan!A:L,12,FALSE)</f>
        <v>Closed</v>
      </c>
      <c r="E138" s="13" t="str">
        <f ca="1">IF(VLOOKUP(B138,TaskPlan!A:D,4,FALSE)=0,"",VLOOKUP(B138,TaskPlan!A:D,4,FALSE))</f>
        <v/>
      </c>
      <c r="F138" s="70">
        <f ca="1">VLOOKUP(B138,WorkList!A:F,6,FALSE)</f>
        <v>1</v>
      </c>
      <c r="G138" s="14" t="str">
        <f ca="1">VLOOKUP(B138,WorkList!A:C,3,FALSE)</f>
        <v>Model2Intex: Review Implementation</v>
      </c>
    </row>
    <row r="139" spans="2:7">
      <c r="B139" s="1" t="s">
        <v>1321</v>
      </c>
      <c r="C139" s="1" t="str">
        <f ca="1">VLOOKUP(B139,TaskPlan!A:B,2,FALSE)</f>
        <v>Sreevani</v>
      </c>
      <c r="D139" s="13" t="str">
        <f ca="1">VLOOKUP(B139,TaskPlan!A:L,12,FALSE)</f>
        <v>Closed</v>
      </c>
      <c r="E139" s="13" t="str">
        <f ca="1">IF(VLOOKUP(B139,TaskPlan!A:D,4,FALSE)=0,"",VLOOKUP(B139,TaskPlan!A:D,4,FALSE))</f>
        <v/>
      </c>
      <c r="F139" s="70">
        <f ca="1">VLOOKUP(B139,WorkList!A:F,6,FALSE)</f>
        <v>5</v>
      </c>
      <c r="G139" s="14" t="str">
        <f ca="1">VLOOKUP(B139,WorkList!A:C,3,FALSE)</f>
        <v>Model2Intex: UAT Testing</v>
      </c>
    </row>
    <row r="140" spans="2:7">
      <c r="B140" s="1" t="s">
        <v>1322</v>
      </c>
      <c r="C140" s="1" t="str">
        <f ca="1">VLOOKUP(B140,TaskPlan!A:B,2,FALSE)</f>
        <v>All</v>
      </c>
      <c r="D140" s="13" t="str">
        <f ca="1">VLOOKUP(B140,TaskPlan!A:L,12,FALSE)</f>
        <v>Closed</v>
      </c>
      <c r="E140" s="13">
        <f ca="1">IF(VLOOKUP(B140,TaskPlan!A:D,4,FALSE)=0,"",VLOOKUP(B140,TaskPlan!A:D,4,FALSE))</f>
        <v>40402</v>
      </c>
      <c r="F140" s="70">
        <f ca="1">VLOOKUP(B140,WorkList!A:F,6,FALSE)</f>
        <v>1</v>
      </c>
      <c r="G140" s="14" t="str">
        <f ca="1">VLOOKUP(B140,WorkList!A:C,3,FALSE)</f>
        <v>Model2Intex: Initial Team review</v>
      </c>
    </row>
    <row r="141" spans="2:7">
      <c r="B141" s="1" t="s">
        <v>1638</v>
      </c>
      <c r="C141" s="1" t="str">
        <f ca="1">VLOOKUP(B141,TaskPlan!A:B,2,FALSE)</f>
        <v>All</v>
      </c>
      <c r="D141" s="13" t="str">
        <f ca="1">VLOOKUP(B141,TaskPlan!A:L,12,FALSE)</f>
        <v>Closed</v>
      </c>
      <c r="E141" s="13" t="str">
        <f ca="1">IF(VLOOKUP(B141,TaskPlan!A:D,4,FALSE)=0,"",VLOOKUP(B141,TaskPlan!A:D,4,FALSE))</f>
        <v/>
      </c>
      <c r="F141" s="70">
        <f ca="1">VLOOKUP(B141,WorkList!A:F,6,FALSE)</f>
        <v>1</v>
      </c>
      <c r="G141" s="14" t="str">
        <f ca="1">VLOOKUP(B141,WorkList!A:C,3,FALSE)</f>
        <v>Model2Intex: Final review</v>
      </c>
    </row>
    <row r="142" spans="2:7" ht="25.5">
      <c r="B142" s="1" t="s">
        <v>1790</v>
      </c>
      <c r="C142" s="1" t="str">
        <f ca="1">VLOOKUP(B142,TaskPlan!A:B,2,FALSE)</f>
        <v>Paresh</v>
      </c>
      <c r="D142" s="13" t="str">
        <f ca="1">VLOOKUP(B142,TaskPlan!A:L,12,FALSE)</f>
        <v>Closed</v>
      </c>
      <c r="E142" s="13" t="str">
        <f ca="1">IF(VLOOKUP(B142,TaskPlan!A:D,4,FALSE)=0,"",VLOOKUP(B142,TaskPlan!A:D,4,FALSE))</f>
        <v/>
      </c>
      <c r="F142" s="70">
        <f ca="1">VLOOKUP(B142,WorkList!A:F,6,FALSE)</f>
        <v>4</v>
      </c>
      <c r="G142" s="14" t="str">
        <f ca="1">VLOOKUP(B142,WorkList!A:C,3,FALSE)</f>
        <v>Model2Intex: Implement Loan Compression/Aggregation for performance</v>
      </c>
    </row>
    <row r="143" spans="2:7">
      <c r="B143" s="1" t="s">
        <v>1323</v>
      </c>
      <c r="C143" s="1" t="str">
        <f ca="1">VLOOKUP(B143,TaskPlan!A:B,2,FALSE)</f>
        <v>Paresh</v>
      </c>
      <c r="D143" s="13" t="str">
        <f ca="1">VLOOKUP(B143,TaskPlan!A:L,12,FALSE)</f>
        <v>Closed</v>
      </c>
      <c r="E143" s="13" t="str">
        <f ca="1">IF(VLOOKUP(B143,TaskPlan!A:D,4,FALSE)=0,"",VLOOKUP(B143,TaskPlan!A:D,4,FALSE))</f>
        <v/>
      </c>
      <c r="F143" s="70">
        <f ca="1">VLOOKUP(B143,WorkList!A:F,6,FALSE)</f>
        <v>1</v>
      </c>
      <c r="G143" s="14" t="str">
        <f ca="1">VLOOKUP(B143,WorkList!A:C,3,FALSE)</f>
        <v>Model2Intex: Modifications for comments</v>
      </c>
    </row>
    <row r="144" spans="2:7">
      <c r="B144" s="1" t="s">
        <v>1638</v>
      </c>
      <c r="C144" s="1" t="str">
        <f ca="1">VLOOKUP(B144,TaskPlan!A:B,2,FALSE)</f>
        <v>All</v>
      </c>
      <c r="D144" s="13" t="str">
        <f ca="1">VLOOKUP(B144,TaskPlan!A:L,12,FALSE)</f>
        <v>Closed</v>
      </c>
      <c r="E144" s="13" t="str">
        <f ca="1">IF(VLOOKUP(B144,TaskPlan!A:D,4,FALSE)=0,"",VLOOKUP(B144,TaskPlan!A:D,4,FALSE))</f>
        <v/>
      </c>
      <c r="F144" s="70">
        <f ca="1">VLOOKUP(B144,WorkList!A:F,6,FALSE)</f>
        <v>1</v>
      </c>
      <c r="G144" s="14" t="str">
        <f ca="1">VLOOKUP(B144,WorkList!A:C,3,FALSE)</f>
        <v>Model2Intex: Final review</v>
      </c>
    </row>
    <row r="145" spans="1:7">
      <c r="B145" s="1" t="s">
        <v>1324</v>
      </c>
      <c r="C145" s="1" t="str">
        <f ca="1">VLOOKUP(B145,TaskPlan!A:B,2,FALSE)</f>
        <v>Paresh</v>
      </c>
      <c r="D145" s="13" t="str">
        <f ca="1">VLOOKUP(B145,TaskPlan!A:L,12,FALSE)</f>
        <v>Closed</v>
      </c>
      <c r="E145" s="13" t="str">
        <f ca="1">IF(VLOOKUP(B145,TaskPlan!A:D,4,FALSE)=0,"",VLOOKUP(B145,TaskPlan!A:D,4,FALSE))</f>
        <v/>
      </c>
      <c r="F145" s="70">
        <f ca="1">VLOOKUP(B145,WorkList!A:F,6,FALSE)</f>
        <v>1</v>
      </c>
      <c r="G145" s="14" t="str">
        <f ca="1">VLOOKUP(B145,WorkList!A:C,3,FALSE)</f>
        <v>Model2Intex: Complete</v>
      </c>
    </row>
    <row r="147" spans="1:7" s="77" customFormat="1" ht="13.5" thickBot="1">
      <c r="F147" s="78"/>
      <c r="G147" s="79"/>
    </row>
    <row r="148" spans="1:7">
      <c r="A148" s="75" t="s">
        <v>11</v>
      </c>
      <c r="B148" s="75" t="s">
        <v>1352</v>
      </c>
    </row>
    <row r="149" spans="1:7">
      <c r="B149" s="7" t="s">
        <v>1636</v>
      </c>
      <c r="C149" s="1" t="str">
        <f ca="1">VLOOKUP(B149,TaskPlan!A:B,2,FALSE)</f>
        <v>Neil</v>
      </c>
      <c r="D149" s="13" t="str">
        <f ca="1">VLOOKUP(B149,TaskPlan!A:L,12,FALSE)</f>
        <v>Closed</v>
      </c>
      <c r="E149" s="13" t="str">
        <f ca="1">IF(VLOOKUP(B149,TaskPlan!A:D,4,FALSE)=0,"",VLOOKUP(B149,TaskPlan!A:D,4,FALSE))</f>
        <v/>
      </c>
      <c r="F149" s="70">
        <f ca="1">VLOOKUP(B149,WorkList!A:F,6,FALSE)</f>
        <v>2</v>
      </c>
      <c r="G149" s="14" t="str">
        <f ca="1">VLOOKUP(B149,WorkList!A:C,3,FALSE)</f>
        <v>NoHo Migration: Develop plan</v>
      </c>
    </row>
    <row r="150" spans="1:7">
      <c r="B150" s="7" t="s">
        <v>1635</v>
      </c>
      <c r="C150" s="1" t="str">
        <f ca="1">VLOOKUP(B150,TaskPlan!A:B,2,FALSE)</f>
        <v>Pramendra</v>
      </c>
      <c r="D150" s="13" t="str">
        <f ca="1">VLOOKUP(B150,TaskPlan!A:L,12,FALSE)</f>
        <v>Closed</v>
      </c>
      <c r="E150" s="13" t="str">
        <f ca="1">IF(VLOOKUP(B150,TaskPlan!A:D,4,FALSE)=0,"",VLOOKUP(B150,TaskPlan!A:D,4,FALSE))</f>
        <v/>
      </c>
      <c r="F150" s="70">
        <f ca="1">VLOOKUP(B150,WorkList!A:F,6,FALSE)</f>
        <v>2</v>
      </c>
      <c r="G150" s="14" t="str">
        <f ca="1">VLOOKUP(B150,WorkList!A:C,3,FALSE)</f>
        <v>NoHo Migration: Develop plan</v>
      </c>
    </row>
    <row r="151" spans="1:7">
      <c r="B151" s="7" t="s">
        <v>1518</v>
      </c>
      <c r="C151" s="1" t="str">
        <f ca="1">VLOOKUP(B151,TaskPlan!A:B,2,FALSE)</f>
        <v>Sachin</v>
      </c>
      <c r="D151" s="13" t="str">
        <f ca="1">VLOOKUP(B151,TaskPlan!A:L,12,FALSE)</f>
        <v>Closed</v>
      </c>
      <c r="E151" s="13">
        <f ca="1">IF(VLOOKUP(B151,TaskPlan!A:D,4,FALSE)=0,"",VLOOKUP(B151,TaskPlan!A:D,4,FALSE))</f>
        <v>40487</v>
      </c>
      <c r="F151" s="70">
        <f ca="1">VLOOKUP(B151,WorkList!A:F,6,FALSE)</f>
        <v>2</v>
      </c>
      <c r="G151" s="14" t="str">
        <f ca="1">VLOOKUP(B151,WorkList!A:C,3,FALSE)</f>
        <v>NoHo Migration: Get VM and user accounts set up</v>
      </c>
    </row>
    <row r="152" spans="1:7" s="77" customFormat="1" ht="13.5" thickBot="1">
      <c r="F152" s="78"/>
      <c r="G152" s="79"/>
    </row>
    <row r="153" spans="1:7">
      <c r="A153" s="75" t="s">
        <v>32</v>
      </c>
      <c r="B153" s="75" t="s">
        <v>1353</v>
      </c>
    </row>
    <row r="154" spans="1:7">
      <c r="B154" s="7" t="s">
        <v>1046</v>
      </c>
      <c r="C154" s="1" t="str">
        <f ca="1">VLOOKUP(B154,TaskPlan!A:B,2,FALSE)</f>
        <v>Pramendra</v>
      </c>
      <c r="D154" s="13" t="str">
        <f ca="1">VLOOKUP(B154,TaskPlan!A:L,12,FALSE)</f>
        <v>Closed</v>
      </c>
      <c r="E154" s="13">
        <f ca="1">IF(VLOOKUP(B154,TaskPlan!A:D,4,FALSE)=0,"",VLOOKUP(B154,TaskPlan!A:D,4,FALSE))</f>
        <v>40288</v>
      </c>
      <c r="F154" s="70">
        <f ca="1">VLOOKUP(B154,WorkList!A:F,6,FALSE)</f>
        <v>0.5</v>
      </c>
      <c r="G154" s="14" t="str">
        <f ca="1">VLOOKUP(B154,WorkList!A:C,3,FALSE)</f>
        <v>LoanHandling: Define loan data file handling procedure.</v>
      </c>
    </row>
    <row r="155" spans="1:7">
      <c r="B155" s="4" t="s">
        <v>1350</v>
      </c>
      <c r="C155" s="1" t="str">
        <f ca="1">VLOOKUP(B155,TaskPlan!A:B,2,FALSE)</f>
        <v>Neil</v>
      </c>
      <c r="D155" s="13" t="str">
        <f ca="1">VLOOKUP(B155,TaskPlan!A:L,12,FALSE)</f>
        <v>Closed</v>
      </c>
      <c r="E155" s="13" t="str">
        <f ca="1">IF(VLOOKUP(B155,TaskPlan!A:D,4,FALSE)=0,"",VLOOKUP(B155,TaskPlan!A:D,4,FALSE))</f>
        <v/>
      </c>
      <c r="F155" s="70">
        <f ca="1">VLOOKUP(B155,WorkList!A:F,6,FALSE)</f>
        <v>2</v>
      </c>
      <c r="G155" s="14" t="str">
        <f ca="1">VLOOKUP(B155,WorkList!A:C,3,FALSE)</f>
        <v>Develop SVN client library</v>
      </c>
    </row>
    <row r="156" spans="1:7">
      <c r="B156" s="7" t="s">
        <v>1047</v>
      </c>
      <c r="C156" s="1" t="str">
        <f ca="1">VLOOKUP(B156,TaskPlan!A:B,2,FALSE)</f>
        <v>Pramendra</v>
      </c>
      <c r="D156" s="13" t="str">
        <f ca="1">VLOOKUP(B156,TaskPlan!A:L,12,FALSE)</f>
        <v>Closed</v>
      </c>
      <c r="E156" s="13">
        <f ca="1">IF(VLOOKUP(B156,TaskPlan!A:D,4,FALSE)=0,"",VLOOKUP(B156,TaskPlan!A:D,4,FALSE))</f>
        <v>40431</v>
      </c>
      <c r="F156" s="70">
        <f ca="1">VLOOKUP(B156,WorkList!A:F,6,FALSE)</f>
        <v>2</v>
      </c>
      <c r="G156" s="14" t="str">
        <f ca="1">VLOOKUP(B156,WorkList!A:C,3,FALSE)</f>
        <v>LoanHandling: Design schema and library</v>
      </c>
    </row>
    <row r="157" spans="1:7">
      <c r="B157" s="7" t="s">
        <v>1048</v>
      </c>
      <c r="C157" s="1" t="str">
        <f ca="1">VLOOKUP(B157,TaskPlan!A:B,2,FALSE)</f>
        <v>Pramendra</v>
      </c>
      <c r="D157" s="13" t="str">
        <f ca="1">VLOOKUP(B157,TaskPlan!A:L,12,FALSE)</f>
        <v>Closed</v>
      </c>
      <c r="E157" s="13">
        <f ca="1">IF(VLOOKUP(B157,TaskPlan!A:D,4,FALSE)=0,"",VLOOKUP(B157,TaskPlan!A:D,4,FALSE))</f>
        <v>40438</v>
      </c>
      <c r="F157" s="70">
        <f ca="1">VLOOKUP(B157,WorkList!A:F,6,FALSE)</f>
        <v>3</v>
      </c>
      <c r="G157" s="14" t="str">
        <f ca="1">VLOOKUP(B157,WorkList!A:C,3,FALSE)</f>
        <v>LoanHandling: First release with just ALBA</v>
      </c>
    </row>
    <row r="158" spans="1:7">
      <c r="B158" s="7" t="s">
        <v>1049</v>
      </c>
      <c r="C158" s="1" t="str">
        <f ca="1">VLOOKUP(B158,TaskPlan!A:B,2,FALSE)</f>
        <v>Pramendra</v>
      </c>
      <c r="D158" s="13" t="str">
        <f ca="1">VLOOKUP(B158,TaskPlan!A:L,12,FALSE)</f>
        <v>In Progress</v>
      </c>
      <c r="E158" s="13" t="str">
        <f ca="1">IF(VLOOKUP(B158,TaskPlan!A:D,4,FALSE)=0,"",VLOOKUP(B158,TaskPlan!A:D,4,FALSE))</f>
        <v/>
      </c>
      <c r="F158" s="70">
        <f ca="1">VLOOKUP(B158,WorkList!A:F,6,FALSE)</f>
        <v>10</v>
      </c>
      <c r="G158" s="14" t="str">
        <f ca="1">VLOOKUP(B158,WorkList!A:C,3,FALSE)</f>
        <v>LoanHandling: Modify each loader to conform to procedure.</v>
      </c>
    </row>
    <row r="159" spans="1:7">
      <c r="B159" s="7" t="s">
        <v>1385</v>
      </c>
      <c r="C159" s="1" t="str">
        <f ca="1">VLOOKUP(B159,TaskPlan!A:B,2,FALSE)</f>
        <v>All</v>
      </c>
      <c r="D159" s="13" t="str">
        <f ca="1">VLOOKUP(B159,TaskPlan!A:L,12,FALSE)</f>
        <v>Closed</v>
      </c>
      <c r="E159" s="13" t="str">
        <f ca="1">IF(VLOOKUP(B159,TaskPlan!A:D,4,FALSE)=0,"",VLOOKUP(B159,TaskPlan!A:D,4,FALSE))</f>
        <v/>
      </c>
      <c r="F159" s="70">
        <f ca="1">VLOOKUP(B159,WorkList!A:F,6,FALSE)</f>
        <v>3</v>
      </c>
      <c r="G159" s="14" t="str">
        <f ca="1">VLOOKUP(B159,WorkList!A:C,3,FALSE)</f>
        <v>LoanHandling: Team Review and incorporate comments</v>
      </c>
    </row>
    <row r="160" spans="1:7">
      <c r="B160" s="7" t="s">
        <v>1386</v>
      </c>
      <c r="C160" s="1" t="str">
        <f ca="1">VLOOKUP(B160,TaskPlan!A:B,2,FALSE)</f>
        <v>Pramendra</v>
      </c>
      <c r="D160" s="13" t="str">
        <f ca="1">VLOOKUP(B160,TaskPlan!A:L,12,FALSE)</f>
        <v>In Progress</v>
      </c>
      <c r="E160" s="13" t="str">
        <f ca="1">IF(VLOOKUP(B160,TaskPlan!A:D,4,FALSE)=0,"",VLOOKUP(B160,TaskPlan!A:D,4,FALSE))</f>
        <v/>
      </c>
      <c r="F160" s="70">
        <f ca="1">VLOOKUP(B160,WorkList!A:F,6,FALSE)</f>
        <v>12</v>
      </c>
      <c r="G160" s="14" t="str">
        <f ca="1">VLOOKUP(B160,WorkList!A:C,3,FALSE)</f>
        <v>LoanHandling: Full release for all loaders</v>
      </c>
    </row>
    <row r="161" spans="2:7">
      <c r="B161" s="7"/>
      <c r="D161" s="13"/>
      <c r="E161" s="13"/>
      <c r="F161" s="70"/>
      <c r="G161" s="14"/>
    </row>
    <row r="162" spans="2:7">
      <c r="B162" s="7"/>
      <c r="D162" s="13"/>
      <c r="E162" s="13"/>
      <c r="F162" s="70"/>
      <c r="G162" s="14"/>
    </row>
    <row r="163" spans="2:7" ht="25.5">
      <c r="B163" s="7" t="s">
        <v>1384</v>
      </c>
      <c r="C163" s="1" t="str">
        <f ca="1">VLOOKUP(B163,TaskPlan!A:B,2,FALSE)</f>
        <v>Unassigned</v>
      </c>
      <c r="D163" s="13" t="str">
        <f ca="1">VLOOKUP(B163,TaskPlan!A:L,12,FALSE)</f>
        <v>Not Started</v>
      </c>
      <c r="E163" s="13" t="str">
        <f ca="1">IF(VLOOKUP(B163,TaskPlan!A:D,4,FALSE)=0,"",VLOOKUP(B163,TaskPlan!A:D,4,FALSE))</f>
        <v/>
      </c>
      <c r="F163" s="70">
        <f ca="1">VLOOKUP(B163,WorkList!A:F,6,FALSE)</f>
        <v>3</v>
      </c>
      <c r="G163" s="14" t="str">
        <f ca="1">VLOOKUP(B163,WorkList!A:C,3,FALSE)</f>
        <v>LoanHandling: Modify RMAC loader to use C1 Excel component</v>
      </c>
    </row>
    <row r="164" spans="2:7">
      <c r="B164" s="7" t="s">
        <v>1501</v>
      </c>
      <c r="C164" s="1" t="str">
        <f ca="1">VLOOKUP(B164,TaskPlan!A:B,2,FALSE)</f>
        <v>Neil</v>
      </c>
      <c r="D164" s="13" t="str">
        <f ca="1">VLOOKUP(B164,TaskPlan!A:L,12,FALSE)</f>
        <v>Closed</v>
      </c>
      <c r="E164" s="13" t="str">
        <f ca="1">IF(VLOOKUP(B164,TaskPlan!A:D,4,FALSE)=0,"",VLOOKUP(B164,TaskPlan!A:D,4,FALSE))</f>
        <v/>
      </c>
      <c r="F164" s="70">
        <f ca="1">VLOOKUP(B164,WorkList!A:F,6,FALSE)</f>
        <v>3</v>
      </c>
      <c r="G164" s="14" t="str">
        <f ca="1">VLOOKUP(B164,WorkList!A:C,3,FALSE)</f>
        <v>LoanHandling: RMAC loader change, review,release</v>
      </c>
    </row>
    <row r="165" spans="2:7">
      <c r="B165" s="4" t="s">
        <v>1502</v>
      </c>
      <c r="C165" s="1" t="str">
        <f ca="1">VLOOKUP(B165,TaskPlan!A:B,2,FALSE)</f>
        <v>Unassigned</v>
      </c>
      <c r="D165" s="13" t="str">
        <f ca="1">VLOOKUP(B165,TaskPlan!A:L,12,FALSE)</f>
        <v>Not Started</v>
      </c>
      <c r="E165" s="13" t="str">
        <f ca="1">IF(VLOOKUP(B165,TaskPlan!A:D,4,FALSE)=0,"",VLOOKUP(B165,TaskPlan!A:D,4,FALSE))</f>
        <v/>
      </c>
      <c r="F165" s="70">
        <f ca="1">VLOOKUP(B165,WorkList!A:F,6,FALSE)</f>
        <v>3</v>
      </c>
      <c r="G165" s="14" t="str">
        <f ca="1">VLOOKUP(B165,WorkList!A:C,3,FALSE)</f>
        <v>LoanHandling: ESAIL loader change, review,release</v>
      </c>
    </row>
    <row r="166" spans="2:7">
      <c r="B166" s="4" t="s">
        <v>1503</v>
      </c>
      <c r="C166" s="1" t="str">
        <f ca="1">VLOOKUP(B166,TaskPlan!A:B,2,FALSE)</f>
        <v>Unassigned</v>
      </c>
      <c r="D166" s="13" t="str">
        <f ca="1">VLOOKUP(B166,TaskPlan!A:L,12,FALSE)</f>
        <v>In Progress</v>
      </c>
      <c r="E166" s="13" t="str">
        <f ca="1">IF(VLOOKUP(B166,TaskPlan!A:D,4,FALSE)=0,"",VLOOKUP(B166,TaskPlan!A:D,4,FALSE))</f>
        <v/>
      </c>
      <c r="F166" s="70">
        <f ca="1">VLOOKUP(B166,WorkList!A:F,6,FALSE)</f>
        <v>3</v>
      </c>
      <c r="G166" s="14" t="str">
        <f ca="1">VLOOKUP(B166,WorkList!A:C,3,FALSE)</f>
        <v>LoanHandling: Kennsington loader change, review,release</v>
      </c>
    </row>
    <row r="167" spans="2:7">
      <c r="B167" s="4" t="s">
        <v>1504</v>
      </c>
      <c r="C167" s="1" t="str">
        <f ca="1">VLOOKUP(B167,TaskPlan!A:B,2,FALSE)</f>
        <v>Parth</v>
      </c>
      <c r="D167" s="13" t="str">
        <f ca="1">VLOOKUP(B167,TaskPlan!A:L,12,FALSE)</f>
        <v>In Progress</v>
      </c>
      <c r="E167" s="13" t="str">
        <f ca="1">IF(VLOOKUP(B167,TaskPlan!A:D,4,FALSE)=0,"",VLOOKUP(B167,TaskPlan!A:D,4,FALSE))</f>
        <v/>
      </c>
      <c r="F167" s="70">
        <f ca="1">VLOOKUP(B167,WorkList!A:F,6,FALSE)</f>
        <v>3</v>
      </c>
      <c r="G167" s="14" t="str">
        <f ca="1">VLOOKUP(B167,WorkList!A:C,3,FALSE)</f>
        <v>LoanHandling: Merrill loader change, review,release</v>
      </c>
    </row>
    <row r="168" spans="2:7">
      <c r="B168" s="4" t="s">
        <v>1505</v>
      </c>
      <c r="C168" s="1" t="str">
        <f ca="1">VLOOKUP(B168,TaskPlan!A:B,2,FALSE)</f>
        <v>Parth</v>
      </c>
      <c r="D168" s="13" t="str">
        <f ca="1">VLOOKUP(B168,TaskPlan!A:L,12,FALSE)</f>
        <v>Not Started</v>
      </c>
      <c r="E168" s="13" t="str">
        <f ca="1">IF(VLOOKUP(B168,TaskPlan!A:D,4,FALSE)=0,"",VLOOKUP(B168,TaskPlan!A:D,4,FALSE))</f>
        <v/>
      </c>
      <c r="F168" s="70">
        <f ca="1">VLOOKUP(B168,WorkList!A:F,6,FALSE)</f>
        <v>3</v>
      </c>
      <c r="G168" s="14" t="str">
        <f ca="1">VLOOKUP(B168,WorkList!A:C,3,FALSE)</f>
        <v>LoanHandling: LEEK loader change, review,release</v>
      </c>
    </row>
    <row r="169" spans="2:7">
      <c r="B169" s="7"/>
      <c r="D169" s="13"/>
      <c r="E169" s="13"/>
      <c r="F169" s="70"/>
      <c r="G169" s="14"/>
    </row>
    <row r="179" spans="1:8" s="77" customFormat="1" ht="13.5" thickBot="1">
      <c r="F179" s="78"/>
      <c r="G179" s="79"/>
    </row>
    <row r="180" spans="1:8">
      <c r="A180" s="75" t="s">
        <v>29</v>
      </c>
      <c r="B180" s="75" t="s">
        <v>1379</v>
      </c>
      <c r="D180" s="13"/>
      <c r="E180" s="13"/>
      <c r="F180" s="69"/>
      <c r="G180" s="14"/>
    </row>
    <row r="181" spans="1:8">
      <c r="B181" s="4" t="s">
        <v>1373</v>
      </c>
      <c r="C181" s="1" t="str">
        <f ca="1">VLOOKUP(B181,TaskPlan!A:B,2,FALSE)</f>
        <v>Ruth</v>
      </c>
      <c r="D181" s="13" t="str">
        <f ca="1">VLOOKUP(B181,TaskPlan!A:L,12,FALSE)</f>
        <v>Closed</v>
      </c>
      <c r="E181" s="13">
        <f ca="1">IF(VLOOKUP(B181,TaskPlan!A:D,4,FALSE)=0,"",VLOOKUP(B181,TaskPlan!A:D,4,FALSE))</f>
        <v>40435</v>
      </c>
      <c r="F181" s="70">
        <f ca="1">VLOOKUP(B181,WorkList!A:F,6,FALSE)</f>
        <v>2</v>
      </c>
      <c r="G181" s="14" t="str">
        <f ca="1">VLOOKUP(B181,WorkList!A:C,3,FALSE)</f>
        <v>Invert concept of FrontPay + BackPay</v>
      </c>
      <c r="H181" s="58">
        <v>1</v>
      </c>
    </row>
    <row r="182" spans="1:8">
      <c r="B182" s="4" t="s">
        <v>1375</v>
      </c>
      <c r="C182" s="1" t="str">
        <f ca="1">VLOOKUP(B182,TaskPlan!A:B,2,FALSE)</f>
        <v>Ruth</v>
      </c>
      <c r="D182" s="13" t="str">
        <f ca="1">VLOOKUP(B182,TaskPlan!A:L,12,FALSE)</f>
        <v>Closed</v>
      </c>
      <c r="E182" s="13">
        <f ca="1">IF(VLOOKUP(B182,TaskPlan!A:D,4,FALSE)=0,"",VLOOKUP(B182,TaskPlan!A:D,4,FALSE))</f>
        <v>40435</v>
      </c>
      <c r="F182" s="70">
        <f ca="1">VLOOKUP(B182,WorkList!A:F,6,FALSE)</f>
        <v>1</v>
      </c>
      <c r="G182" s="14" t="str">
        <f ca="1">VLOOKUP(B182,WorkList!A:C,3,FALSE)</f>
        <v>Modify windows sizes so that all columns are displayed</v>
      </c>
      <c r="H182" s="58">
        <v>1</v>
      </c>
    </row>
    <row r="183" spans="1:8" ht="25.5">
      <c r="B183" s="4" t="s">
        <v>1377</v>
      </c>
      <c r="C183" s="1" t="str">
        <f ca="1">VLOOKUP(B183,TaskPlan!A:B,2,FALSE)</f>
        <v>Ruth</v>
      </c>
      <c r="D183" s="13" t="str">
        <f ca="1">VLOOKUP(B183,TaskPlan!A:L,12,FALSE)</f>
        <v>Closed</v>
      </c>
      <c r="E183" s="13">
        <f ca="1">IF(VLOOKUP(B183,TaskPlan!A:D,4,FALSE)=0,"",VLOOKUP(B183,TaskPlan!A:D,4,FALSE))</f>
        <v>40435</v>
      </c>
      <c r="F183" s="70">
        <f ca="1">VLOOKUP(B183,WorkList!A:F,6,FALSE)</f>
        <v>1</v>
      </c>
      <c r="G183" s="14" t="str">
        <f ca="1">VLOOKUP(B183,WorkList!A:C,3,FALSE)</f>
        <v>Make sure the same columns appear for Levels 1, 2 &amp; 3 between Matrix Editor and Viewer.</v>
      </c>
      <c r="H183" s="58">
        <v>1</v>
      </c>
    </row>
    <row r="184" spans="1:8">
      <c r="B184" s="4" t="s">
        <v>1466</v>
      </c>
      <c r="C184" s="1" t="str">
        <f ca="1">VLOOKUP(B184,TaskPlan!A:B,2,FALSE)</f>
        <v>Ruth</v>
      </c>
      <c r="D184" s="13" t="str">
        <f ca="1">VLOOKUP(B184,TaskPlan!A:L,12,FALSE)</f>
        <v>Closed</v>
      </c>
      <c r="E184" s="13">
        <f ca="1">IF(VLOOKUP(B184,TaskPlan!A:D,4,FALSE)=0,"",VLOOKUP(B184,TaskPlan!A:D,4,FALSE))</f>
        <v>40435</v>
      </c>
      <c r="F184" s="70">
        <f ca="1">VLOOKUP(B184,WorkList!A:F,6,FALSE)</f>
        <v>1</v>
      </c>
      <c r="G184" s="14" t="str">
        <f ca="1">VLOOKUP(B184,WorkList!A:C,3,FALSE)</f>
        <v>Correct WAL calculation</v>
      </c>
      <c r="H184" s="60">
        <v>1</v>
      </c>
    </row>
    <row r="185" spans="1:8">
      <c r="B185" s="4" t="s">
        <v>1481</v>
      </c>
      <c r="C185" s="1" t="str">
        <f ca="1">VLOOKUP(B185,TaskPlan!A:B,2,FALSE)</f>
        <v>Ruth</v>
      </c>
      <c r="D185" s="13" t="str">
        <f ca="1">VLOOKUP(B185,TaskPlan!A:L,12,FALSE)</f>
        <v>Closed</v>
      </c>
      <c r="E185" s="13">
        <f ca="1">IF(VLOOKUP(B185,TaskPlan!A:D,4,FALSE)=0,"",VLOOKUP(B185,TaskPlan!A:D,4,FALSE))</f>
        <v>40438</v>
      </c>
      <c r="F185" s="70">
        <f ca="1">VLOOKUP(B185,WorkList!A:F,6,FALSE)</f>
        <v>1</v>
      </c>
      <c r="G185" s="14" t="str">
        <f ca="1">VLOOKUP(B185,WorkList!A:C,3,FALSE)</f>
        <v>Partial Release</v>
      </c>
    </row>
    <row r="186" spans="1:8">
      <c r="B186" s="4"/>
      <c r="D186" s="13"/>
      <c r="E186" s="13"/>
      <c r="F186" s="70"/>
      <c r="G186" s="14"/>
    </row>
    <row r="187" spans="1:8">
      <c r="B187" s="4" t="s">
        <v>1357</v>
      </c>
      <c r="C187" s="1" t="str">
        <f ca="1">VLOOKUP(B187,TaskPlan!A:B,2,FALSE)</f>
        <v>Ruth</v>
      </c>
      <c r="D187" s="13" t="str">
        <f ca="1">VLOOKUP(B187,TaskPlan!A:L,12,FALSE)</f>
        <v>Closed</v>
      </c>
      <c r="E187" s="13">
        <f ca="1">IF(VLOOKUP(B187,TaskPlan!A:D,4,FALSE)=0,"",VLOOKUP(B187,TaskPlan!A:D,4,FALSE))</f>
        <v>40452</v>
      </c>
      <c r="F187" s="70">
        <f ca="1">VLOOKUP(B187,WorkList!A:F,6,FALSE)</f>
        <v>3</v>
      </c>
      <c r="G187" s="14" t="str">
        <f ca="1">VLOOKUP(B187,WorkList!A:C,3,FALSE)</f>
        <v>Three fixes proposed by Ruth.</v>
      </c>
    </row>
    <row r="188" spans="1:8">
      <c r="B188" s="4" t="s">
        <v>1218</v>
      </c>
      <c r="C188" s="1" t="str">
        <f ca="1">VLOOKUP(B188,TaskPlan!A:B,2,FALSE)</f>
        <v>Ruth</v>
      </c>
      <c r="D188" s="13" t="str">
        <f ca="1">VLOOKUP(B188,TaskPlan!A:L,12,FALSE)</f>
        <v>Closed</v>
      </c>
      <c r="E188" s="13">
        <f ca="1">IF(VLOOKUP(B188,TaskPlan!A:D,4,FALSE)=0,"",VLOOKUP(B188,TaskPlan!A:D,4,FALSE))</f>
        <v>40452</v>
      </c>
      <c r="F188" s="70">
        <f ca="1">VLOOKUP(B188,WorkList!A:F,6,FALSE)</f>
        <v>3</v>
      </c>
      <c r="G188" s="14" t="str">
        <f ca="1">VLOOKUP(B188,WorkList!A:C,3,FALSE)</f>
        <v>Mark some prices as bad</v>
      </c>
    </row>
    <row r="189" spans="1:8">
      <c r="B189" s="4" t="s">
        <v>1334</v>
      </c>
      <c r="C189" s="1" t="str">
        <f ca="1">VLOOKUP(B189,TaskPlan!A:B,2,FALSE)</f>
        <v>Ruth</v>
      </c>
      <c r="D189" s="13" t="str">
        <f ca="1">VLOOKUP(B189,TaskPlan!A:L,12,FALSE)</f>
        <v>Closed</v>
      </c>
      <c r="E189" s="13">
        <f ca="1">IF(VLOOKUP(B189,TaskPlan!A:D,4,FALSE)=0,"",VLOOKUP(B189,TaskPlan!A:D,4,FALSE))</f>
        <v>40452</v>
      </c>
      <c r="F189" s="70">
        <f ca="1">VLOOKUP(B189,WorkList!A:F,6,FALSE)</f>
        <v>1</v>
      </c>
      <c r="G189" s="14" t="str">
        <f ca="1">VLOOKUP(B189,WorkList!A:C,3,FALSE)</f>
        <v>Remove un-needed fields from MatrixPricing.Results</v>
      </c>
    </row>
    <row r="190" spans="1:8">
      <c r="B190" s="4" t="s">
        <v>1412</v>
      </c>
      <c r="C190" s="1" t="str">
        <f ca="1">VLOOKUP(B190,TaskPlan!A:B,2,FALSE)</f>
        <v>Ruth</v>
      </c>
      <c r="D190" s="13" t="str">
        <f ca="1">VLOOKUP(B190,TaskPlan!A:L,12,FALSE)</f>
        <v>Closed</v>
      </c>
      <c r="E190" s="13">
        <f ca="1">IF(VLOOKUP(B190,TaskPlan!A:D,4,FALSE)=0,"",VLOOKUP(B190,TaskPlan!A:D,4,FALSE))</f>
        <v>40452</v>
      </c>
      <c r="F190" s="70">
        <f ca="1">VLOOKUP(B190,WorkList!A:F,6,FALSE)</f>
        <v>4</v>
      </c>
      <c r="G190" s="14" t="str">
        <f ca="1">VLOOKUP(B190,WorkList!A:C,3,FALSE)</f>
        <v>Add ability to specify yields</v>
      </c>
    </row>
    <row r="191" spans="1:8">
      <c r="B191" s="4" t="s">
        <v>1380</v>
      </c>
      <c r="C191" s="1" t="str">
        <f ca="1">VLOOKUP(B191,TaskPlan!A:B,2,FALSE)</f>
        <v>Ruth</v>
      </c>
      <c r="D191" s="13" t="str">
        <f ca="1">VLOOKUP(B191,TaskPlan!A:L,12,FALSE)</f>
        <v>Closed</v>
      </c>
      <c r="E191" s="13">
        <f ca="1">IF(VLOOKUP(B191,TaskPlan!A:D,4,FALSE)=0,"",VLOOKUP(B191,TaskPlan!A:D,4,FALSE))</f>
        <v>40452</v>
      </c>
      <c r="F191" s="70">
        <f ca="1">VLOOKUP(B191,WorkList!A:F,6,FALSE)</f>
        <v>1</v>
      </c>
      <c r="G191" s="14" t="str">
        <f ca="1">VLOOKUP(B191,WorkList!A:C,3,FALSE)</f>
        <v>Test and UAT all changes</v>
      </c>
    </row>
    <row r="192" spans="1:8">
      <c r="B192" s="4" t="s">
        <v>1381</v>
      </c>
      <c r="C192" s="1" t="str">
        <f ca="1">VLOOKUP(B192,TaskPlan!A:B,2,FALSE)</f>
        <v>Pramendra</v>
      </c>
      <c r="D192" s="13" t="str">
        <f ca="1">VLOOKUP(B192,TaskPlan!A:L,12,FALSE)</f>
        <v>Closed</v>
      </c>
      <c r="E192" s="13">
        <f ca="1">IF(VLOOKUP(B192,TaskPlan!A:D,4,FALSE)=0,"",VLOOKUP(B192,TaskPlan!A:D,4,FALSE))</f>
        <v>40459</v>
      </c>
      <c r="F192" s="70">
        <f ca="1">VLOOKUP(B192,WorkList!A:F,6,FALSE)</f>
        <v>1</v>
      </c>
      <c r="G192" s="14" t="str">
        <f ca="1">VLOOKUP(B192,WorkList!A:C,3,FALSE)</f>
        <v>Review Matrix Pricing changes</v>
      </c>
    </row>
    <row r="193" spans="1:7">
      <c r="B193" s="4" t="s">
        <v>1382</v>
      </c>
      <c r="C193" s="1" t="str">
        <f ca="1">VLOOKUP(B193,TaskPlan!A:B,2,FALSE)</f>
        <v>Ruth</v>
      </c>
      <c r="D193" s="13" t="str">
        <f ca="1">VLOOKUP(B193,TaskPlan!A:L,12,FALSE)</f>
        <v>Closed</v>
      </c>
      <c r="E193" s="13">
        <f ca="1">IF(VLOOKUP(B193,TaskPlan!A:D,4,FALSE)=0,"",VLOOKUP(B193,TaskPlan!A:D,4,FALSE))</f>
        <v>40459</v>
      </c>
      <c r="F193" s="70">
        <f ca="1">VLOOKUP(B193,WorkList!A:F,6,FALSE)</f>
        <v>1</v>
      </c>
      <c r="G193" s="14" t="str">
        <f ca="1">VLOOKUP(B193,WorkList!A:C,3,FALSE)</f>
        <v>Release Matrix Pricing changes</v>
      </c>
    </row>
    <row r="194" spans="1:7">
      <c r="B194" s="4"/>
      <c r="D194" s="13"/>
      <c r="E194" s="13"/>
      <c r="F194" s="70"/>
      <c r="G194" s="14"/>
    </row>
    <row r="195" spans="1:7" s="77" customFormat="1" ht="13.5" thickBot="1">
      <c r="B195" s="81"/>
      <c r="D195" s="72"/>
      <c r="E195" s="72"/>
      <c r="F195" s="71"/>
      <c r="G195" s="73"/>
    </row>
    <row r="196" spans="1:7">
      <c r="A196" s="75" t="s">
        <v>1443</v>
      </c>
      <c r="B196" s="75" t="s">
        <v>1442</v>
      </c>
      <c r="D196" s="13"/>
      <c r="E196" s="13"/>
      <c r="F196" s="70"/>
      <c r="G196" s="14"/>
    </row>
    <row r="197" spans="1:7">
      <c r="B197" s="4" t="s">
        <v>1434</v>
      </c>
      <c r="C197" s="1" t="str">
        <f ca="1">VLOOKUP(B197,TaskPlan!A:B,2,FALSE)</f>
        <v>Sachin</v>
      </c>
      <c r="D197" s="13" t="str">
        <f ca="1">VLOOKUP(B197,TaskPlan!A:L,12,FALSE)</f>
        <v>Closed</v>
      </c>
      <c r="E197" s="13" t="str">
        <f ca="1">IF(VLOOKUP(B197,TaskPlan!A:D,4,FALSE)=0,"",VLOOKUP(B197,TaskPlan!A:D,4,FALSE))</f>
        <v/>
      </c>
      <c r="F197" s="70">
        <f ca="1">VLOOKUP(B197,WorkList!A:F,6,FALSE)</f>
        <v>1</v>
      </c>
      <c r="G197" s="14" t="str">
        <f ca="1">VLOOKUP(B197,WorkList!A:C,3,FALSE)</f>
        <v>DocQual: Agree Requirements for Batch Apps</v>
      </c>
    </row>
    <row r="198" spans="1:7">
      <c r="B198" s="4" t="s">
        <v>1435</v>
      </c>
      <c r="C198" s="1" t="str">
        <f ca="1">VLOOKUP(B198,TaskPlan!A:B,2,FALSE)</f>
        <v>Sreevani</v>
      </c>
      <c r="D198" s="13" t="str">
        <f ca="1">VLOOKUP(B198,TaskPlan!A:L,12,FALSE)</f>
        <v>Closed</v>
      </c>
      <c r="E198" s="13" t="str">
        <f ca="1">IF(VLOOKUP(B198,TaskPlan!A:D,4,FALSE)=0,"",VLOOKUP(B198,TaskPlan!A:D,4,FALSE))</f>
        <v/>
      </c>
      <c r="F198" s="70">
        <f ca="1">VLOOKUP(B198,WorkList!A:F,6,FALSE)</f>
        <v>1</v>
      </c>
      <c r="G198" s="14" t="str">
        <f ca="1">VLOOKUP(B198,WorkList!A:C,3,FALSE)</f>
        <v>DocQual: Agree Requirements for Batch Apps</v>
      </c>
    </row>
    <row r="199" spans="1:7">
      <c r="B199" s="4" t="s">
        <v>1436</v>
      </c>
      <c r="C199" s="1" t="str">
        <f ca="1">VLOOKUP(B199,TaskPlan!A:B,2,FALSE)</f>
        <v>Sachin</v>
      </c>
      <c r="D199" s="13" t="str">
        <f ca="1">VLOOKUP(B199,TaskPlan!A:L,12,FALSE)</f>
        <v>Closed</v>
      </c>
      <c r="E199" s="13" t="str">
        <f ca="1">IF(VLOOKUP(B199,TaskPlan!A:D,4,FALSE)=0,"",VLOOKUP(B199,TaskPlan!A:D,4,FALSE))</f>
        <v/>
      </c>
      <c r="F199" s="70">
        <f ca="1">VLOOKUP(B199,WorkList!A:F,6,FALSE)</f>
        <v>1</v>
      </c>
      <c r="G199" s="14" t="str">
        <f ca="1">VLOOKUP(B199,WorkList!A:C,3,FALSE)</f>
        <v>DocQual: Agree Requirements for GUI Apps</v>
      </c>
    </row>
    <row r="200" spans="1:7">
      <c r="B200" s="4" t="s">
        <v>1437</v>
      </c>
      <c r="C200" s="1" t="str">
        <f ca="1">VLOOKUP(B200,TaskPlan!A:B,2,FALSE)</f>
        <v>Sreevani</v>
      </c>
      <c r="D200" s="13" t="str">
        <f ca="1">VLOOKUP(B200,TaskPlan!A:L,12,FALSE)</f>
        <v>Closed</v>
      </c>
      <c r="E200" s="13" t="str">
        <f ca="1">IF(VLOOKUP(B200,TaskPlan!A:D,4,FALSE)=0,"",VLOOKUP(B200,TaskPlan!A:D,4,FALSE))</f>
        <v/>
      </c>
      <c r="F200" s="70">
        <f ca="1">VLOOKUP(B200,WorkList!A:F,6,FALSE)</f>
        <v>1</v>
      </c>
      <c r="G200" s="14" t="str">
        <f ca="1">VLOOKUP(B200,WorkList!A:C,3,FALSE)</f>
        <v>DocQual: Agree Requirements for GUI Apps</v>
      </c>
    </row>
    <row r="201" spans="1:7">
      <c r="B201" s="4" t="s">
        <v>1438</v>
      </c>
      <c r="C201" s="1" t="str">
        <f ca="1">VLOOKUP(B201,TaskPlan!A:B,2,FALSE)</f>
        <v>Sachin</v>
      </c>
      <c r="D201" s="13" t="str">
        <f ca="1">VLOOKUP(B201,TaskPlan!A:L,12,FALSE)</f>
        <v>Closed</v>
      </c>
      <c r="E201" s="13" t="str">
        <f ca="1">IF(VLOOKUP(B201,TaskPlan!A:D,4,FALSE)=0,"",VLOOKUP(B201,TaskPlan!A:D,4,FALSE))</f>
        <v/>
      </c>
      <c r="F201" s="70">
        <f ca="1">VLOOKUP(B201,WorkList!A:F,6,FALSE)</f>
        <v>1</v>
      </c>
      <c r="G201" s="14" t="str">
        <f ca="1">VLOOKUP(B201,WorkList!A:C,3,FALSE)</f>
        <v>DocQual: Agree Requirements for Libraries</v>
      </c>
    </row>
    <row r="202" spans="1:7">
      <c r="B202" s="4" t="s">
        <v>1439</v>
      </c>
      <c r="C202" s="1" t="str">
        <f ca="1">VLOOKUP(B202,TaskPlan!A:B,2,FALSE)</f>
        <v>Sreevani</v>
      </c>
      <c r="D202" s="13" t="str">
        <f ca="1">VLOOKUP(B202,TaskPlan!A:L,12,FALSE)</f>
        <v>Closed</v>
      </c>
      <c r="E202" s="13" t="str">
        <f ca="1">IF(VLOOKUP(B202,TaskPlan!A:D,4,FALSE)=0,"",VLOOKUP(B202,TaskPlan!A:D,4,FALSE))</f>
        <v/>
      </c>
      <c r="F202" s="70">
        <f ca="1">VLOOKUP(B202,WorkList!A:F,6,FALSE)</f>
        <v>1</v>
      </c>
      <c r="G202" s="14" t="str">
        <f ca="1">VLOOKUP(B202,WorkList!A:C,3,FALSE)</f>
        <v>DocQual: Agree Requirements for Libraries</v>
      </c>
    </row>
    <row r="203" spans="1:7">
      <c r="B203" s="4" t="s">
        <v>1440</v>
      </c>
      <c r="C203" s="1" t="str">
        <f ca="1">VLOOKUP(B203,TaskPlan!A:B,2,FALSE)</f>
        <v>Sachin</v>
      </c>
      <c r="D203" s="13" t="str">
        <f ca="1">VLOOKUP(B203,TaskPlan!A:L,12,FALSE)</f>
        <v>Not Started</v>
      </c>
      <c r="E203" s="13" t="str">
        <f ca="1">IF(VLOOKUP(B203,TaskPlan!A:D,4,FALSE)=0,"",VLOOKUP(B203,TaskPlan!A:D,4,FALSE))</f>
        <v/>
      </c>
      <c r="F203" s="70">
        <f ca="1">VLOOKUP(B203,WorkList!A:F,6,FALSE)</f>
        <v>1</v>
      </c>
      <c r="G203" s="14" t="str">
        <f ca="1">VLOOKUP(B203,WorkList!A:C,3,FALSE)</f>
        <v>DocQual: Implement plan for improving doc quality</v>
      </c>
    </row>
    <row r="204" spans="1:7">
      <c r="B204" s="4" t="s">
        <v>1441</v>
      </c>
      <c r="C204" s="1" t="str">
        <f ca="1">VLOOKUP(B204,TaskPlan!A:B,2,FALSE)</f>
        <v>Sreevani</v>
      </c>
      <c r="D204" s="13" t="str">
        <f ca="1">VLOOKUP(B204,TaskPlan!A:L,12,FALSE)</f>
        <v>Not Started</v>
      </c>
      <c r="E204" s="13" t="str">
        <f ca="1">IF(VLOOKUP(B204,TaskPlan!A:D,4,FALSE)=0,"",VLOOKUP(B204,TaskPlan!A:D,4,FALSE))</f>
        <v/>
      </c>
      <c r="F204" s="70">
        <f ca="1">VLOOKUP(B204,WorkList!A:F,6,FALSE)</f>
        <v>1</v>
      </c>
      <c r="G204" s="14" t="str">
        <f ca="1">VLOOKUP(B204,WorkList!A:C,3,FALSE)</f>
        <v>DocQual: Implement plan for improving doc quality</v>
      </c>
    </row>
    <row r="211" spans="1:7" s="77" customFormat="1" ht="13.5" thickBot="1">
      <c r="F211" s="78"/>
      <c r="G211" s="79"/>
    </row>
    <row r="212" spans="1:7">
      <c r="A212" s="75" t="s">
        <v>1159</v>
      </c>
      <c r="B212" s="75" t="s">
        <v>1406</v>
      </c>
    </row>
    <row r="213" spans="1:7">
      <c r="B213" s="4" t="s">
        <v>1469</v>
      </c>
      <c r="C213" s="1" t="str">
        <f ca="1">VLOOKUP(B213,TaskPlan!A:B,2,FALSE)</f>
        <v>Sreevani</v>
      </c>
      <c r="D213" s="13" t="str">
        <f ca="1">VLOOKUP(B213,TaskPlan!A:L,12,FALSE)</f>
        <v>Closed</v>
      </c>
      <c r="E213" s="13" t="str">
        <f ca="1">IF(VLOOKUP(B213,TaskPlan!A:D,4,FALSE)=0,"",VLOOKUP(B213,TaskPlan!A:D,4,FALSE))</f>
        <v/>
      </c>
      <c r="F213" s="70">
        <f ca="1">VLOOKUP(B213,WorkList!A:F,6,FALSE)</f>
        <v>1</v>
      </c>
      <c r="G213" s="14" t="str">
        <f ca="1">VLOOKUP(B213,WorkList!A:C,3,FALSE)</f>
        <v>BBG Rates: Requirements</v>
      </c>
    </row>
    <row r="214" spans="1:7">
      <c r="B214" s="4" t="s">
        <v>1471</v>
      </c>
      <c r="C214" s="1" t="str">
        <f ca="1">VLOOKUP(B214,TaskPlan!A:B,2,FALSE)</f>
        <v>Sreevani</v>
      </c>
      <c r="D214" s="13" t="str">
        <f ca="1">VLOOKUP(B214,TaskPlan!A:L,12,FALSE)</f>
        <v>Closed</v>
      </c>
      <c r="E214" s="13" t="str">
        <f ca="1">IF(VLOOKUP(B214,TaskPlan!A:D,4,FALSE)=0,"",VLOOKUP(B214,TaskPlan!A:D,4,FALSE))</f>
        <v/>
      </c>
      <c r="F214" s="70">
        <f ca="1">VLOOKUP(B214,WorkList!A:F,6,FALSE)</f>
        <v>1</v>
      </c>
      <c r="G214" s="14" t="str">
        <f ca="1">VLOOKUP(B214,WorkList!A:C,3,FALSE)</f>
        <v>BBG Rates: Design</v>
      </c>
    </row>
    <row r="215" spans="1:7">
      <c r="B215" s="4" t="s">
        <v>1473</v>
      </c>
      <c r="C215" s="1" t="str">
        <f ca="1">VLOOKUP(B215,TaskPlan!A:B,2,FALSE)</f>
        <v>Neil</v>
      </c>
      <c r="D215" s="13" t="str">
        <f ca="1">VLOOKUP(B215,TaskPlan!A:L,12,FALSE)</f>
        <v>Closed</v>
      </c>
      <c r="E215" s="13" t="str">
        <f ca="1">IF(VLOOKUP(B215,TaskPlan!A:D,4,FALSE)=0,"",VLOOKUP(B215,TaskPlan!A:D,4,FALSE))</f>
        <v/>
      </c>
      <c r="F215" s="70">
        <f ca="1">VLOOKUP(B215,WorkList!A:F,6,FALSE)</f>
        <v>1</v>
      </c>
      <c r="G215" s="14" t="str">
        <f ca="1">VLOOKUP(B215,WorkList!A:C,3,FALSE)</f>
        <v>BBG Rates: Design Review</v>
      </c>
    </row>
    <row r="216" spans="1:7">
      <c r="B216" s="4" t="s">
        <v>1475</v>
      </c>
      <c r="C216" s="1" t="str">
        <f ca="1">VLOOKUP(B216,TaskPlan!A:B,2,FALSE)</f>
        <v>Sreevani</v>
      </c>
      <c r="D216" s="13" t="str">
        <f ca="1">VLOOKUP(B216,TaskPlan!A:L,12,FALSE)</f>
        <v>Closed</v>
      </c>
      <c r="E216" s="13" t="str">
        <f ca="1">IF(VLOOKUP(B216,TaskPlan!A:D,4,FALSE)=0,"",VLOOKUP(B216,TaskPlan!A:D,4,FALSE))</f>
        <v/>
      </c>
      <c r="F216" s="70">
        <f ca="1">VLOOKUP(B216,WorkList!A:F,6,FALSE)</f>
        <v>5</v>
      </c>
      <c r="G216" s="14" t="str">
        <f ca="1">VLOOKUP(B216,WorkList!A:C,3,FALSE)</f>
        <v>BBG Rates: Implement</v>
      </c>
    </row>
    <row r="217" spans="1:7">
      <c r="B217" s="4" t="s">
        <v>1479</v>
      </c>
      <c r="C217" s="1" t="str">
        <f ca="1">VLOOKUP(B217,TaskPlan!A:B,2,FALSE)</f>
        <v>All</v>
      </c>
      <c r="D217" s="13" t="str">
        <f ca="1">VLOOKUP(B217,TaskPlan!A:L,12,FALSE)</f>
        <v>Closed</v>
      </c>
      <c r="E217" s="13" t="str">
        <f ca="1">IF(VLOOKUP(B217,TaskPlan!A:D,4,FALSE)=0,"",VLOOKUP(B217,TaskPlan!A:D,4,FALSE))</f>
        <v/>
      </c>
      <c r="F217" s="70">
        <f ca="1">VLOOKUP(B217,WorkList!A:F,6,FALSE)</f>
        <v>1</v>
      </c>
      <c r="G217" s="14" t="str">
        <f ca="1">VLOOKUP(B217,WorkList!A:C,3,FALSE)</f>
        <v>BBG Rates: Code Review</v>
      </c>
    </row>
    <row r="218" spans="1:7">
      <c r="B218" s="4" t="s">
        <v>1480</v>
      </c>
      <c r="C218" s="1" t="str">
        <f ca="1">VLOOKUP(B218,TaskPlan!A:B,2,FALSE)</f>
        <v>Sreevani</v>
      </c>
      <c r="D218" s="13" t="str">
        <f ca="1">VLOOKUP(B218,TaskPlan!A:L,12,FALSE)</f>
        <v>Closed</v>
      </c>
      <c r="E218" s="13" t="str">
        <f ca="1">IF(VLOOKUP(B218,TaskPlan!A:D,4,FALSE)=0,"",VLOOKUP(B218,TaskPlan!A:D,4,FALSE))</f>
        <v/>
      </c>
      <c r="F218" s="70">
        <f ca="1">VLOOKUP(B218,WorkList!A:F,6,FALSE)</f>
        <v>3</v>
      </c>
      <c r="G218" s="14" t="str">
        <f ca="1">VLOOKUP(B218,WorkList!A:C,3,FALSE)</f>
        <v>BBG Rates: Test and Release</v>
      </c>
    </row>
    <row r="220" spans="1:7" s="77" customFormat="1" ht="13.5" thickBot="1">
      <c r="F220" s="78"/>
      <c r="G220" s="79"/>
    </row>
    <row r="221" spans="1:7">
      <c r="A221" s="75" t="s">
        <v>1159</v>
      </c>
      <c r="B221" s="75" t="s">
        <v>1486</v>
      </c>
    </row>
    <row r="222" spans="1:7">
      <c r="B222" s="4" t="s">
        <v>1487</v>
      </c>
      <c r="C222" s="1" t="str">
        <f ca="1">VLOOKUP(B222,TaskPlan!A:B,2,FALSE)</f>
        <v>Neil</v>
      </c>
      <c r="D222" s="13" t="str">
        <f ca="1">VLOOKUP(B222,TaskPlan!A:L,12,FALSE)</f>
        <v>Closed</v>
      </c>
      <c r="E222" s="13">
        <f ca="1">IF(VLOOKUP(B222,TaskPlan!A:D,4,FALSE)=0,"",VLOOKUP(B222,TaskPlan!A:D,4,FALSE))</f>
        <v>40434</v>
      </c>
      <c r="F222" s="70">
        <f ca="1">VLOOKUP(B222,WorkList!A:F,6,FALSE)</f>
        <v>1</v>
      </c>
      <c r="G222" s="14" t="str">
        <f ca="1">VLOOKUP(B222,WorkList!A:C,3,FALSE)</f>
        <v>Market1: Understand requirements</v>
      </c>
    </row>
    <row r="223" spans="1:7">
      <c r="B223" s="4" t="s">
        <v>1492</v>
      </c>
      <c r="C223" s="1" t="str">
        <f ca="1">VLOOKUP(B223,TaskPlan!A:B,2,FALSE)</f>
        <v>Neil</v>
      </c>
      <c r="D223" s="13" t="str">
        <f ca="1">VLOOKUP(B223,TaskPlan!A:L,12,FALSE)</f>
        <v>Closed</v>
      </c>
      <c r="E223" s="13">
        <f ca="1">IF(VLOOKUP(B223,TaskPlan!A:D,4,FALSE)=0,"",VLOOKUP(B223,TaskPlan!A:D,4,FALSE))</f>
        <v>40438</v>
      </c>
      <c r="F223" s="70">
        <f ca="1">VLOOKUP(B223,WorkList!A:F,6,FALSE)</f>
        <v>1</v>
      </c>
      <c r="G223" s="14" t="str">
        <f ca="1">VLOOKUP(B223,WorkList!A:C,3,FALSE)</f>
        <v>Market1: Design</v>
      </c>
    </row>
    <row r="224" spans="1:7">
      <c r="B224" s="4" t="s">
        <v>1493</v>
      </c>
      <c r="C224" s="1" t="str">
        <f ca="1">VLOOKUP(B224,TaskPlan!A:B,2,FALSE)</f>
        <v>Sreevani</v>
      </c>
      <c r="D224" s="13" t="str">
        <f ca="1">VLOOKUP(B224,TaskPlan!A:L,12,FALSE)</f>
        <v>Closed</v>
      </c>
      <c r="E224" s="13">
        <f ca="1">IF(VLOOKUP(B224,TaskPlan!A:D,4,FALSE)=0,"",VLOOKUP(B224,TaskPlan!A:D,4,FALSE))</f>
        <v>40443</v>
      </c>
      <c r="F224" s="70">
        <f ca="1">VLOOKUP(B224,WorkList!A:F,6,FALSE)</f>
        <v>3</v>
      </c>
      <c r="G224" s="14" t="str">
        <f ca="1">VLOOKUP(B224,WorkList!A:C,3,FALSE)</f>
        <v>Market1: Implement</v>
      </c>
    </row>
    <row r="225" spans="1:7">
      <c r="B225" s="4" t="s">
        <v>1494</v>
      </c>
      <c r="C225" s="1" t="str">
        <f ca="1">VLOOKUP(B225,TaskPlan!A:B,2,FALSE)</f>
        <v>Sreevani</v>
      </c>
      <c r="D225" s="13" t="str">
        <f ca="1">VLOOKUP(B225,TaskPlan!A:L,12,FALSE)</f>
        <v>Closed</v>
      </c>
      <c r="E225" s="13">
        <f ca="1">IF(VLOOKUP(B225,TaskPlan!A:D,4,FALSE)=0,"",VLOOKUP(B225,TaskPlan!A:D,4,FALSE))</f>
        <v>40445</v>
      </c>
      <c r="F225" s="70">
        <f ca="1">VLOOKUP(B225,WorkList!A:F,6,FALSE)</f>
        <v>1</v>
      </c>
      <c r="G225" s="14" t="str">
        <f ca="1">VLOOKUP(B225,WorkList!A:C,3,FALSE)</f>
        <v>Market1: Test</v>
      </c>
    </row>
    <row r="226" spans="1:7">
      <c r="B226" s="4" t="s">
        <v>1495</v>
      </c>
      <c r="C226" s="1" t="str">
        <f ca="1">VLOOKUP(B226,TaskPlan!A:B,2,FALSE)</f>
        <v>All</v>
      </c>
      <c r="D226" s="13" t="str">
        <f ca="1">VLOOKUP(B226,TaskPlan!A:L,12,FALSE)</f>
        <v>Closed</v>
      </c>
      <c r="E226" s="13">
        <f ca="1">IF(VLOOKUP(B226,TaskPlan!A:D,4,FALSE)=0,"",VLOOKUP(B226,TaskPlan!A:D,4,FALSE))</f>
        <v>40445</v>
      </c>
      <c r="F226" s="70">
        <f ca="1">VLOOKUP(B226,WorkList!A:F,6,FALSE)</f>
        <v>1</v>
      </c>
      <c r="G226" s="14" t="str">
        <f ca="1">VLOOKUP(B226,WorkList!A:C,3,FALSE)</f>
        <v>Market1: Review</v>
      </c>
    </row>
    <row r="227" spans="1:7">
      <c r="B227" s="4" t="s">
        <v>1496</v>
      </c>
      <c r="C227" s="1" t="str">
        <f ca="1">VLOOKUP(B227,TaskPlan!A:B,2,FALSE)</f>
        <v>Sreevani</v>
      </c>
      <c r="D227" s="13" t="str">
        <f ca="1">VLOOKUP(B227,TaskPlan!A:L,12,FALSE)</f>
        <v>Closed</v>
      </c>
      <c r="E227" s="13">
        <f ca="1">IF(VLOOKUP(B227,TaskPlan!A:D,4,FALSE)=0,"",VLOOKUP(B227,TaskPlan!A:D,4,FALSE))</f>
        <v>40449</v>
      </c>
      <c r="F227" s="70">
        <f ca="1">VLOOKUP(B227,WorkList!A:F,6,FALSE)</f>
        <v>1</v>
      </c>
      <c r="G227" s="14" t="str">
        <f ca="1">VLOOKUP(B227,WorkList!A:C,3,FALSE)</f>
        <v>Market1: Release</v>
      </c>
    </row>
    <row r="229" spans="1:7" s="77" customFormat="1" ht="13.5" thickBot="1">
      <c r="F229" s="78"/>
      <c r="G229" s="79"/>
    </row>
    <row r="230" spans="1:7">
      <c r="A230" s="75" t="s">
        <v>1159</v>
      </c>
      <c r="B230" s="75" t="s">
        <v>1641</v>
      </c>
    </row>
    <row r="231" spans="1:7">
      <c r="A231" s="75"/>
      <c r="B231" s="4" t="s">
        <v>1419</v>
      </c>
      <c r="C231" s="1" t="str">
        <f ca="1">VLOOKUP(B231,TaskPlan!A:B,2,FALSE)</f>
        <v>Sreevani</v>
      </c>
      <c r="D231" s="13" t="str">
        <f ca="1">VLOOKUP(B231,TaskPlan!A:L,12,FALSE)</f>
        <v>Closed</v>
      </c>
      <c r="E231" s="13" t="str">
        <f ca="1">IF(VLOOKUP(B231,TaskPlan!A:D,4,FALSE)=0,"",VLOOKUP(B231,TaskPlan!A:D,4,FALSE))</f>
        <v/>
      </c>
      <c r="F231" s="70">
        <f ca="1">VLOOKUP(B231,WorkList!A:F,6,FALSE)</f>
        <v>4</v>
      </c>
      <c r="G231" s="14" t="str">
        <f ca="1">VLOOKUP(B231,WorkList!A:C,3,FALSE)</f>
        <v>QDB Rates: Requirements and Design</v>
      </c>
    </row>
    <row r="232" spans="1:7">
      <c r="A232" s="75"/>
      <c r="B232" s="4" t="s">
        <v>1643</v>
      </c>
      <c r="C232" s="1" t="str">
        <f ca="1">VLOOKUP(B232,TaskPlan!A:B,2,FALSE)</f>
        <v>Sreevani</v>
      </c>
      <c r="D232" s="13" t="str">
        <f ca="1">VLOOKUP(B232,TaskPlan!A:L,12,FALSE)</f>
        <v>Closed</v>
      </c>
      <c r="E232" s="13" t="str">
        <f ca="1">IF(VLOOKUP(B232,TaskPlan!A:D,4,FALSE)=0,"",VLOOKUP(B232,TaskPlan!A:D,4,FALSE))</f>
        <v/>
      </c>
      <c r="F232" s="70">
        <f ca="1">VLOOKUP(B232,WorkList!A:F,6,FALSE)</f>
        <v>5</v>
      </c>
      <c r="G232" s="14" t="str">
        <f ca="1">VLOOKUP(B232,WorkList!A:C,3,FALSE)</f>
        <v>QDB Rates: Implement</v>
      </c>
    </row>
    <row r="233" spans="1:7">
      <c r="A233" s="75"/>
      <c r="B233" s="4" t="s">
        <v>1644</v>
      </c>
      <c r="C233" s="1" t="str">
        <f ca="1">VLOOKUP(B233,TaskPlan!A:B,2,FALSE)</f>
        <v>Sreevani</v>
      </c>
      <c r="D233" s="13" t="str">
        <f ca="1">VLOOKUP(B233,TaskPlan!A:L,12,FALSE)</f>
        <v>Closed</v>
      </c>
      <c r="E233" s="13" t="str">
        <f ca="1">IF(VLOOKUP(B233,TaskPlan!A:D,4,FALSE)=0,"",VLOOKUP(B233,TaskPlan!A:D,4,FALSE))</f>
        <v/>
      </c>
      <c r="F233" s="70">
        <f ca="1">VLOOKUP(B233,WorkList!A:F,6,FALSE)</f>
        <v>1</v>
      </c>
      <c r="G233" s="14" t="str">
        <f ca="1">VLOOKUP(B233,WorkList!A:C,3,FALSE)</f>
        <v>QDB Rates: Review</v>
      </c>
    </row>
    <row r="234" spans="1:7">
      <c r="A234" s="75"/>
      <c r="B234" s="4" t="s">
        <v>1650</v>
      </c>
      <c r="C234" s="1" t="str">
        <f ca="1">VLOOKUP(B234,TaskPlan!A:B,2,FALSE)</f>
        <v>Sreevani</v>
      </c>
      <c r="D234" s="13" t="str">
        <f ca="1">VLOOKUP(B234,TaskPlan!A:L,12,FALSE)</f>
        <v>Closed</v>
      </c>
      <c r="E234" s="13" t="str">
        <f ca="1">IF(VLOOKUP(B234,TaskPlan!A:D,4,FALSE)=0,"",VLOOKUP(B234,TaskPlan!A:D,4,FALSE))</f>
        <v/>
      </c>
      <c r="F234" s="70">
        <f ca="1">VLOOKUP(B234,WorkList!A:F,6,FALSE)</f>
        <v>2</v>
      </c>
      <c r="G234" s="14" t="str">
        <f ca="1">VLOOKUP(B234,WorkList!A:C,3,FALSE)</f>
        <v>QDB Rates: UAT</v>
      </c>
    </row>
    <row r="235" spans="1:7">
      <c r="A235" s="75"/>
      <c r="B235" s="4" t="s">
        <v>1645</v>
      </c>
      <c r="C235" s="1" t="str">
        <f ca="1">VLOOKUP(B235,TaskPlan!A:B,2,FALSE)</f>
        <v>Sreevani</v>
      </c>
      <c r="D235" s="13" t="str">
        <f ca="1">VLOOKUP(B235,TaskPlan!A:L,12,FALSE)</f>
        <v>Closed</v>
      </c>
      <c r="E235" s="13" t="str">
        <f ca="1">IF(VLOOKUP(B235,TaskPlan!A:D,4,FALSE)=0,"",VLOOKUP(B235,TaskPlan!A:D,4,FALSE))</f>
        <v/>
      </c>
      <c r="F235" s="70">
        <f ca="1">VLOOKUP(B235,WorkList!A:F,6,FALSE)</f>
        <v>1</v>
      </c>
      <c r="G235" s="14" t="str">
        <f ca="1">VLOOKUP(B235,WorkList!A:C,3,FALSE)</f>
        <v>QDB Rates: Release</v>
      </c>
    </row>
    <row r="236" spans="1:7">
      <c r="B236" s="4" t="s">
        <v>1526</v>
      </c>
      <c r="C236" s="1" t="str">
        <f ca="1">VLOOKUP(B236,TaskPlan!A:B,2,FALSE)</f>
        <v>Neil</v>
      </c>
      <c r="D236" s="13" t="str">
        <f ca="1">VLOOKUP(B236,TaskPlan!A:L,12,FALSE)</f>
        <v>Closed</v>
      </c>
      <c r="E236" s="13" t="str">
        <f ca="1">IF(VLOOKUP(B236,TaskPlan!A:D,4,FALSE)=0,"",VLOOKUP(B236,TaskPlan!A:D,4,FALSE))</f>
        <v/>
      </c>
      <c r="F236" s="70">
        <f ca="1">VLOOKUP(B236,WorkList!A:F,6,FALSE)</f>
        <v>5</v>
      </c>
      <c r="G236" s="14" t="str">
        <f ca="1">VLOOKUP(B236,WorkList!A:C,3,FALSE)</f>
        <v>BBG Feed: Gather requirements</v>
      </c>
    </row>
    <row r="237" spans="1:7">
      <c r="B237" s="4" t="s">
        <v>1529</v>
      </c>
      <c r="C237" s="1" t="str">
        <f ca="1">VLOOKUP(B237,TaskPlan!A:B,2,FALSE)</f>
        <v>Sreevani</v>
      </c>
      <c r="D237" s="13" t="str">
        <f ca="1">VLOOKUP(B237,TaskPlan!A:L,12,FALSE)</f>
        <v>Closed</v>
      </c>
      <c r="E237" s="13" t="str">
        <f ca="1">IF(VLOOKUP(B237,TaskPlan!A:D,4,FALSE)=0,"",VLOOKUP(B237,TaskPlan!A:D,4,FALSE))</f>
        <v/>
      </c>
      <c r="F237" s="70">
        <f ca="1">VLOOKUP(B237,WorkList!A:F,6,FALSE)</f>
        <v>5</v>
      </c>
      <c r="G237" s="14" t="str">
        <f ca="1">VLOOKUP(B237,WorkList!A:C,3,FALSE)</f>
        <v>BBG Feed: Prototype feed process</v>
      </c>
    </row>
    <row r="238" spans="1:7" ht="25.5">
      <c r="B238" s="4" t="s">
        <v>1633</v>
      </c>
      <c r="C238" s="1" t="str">
        <f ca="1">VLOOKUP(B238,TaskPlan!A:B,2,FALSE)</f>
        <v>Sreevani</v>
      </c>
      <c r="D238" s="13" t="str">
        <f ca="1">VLOOKUP(B238,TaskPlan!A:L,12,FALSE)</f>
        <v>Closed</v>
      </c>
      <c r="E238" s="13" t="str">
        <f ca="1">IF(VLOOKUP(B238,TaskPlan!A:D,4,FALSE)=0,"",VLOOKUP(B238,TaskPlan!A:D,4,FALSE))</f>
        <v/>
      </c>
      <c r="F238" s="70">
        <f ca="1">VLOOKUP(B238,WorkList!A:F,6,FALSE)</f>
        <v>5</v>
      </c>
      <c r="G238" s="14" t="str">
        <f ca="1">VLOOKUP(B238,WorkList!A:C,3,FALSE)</f>
        <v>BBG Feed: Investigate using BBG Accessor for application usage</v>
      </c>
    </row>
    <row r="240" spans="1:7" s="77" customFormat="1" ht="13.5" thickBot="1">
      <c r="F240" s="78"/>
      <c r="G240" s="79"/>
    </row>
    <row r="241" spans="1:7">
      <c r="A241" s="75" t="s">
        <v>1159</v>
      </c>
      <c r="B241" s="75" t="s">
        <v>1642</v>
      </c>
    </row>
    <row r="242" spans="1:7">
      <c r="B242" s="1" t="s">
        <v>1088</v>
      </c>
      <c r="C242" s="1" t="str">
        <f ca="1">VLOOKUP(B242,TaskPlan!A:B,2,FALSE)</f>
        <v>Sreevani</v>
      </c>
      <c r="D242" s="13" t="str">
        <f ca="1">VLOOKUP(B242,TaskPlan!A:L,12,FALSE)</f>
        <v>Closed</v>
      </c>
      <c r="E242" s="13">
        <f ca="1">IF(VLOOKUP(B242,TaskPlan!A:D,4,FALSE)=0,"",VLOOKUP(B242,TaskPlan!A:D,4,FALSE))</f>
        <v>40483</v>
      </c>
      <c r="F242" s="70">
        <f ca="1">VLOOKUP(B242,WorkList!A:F,6,FALSE)</f>
        <v>7</v>
      </c>
      <c r="G242" s="14" t="str">
        <f ca="1">VLOOKUP(B242,WorkList!A:C,3,FALSE)</f>
        <v>LTV Strat tool: Add series history data to Nomura Now</v>
      </c>
    </row>
    <row r="244" spans="1:7" s="77" customFormat="1" ht="13.5" thickBot="1">
      <c r="F244" s="78"/>
      <c r="G244" s="79"/>
    </row>
    <row r="245" spans="1:7">
      <c r="A245" s="75" t="s">
        <v>11</v>
      </c>
      <c r="B245" s="75" t="s">
        <v>1652</v>
      </c>
    </row>
    <row r="246" spans="1:7">
      <c r="B246" s="4" t="s">
        <v>1605</v>
      </c>
      <c r="C246" s="1" t="str">
        <f ca="1">VLOOKUP(B246,TaskPlan!A:B,2,FALSE)</f>
        <v>Neil</v>
      </c>
      <c r="D246" s="13" t="str">
        <f ca="1">VLOOKUP(B246,TaskPlan!A:L,12,FALSE)</f>
        <v>Closed</v>
      </c>
      <c r="E246" s="13" t="str">
        <f ca="1">IF(VLOOKUP(B246,TaskPlan!A:D,4,FALSE)=0,"",VLOOKUP(B246,TaskPlan!A:D,4,FALSE))</f>
        <v/>
      </c>
      <c r="F246" s="70">
        <f ca="1">VLOOKUP(B246,WorkList!A:F,6,FALSE)</f>
        <v>1</v>
      </c>
      <c r="G246" s="14" t="str">
        <f ca="1">VLOOKUP(B246,WorkList!A:C,3,FALSE)</f>
        <v>SaveOpeningRuns: Gather requirements</v>
      </c>
    </row>
    <row r="247" spans="1:7">
      <c r="B247" s="4" t="s">
        <v>1656</v>
      </c>
      <c r="C247" s="1" t="str">
        <f ca="1">VLOOKUP(B247,TaskPlan!A:B,2,FALSE)</f>
        <v>Neil</v>
      </c>
      <c r="D247" s="13" t="str">
        <f ca="1">VLOOKUP(B247,TaskPlan!A:L,12,FALSE)</f>
        <v>Closed</v>
      </c>
      <c r="E247" s="13" t="str">
        <f ca="1">IF(VLOOKUP(B247,TaskPlan!A:D,4,FALSE)=0,"",VLOOKUP(B247,TaskPlan!A:D,4,FALSE))</f>
        <v/>
      </c>
      <c r="F247" s="70">
        <f ca="1">VLOOKUP(B247,WorkList!A:F,6,FALSE)</f>
        <v>2</v>
      </c>
      <c r="G247" s="14" t="str">
        <f ca="1">VLOOKUP(B247,WorkList!A:C,3,FALSE)</f>
        <v>SaveOpeningRuns: Build app to save runs from email</v>
      </c>
    </row>
    <row r="248" spans="1:7">
      <c r="B248" s="4" t="s">
        <v>1653</v>
      </c>
      <c r="C248" s="1" t="str">
        <f ca="1">VLOOKUP(B248,TaskPlan!A:B,2,FALSE)</f>
        <v>Neil</v>
      </c>
      <c r="D248" s="13" t="str">
        <f ca="1">VLOOKUP(B248,TaskPlan!A:L,12,FALSE)</f>
        <v>Closed</v>
      </c>
      <c r="E248" s="13" t="str">
        <f ca="1">IF(VLOOKUP(B248,TaskPlan!A:D,4,FALSE)=0,"",VLOOKUP(B248,TaskPlan!A:D,4,FALSE))</f>
        <v/>
      </c>
      <c r="F248" s="70">
        <f ca="1">VLOOKUP(B248,WorkList!A:F,6,FALSE)</f>
        <v>2</v>
      </c>
      <c r="G248" s="14" t="str">
        <f ca="1">VLOOKUP(B248,WorkList!A:C,3,FALSE)</f>
        <v>Blotter: Add CoverPx functionality</v>
      </c>
    </row>
    <row r="249" spans="1:7">
      <c r="B249" s="4" t="s">
        <v>1614</v>
      </c>
      <c r="C249" s="1" t="str">
        <f ca="1">VLOOKUP(B249,TaskPlan!A:B,2,FALSE)</f>
        <v>Neil</v>
      </c>
      <c r="D249" s="13" t="str">
        <f ca="1">VLOOKUP(B249,TaskPlan!A:L,12,FALSE)</f>
        <v>Closed</v>
      </c>
      <c r="E249" s="13" t="str">
        <f ca="1">IF(VLOOKUP(B249,TaskPlan!A:D,4,FALSE)=0,"",VLOOKUP(B249,TaskPlan!A:D,4,FALSE))</f>
        <v/>
      </c>
      <c r="F249" s="70">
        <f ca="1">VLOOKUP(B249,WorkList!A:F,6,FALSE)</f>
        <v>3</v>
      </c>
      <c r="G249" s="14" t="str">
        <f ca="1">VLOOKUP(B249,WorkList!A:C,3,FALSE)</f>
        <v>AVR: Gather requirements</v>
      </c>
    </row>
    <row r="250" spans="1:7">
      <c r="B250" s="7" t="s">
        <v>1654</v>
      </c>
      <c r="C250" s="1" t="str">
        <f ca="1">VLOOKUP(B250,TaskPlan!A:B,2,FALSE)</f>
        <v>Neil</v>
      </c>
      <c r="D250" s="13" t="str">
        <f ca="1">VLOOKUP(B250,TaskPlan!A:L,12,FALSE)</f>
        <v>Closed</v>
      </c>
      <c r="E250" s="13" t="str">
        <f ca="1">IF(VLOOKUP(B250,TaskPlan!A:D,4,FALSE)=0,"",VLOOKUP(B250,TaskPlan!A:D,4,FALSE))</f>
        <v/>
      </c>
      <c r="F250" s="70">
        <f ca="1">VLOOKUP(B250,WorkList!A:F,6,FALSE)</f>
        <v>2</v>
      </c>
      <c r="G250" s="14" t="str">
        <f ca="1">VLOOKUP(B250,WorkList!A:C,3,FALSE)</f>
        <v>AVR: Design application</v>
      </c>
    </row>
    <row r="251" spans="1:7">
      <c r="B251" s="7" t="s">
        <v>1842</v>
      </c>
      <c r="C251" s="1" t="str">
        <f ca="1">VLOOKUP(B251,TaskPlan!A:B,2,FALSE)</f>
        <v>Neil</v>
      </c>
      <c r="D251" s="13" t="str">
        <f ca="1">VLOOKUP(B251,TaskPlan!A:L,12,FALSE)</f>
        <v>Closed</v>
      </c>
      <c r="E251" s="13" t="str">
        <f ca="1">IF(VLOOKUP(B251,TaskPlan!A:D,4,FALSE)=0,"",VLOOKUP(B251,TaskPlan!A:D,4,FALSE))</f>
        <v/>
      </c>
      <c r="F251" s="70">
        <f ca="1">VLOOKUP(B251,WorkList!A:F,6,FALSE)</f>
        <v>2</v>
      </c>
      <c r="G251" s="14" t="str">
        <f ca="1">VLOOKUP(B251,WorkList!A:C,3,FALSE)</f>
        <v>AVR: Code Review</v>
      </c>
    </row>
    <row r="252" spans="1:7">
      <c r="B252" s="7"/>
      <c r="D252" s="13"/>
      <c r="E252" s="13"/>
      <c r="F252" s="70"/>
      <c r="G252" s="14"/>
    </row>
    <row r="253" spans="1:7" s="77" customFormat="1" ht="13.5" thickBot="1">
      <c r="F253" s="78"/>
      <c r="G253" s="79"/>
    </row>
    <row r="254" spans="1:7">
      <c r="A254" s="75" t="s">
        <v>21</v>
      </c>
      <c r="B254" s="75" t="s">
        <v>1678</v>
      </c>
    </row>
    <row r="255" spans="1:7">
      <c r="B255" s="7" t="s">
        <v>1680</v>
      </c>
      <c r="C255" s="1" t="str">
        <f ca="1">VLOOKUP(B255,TaskPlan!A:B,2,FALSE)</f>
        <v>Neil</v>
      </c>
      <c r="D255" s="13" t="str">
        <f ca="1">VLOOKUP(B255,TaskPlan!A:L,12,FALSE)</f>
        <v>Closed</v>
      </c>
      <c r="E255" s="13" t="str">
        <f ca="1">IF(VLOOKUP(B255,TaskPlan!A:D,4,FALSE)=0,"",VLOOKUP(B255,TaskPlan!A:D,4,FALSE))</f>
        <v/>
      </c>
      <c r="F255" s="70">
        <f ca="1">VLOOKUP(B255,WorkList!A:F,6,FALSE)</f>
        <v>1</v>
      </c>
      <c r="G255" s="14" t="str">
        <f ca="1">VLOOKUP(B255,WorkList!A:C,3,FALSE)</f>
        <v>Add 'OriginalPaymentPriority’ for each bond</v>
      </c>
    </row>
    <row r="256" spans="1:7">
      <c r="B256" s="7" t="s">
        <v>1682</v>
      </c>
      <c r="C256" s="1" t="str">
        <f ca="1">VLOOKUP(B256,TaskPlan!A:B,2,FALSE)</f>
        <v>Unassigned</v>
      </c>
      <c r="D256" s="13" t="str">
        <f ca="1">VLOOKUP(B256,TaskPlan!A:L,12,FALSE)</f>
        <v>Not Started</v>
      </c>
      <c r="E256" s="13" t="str">
        <f ca="1">IF(VLOOKUP(B256,TaskPlan!A:D,4,FALSE)=0,"",VLOOKUP(B256,TaskPlan!A:D,4,FALSE))</f>
        <v/>
      </c>
      <c r="F256" s="70">
        <f ca="1">VLOOKUP(B256,WorkList!A:F,6,FALSE)</f>
        <v>3</v>
      </c>
      <c r="G256" s="14" t="str">
        <f ca="1">VLOOKUP(B256,WorkList!A:C,3,FALSE)</f>
        <v>Add 'OriginalPaymentPriority’ functionality</v>
      </c>
    </row>
    <row r="258" spans="1:7" s="77" customFormat="1" ht="13.5" thickBot="1">
      <c r="F258" s="78"/>
      <c r="G258" s="79"/>
    </row>
    <row r="259" spans="1:7">
      <c r="A259" s="75" t="s">
        <v>32</v>
      </c>
      <c r="B259" s="75" t="s">
        <v>1689</v>
      </c>
    </row>
    <row r="260" spans="1:7">
      <c r="B260" s="7" t="s">
        <v>1690</v>
      </c>
      <c r="C260" s="1" t="str">
        <f ca="1">VLOOKUP(B260,TaskPlan!A:B,2,FALSE)</f>
        <v>Pramendra</v>
      </c>
      <c r="D260" s="13" t="str">
        <f ca="1">VLOOKUP(B260,TaskPlan!A:L,12,FALSE)</f>
        <v>Not Started</v>
      </c>
      <c r="E260" s="13" t="str">
        <f ca="1">IF(VLOOKUP(B260,TaskPlan!A:D,4,FALSE)=0,"",VLOOKUP(B260,TaskPlan!A:D,4,FALSE))</f>
        <v/>
      </c>
      <c r="F260" s="70">
        <f ca="1">VLOOKUP(B260,WorkList!A:F,6,FALSE)</f>
        <v>1</v>
      </c>
      <c r="G260" s="14" t="str">
        <f ca="1">VLOOKUP(B260,WorkList!A:C,3,FALSE)</f>
        <v>Gather requirements and make plan for UK Prime Page</v>
      </c>
    </row>
    <row r="262" spans="1:7" s="77" customFormat="1" ht="13.5" thickBot="1">
      <c r="F262" s="78"/>
      <c r="G262" s="79"/>
    </row>
    <row r="263" spans="1:7">
      <c r="A263" s="75" t="s">
        <v>11</v>
      </c>
      <c r="B263" s="75" t="s">
        <v>1826</v>
      </c>
    </row>
    <row r="264" spans="1:7">
      <c r="B264" s="7" t="s">
        <v>1827</v>
      </c>
      <c r="C264" s="1" t="str">
        <f ca="1">VLOOKUP(B264,TaskPlan!A:B,2,FALSE)</f>
        <v>Pramendra</v>
      </c>
      <c r="D264" s="13" t="str">
        <f ca="1">VLOOKUP(B264,TaskPlan!A:L,12,FALSE)</f>
        <v>Not Started</v>
      </c>
      <c r="E264" s="13" t="str">
        <f ca="1">IF(VLOOKUP(B264,TaskPlan!A:D,4,FALSE)=0,"",VLOOKUP(B264,TaskPlan!A:D,4,FALSE))</f>
        <v/>
      </c>
      <c r="F264" s="70">
        <f ca="1">VLOOKUP(B264,WorkList!A:F,6,FALSE)</f>
        <v>4</v>
      </c>
      <c r="G264" s="14" t="str">
        <f ca="1">VLOOKUP(B264,WorkList!A:C,3,FALSE)</f>
        <v>Represent bond margin step ups in the DealsDB</v>
      </c>
    </row>
    <row r="265" spans="1:7">
      <c r="B265" s="7" t="s">
        <v>1829</v>
      </c>
      <c r="C265" s="1" t="str">
        <f ca="1">VLOOKUP(B265,TaskPlan!A:B,2,FALSE)</f>
        <v>Pramendra</v>
      </c>
      <c r="D265" s="13" t="str">
        <f ca="1">VLOOKUP(B265,TaskPlan!A:L,12,FALSE)</f>
        <v>Not Started</v>
      </c>
      <c r="E265" s="13" t="str">
        <f ca="1">IF(VLOOKUP(B265,TaskPlan!A:D,4,FALSE)=0,"",VLOOKUP(B265,TaskPlan!A:D,4,FALSE))</f>
        <v/>
      </c>
      <c r="F265" s="70">
        <f ca="1">VLOOKUP(B265,WorkList!A:F,6,FALSE)</f>
        <v>1</v>
      </c>
      <c r="G265" s="14" t="str">
        <f ca="1">VLOOKUP(B265,WorkList!A:C,3,FALSE)</f>
        <v>Produce spec for XML changes to Radial for margin step ups</v>
      </c>
    </row>
    <row r="266" spans="1:7">
      <c r="B266" s="7" t="s">
        <v>1830</v>
      </c>
      <c r="C266" s="1" t="str">
        <f ca="1">VLOOKUP(B266,TaskPlan!A:B,2,FALSE)</f>
        <v>Pramendra</v>
      </c>
      <c r="D266" s="13" t="str">
        <f ca="1">VLOOKUP(B266,TaskPlan!A:L,12,FALSE)</f>
        <v>Not Started</v>
      </c>
      <c r="E266" s="13" t="str">
        <f ca="1">IF(VLOOKUP(B266,TaskPlan!A:D,4,FALSE)=0,"",VLOOKUP(B266,TaskPlan!A:D,4,FALSE))</f>
        <v/>
      </c>
      <c r="F266" s="70">
        <f ca="1">VLOOKUP(B266,WorkList!A:F,6,FALSE)</f>
        <v>1</v>
      </c>
      <c r="G266" s="14" t="str">
        <f ca="1">VLOOKUP(B266,WorkList!A:C,3,FALSE)</f>
        <v>Modify feed to Radial to include margin step ups</v>
      </c>
    </row>
    <row r="267" spans="1:7">
      <c r="B267" s="7" t="s">
        <v>1833</v>
      </c>
      <c r="C267" s="1" t="str">
        <f ca="1">VLOOKUP(B267,TaskPlan!A:B,2,FALSE)</f>
        <v>Michael C</v>
      </c>
      <c r="D267" s="13" t="str">
        <f ca="1">VLOOKUP(B267,TaskPlan!A:L,12,FALSE)</f>
        <v>Not Started</v>
      </c>
      <c r="E267" s="13" t="str">
        <f ca="1">IF(VLOOKUP(B267,TaskPlan!A:D,4,FALSE)=0,"",VLOOKUP(B267,TaskPlan!A:D,4,FALSE))</f>
        <v/>
      </c>
      <c r="F267" s="70">
        <f ca="1">VLOOKUP(B267,WorkList!A:F,6,FALSE)</f>
        <v>10</v>
      </c>
      <c r="G267" s="14" t="str">
        <f ca="1">VLOOKUP(B267,WorkList!A:C,3,FALSE)</f>
        <v>Radial to handle margin step ups</v>
      </c>
    </row>
    <row r="268" spans="1:7">
      <c r="B268" s="7" t="s">
        <v>1835</v>
      </c>
      <c r="C268" s="1" t="str">
        <f ca="1">VLOOKUP(B268,TaskPlan!A:B,2,FALSE)</f>
        <v>Unassigned</v>
      </c>
      <c r="D268" s="13" t="str">
        <f ca="1">VLOOKUP(B268,TaskPlan!A:L,12,FALSE)</f>
        <v>Not Started</v>
      </c>
      <c r="E268" s="13" t="str">
        <f ca="1">IF(VLOOKUP(B268,TaskPlan!A:D,4,FALSE)=0,"",VLOOKUP(B268,TaskPlan!A:D,4,FALSE))</f>
        <v/>
      </c>
      <c r="F268" s="70">
        <f ca="1">VLOOKUP(B268,WorkList!A:F,6,FALSE)</f>
        <v>5</v>
      </c>
      <c r="G268" s="14" t="str">
        <f ca="1">VLOOKUP(B268,WorkList!A:C,3,FALSE)</f>
        <v>Matrix Pricer to handle Margin Step ups</v>
      </c>
    </row>
  </sheetData>
  <conditionalFormatting sqref="D4 D5:G15 D181:G196 D119:G124 D154:G168 F75:F100 D40:G47 D70:G74 D50:G50 F4:F50 D53:G59 D62:G67 F102:F124 D250:G252">
    <cfRule type="expression" dxfId="101" priority="116">
      <formula>OR($D4="Closed",$D4="Cancelled")</formula>
    </cfRule>
  </conditionalFormatting>
  <conditionalFormatting sqref="E4:G4">
    <cfRule type="expression" dxfId="100" priority="115">
      <formula>OR($D4="Closed",$D4="Cancelled")</formula>
    </cfRule>
  </conditionalFormatting>
  <conditionalFormatting sqref="D18:D21">
    <cfRule type="expression" dxfId="99" priority="112">
      <formula>OR($D18="Closed",$D18="Cancelled")</formula>
    </cfRule>
  </conditionalFormatting>
  <conditionalFormatting sqref="E18:G21">
    <cfRule type="expression" dxfId="98" priority="111">
      <formula>OR($D18="Closed",$D18="Cancelled")</formula>
    </cfRule>
  </conditionalFormatting>
  <conditionalFormatting sqref="D24:D31">
    <cfRule type="expression" dxfId="97" priority="110">
      <formula>OR($D24="Closed",$D24="Cancelled")</formula>
    </cfRule>
  </conditionalFormatting>
  <conditionalFormatting sqref="E24:G31">
    <cfRule type="expression" dxfId="96" priority="109">
      <formula>OR($D24="Closed",$D24="Cancelled")</formula>
    </cfRule>
  </conditionalFormatting>
  <conditionalFormatting sqref="D35:D39">
    <cfRule type="expression" dxfId="95" priority="108">
      <formula>OR($D35="Closed",$D35="Cancelled")</formula>
    </cfRule>
  </conditionalFormatting>
  <conditionalFormatting sqref="E35:G39">
    <cfRule type="expression" dxfId="94" priority="107">
      <formula>OR($D35="Closed",$D35="Cancelled")</formula>
    </cfRule>
  </conditionalFormatting>
  <conditionalFormatting sqref="D180:G196 D119:G124 D154:G168 D3:G47 D70:G100 F48:F50 D50:G50 D53:G59 D62:G67 F102:F124 D250:G252">
    <cfRule type="expression" dxfId="93" priority="106">
      <formula>OR($D3="Closed",$D3="Cancelled",$D3="")</formula>
    </cfRule>
  </conditionalFormatting>
  <conditionalFormatting sqref="D75:D100">
    <cfRule type="expression" dxfId="92" priority="105">
      <formula>OR($D75="Closed",$D75="Cancelled")</formula>
    </cfRule>
  </conditionalFormatting>
  <conditionalFormatting sqref="E75:G100">
    <cfRule type="expression" dxfId="91" priority="104">
      <formula>OR($D75="Closed",$D75="Cancelled")</formula>
    </cfRule>
  </conditionalFormatting>
  <conditionalFormatting sqref="D104:G116">
    <cfRule type="expression" dxfId="90" priority="100">
      <formula>OR($D104="Closed",$D104="Cancelled",$D104="")</formula>
    </cfRule>
  </conditionalFormatting>
  <conditionalFormatting sqref="D104:D116">
    <cfRule type="expression" dxfId="89" priority="99">
      <formula>OR($D104="Closed",$D104="Cancelled")</formula>
    </cfRule>
  </conditionalFormatting>
  <conditionalFormatting sqref="E104:G116">
    <cfRule type="expression" dxfId="88" priority="98">
      <formula>OR($D104="Closed",$D104="Cancelled")</formula>
    </cfRule>
  </conditionalFormatting>
  <conditionalFormatting sqref="F127:F145">
    <cfRule type="expression" dxfId="87" priority="94">
      <formula>OR($D127="Closed",$D127="Cancelled")</formula>
    </cfRule>
  </conditionalFormatting>
  <conditionalFormatting sqref="F127:F145">
    <cfRule type="expression" dxfId="86" priority="93">
      <formula>OR($D127="Closed",$D127="Cancelled",$D127="")</formula>
    </cfRule>
  </conditionalFormatting>
  <conditionalFormatting sqref="D127:G145">
    <cfRule type="expression" dxfId="85" priority="92">
      <formula>OR($D127="Closed",$D127="Cancelled",$D127="")</formula>
    </cfRule>
  </conditionalFormatting>
  <conditionalFormatting sqref="D127:D145">
    <cfRule type="expression" dxfId="84" priority="91">
      <formula>OR($D127="Closed",$D127="Cancelled")</formula>
    </cfRule>
  </conditionalFormatting>
  <conditionalFormatting sqref="E127:G145">
    <cfRule type="expression" dxfId="83" priority="90">
      <formula>OR($D127="Closed",$D127="Cancelled")</formula>
    </cfRule>
  </conditionalFormatting>
  <conditionalFormatting sqref="F149:F151">
    <cfRule type="expression" dxfId="82" priority="84">
      <formula>OR($D149="Closed",$D149="Cancelled")</formula>
    </cfRule>
  </conditionalFormatting>
  <conditionalFormatting sqref="F149:F151">
    <cfRule type="expression" dxfId="81" priority="83">
      <formula>OR($D149="Closed",$D149="Cancelled",$D149="")</formula>
    </cfRule>
  </conditionalFormatting>
  <conditionalFormatting sqref="D149:G151">
    <cfRule type="expression" dxfId="80" priority="82">
      <formula>OR($D149="Closed",$D149="Cancelled",$D149="")</formula>
    </cfRule>
  </conditionalFormatting>
  <conditionalFormatting sqref="D149:D151">
    <cfRule type="expression" dxfId="79" priority="81">
      <formula>OR($D149="Closed",$D149="Cancelled")</formula>
    </cfRule>
  </conditionalFormatting>
  <conditionalFormatting sqref="E149:G151">
    <cfRule type="expression" dxfId="78" priority="80">
      <formula>OR($D149="Closed",$D149="Cancelled")</formula>
    </cfRule>
  </conditionalFormatting>
  <conditionalFormatting sqref="F164:F169">
    <cfRule type="expression" dxfId="77" priority="79">
      <formula>OR($D164="Closed",$D164="Cancelled")</formula>
    </cfRule>
  </conditionalFormatting>
  <conditionalFormatting sqref="F164:F169">
    <cfRule type="expression" dxfId="76" priority="78">
      <formula>OR($D164="Closed",$D164="Cancelled",$D164="")</formula>
    </cfRule>
  </conditionalFormatting>
  <conditionalFormatting sqref="D164:G169">
    <cfRule type="expression" dxfId="75" priority="77">
      <formula>OR($D164="Closed",$D164="Cancelled",$D164="")</formula>
    </cfRule>
  </conditionalFormatting>
  <conditionalFormatting sqref="D164:D169">
    <cfRule type="expression" dxfId="74" priority="76">
      <formula>OR($D164="Closed",$D164="Cancelled")</formula>
    </cfRule>
  </conditionalFormatting>
  <conditionalFormatting sqref="E164:G169">
    <cfRule type="expression" dxfId="73" priority="75">
      <formula>OR($D164="Closed",$D164="Cancelled")</formula>
    </cfRule>
  </conditionalFormatting>
  <conditionalFormatting sqref="D197:G204">
    <cfRule type="expression" dxfId="72" priority="66">
      <formula>OR($D197="Closed",$D197="Cancelled")</formula>
    </cfRule>
  </conditionalFormatting>
  <conditionalFormatting sqref="D197:G204">
    <cfRule type="expression" dxfId="71" priority="65">
      <formula>OR($D197="Closed",$D197="Cancelled",$D197="")</formula>
    </cfRule>
  </conditionalFormatting>
  <conditionalFormatting sqref="D213:G218">
    <cfRule type="expression" dxfId="70" priority="62">
      <formula>OR($D213="Closed",$D213="Cancelled")</formula>
    </cfRule>
  </conditionalFormatting>
  <conditionalFormatting sqref="D213:G218">
    <cfRule type="expression" dxfId="69" priority="61">
      <formula>OR($D213="Closed",$D213="Cancelled",$D213="")</formula>
    </cfRule>
  </conditionalFormatting>
  <conditionalFormatting sqref="D213:G218">
    <cfRule type="expression" dxfId="68" priority="58">
      <formula>OR($D213="Closed",$D213="Cancelled")</formula>
    </cfRule>
  </conditionalFormatting>
  <conditionalFormatting sqref="D213:G218">
    <cfRule type="expression" dxfId="67" priority="57">
      <formula>OR($D213="Closed",$D213="Cancelled",$D213="")</formula>
    </cfRule>
  </conditionalFormatting>
  <conditionalFormatting sqref="D222:G227">
    <cfRule type="expression" dxfId="66" priority="56">
      <formula>OR($D222="Closed",$D222="Cancelled")</formula>
    </cfRule>
  </conditionalFormatting>
  <conditionalFormatting sqref="D222:G227">
    <cfRule type="expression" dxfId="65" priority="55">
      <formula>OR($D222="Closed",$D222="Cancelled",$D222="")</formula>
    </cfRule>
  </conditionalFormatting>
  <conditionalFormatting sqref="D222:G227">
    <cfRule type="expression" dxfId="64" priority="54">
      <formula>OR($D222="Closed",$D222="Cancelled")</formula>
    </cfRule>
  </conditionalFormatting>
  <conditionalFormatting sqref="D222:G227">
    <cfRule type="expression" dxfId="63" priority="53">
      <formula>OR($D222="Closed",$D222="Cancelled",$D222="")</formula>
    </cfRule>
  </conditionalFormatting>
  <conditionalFormatting sqref="D242:G242">
    <cfRule type="expression" dxfId="62" priority="52">
      <formula>OR($D242="Closed",$D242="Cancelled")</formula>
    </cfRule>
  </conditionalFormatting>
  <conditionalFormatting sqref="D242:G242">
    <cfRule type="expression" dxfId="61" priority="51">
      <formula>OR($D242="Closed",$D242="Cancelled",$D242="")</formula>
    </cfRule>
  </conditionalFormatting>
  <conditionalFormatting sqref="D242:G242">
    <cfRule type="expression" dxfId="60" priority="50">
      <formula>OR($D242="Closed",$D242="Cancelled")</formula>
    </cfRule>
  </conditionalFormatting>
  <conditionalFormatting sqref="D242:G242">
    <cfRule type="expression" dxfId="59" priority="49">
      <formula>OR($D242="Closed",$D242="Cancelled",$D242="")</formula>
    </cfRule>
  </conditionalFormatting>
  <conditionalFormatting sqref="D238:G238">
    <cfRule type="expression" dxfId="58" priority="48">
      <formula>OR($D238="Closed",$D238="Cancelled")</formula>
    </cfRule>
  </conditionalFormatting>
  <conditionalFormatting sqref="D238:G238">
    <cfRule type="expression" dxfId="57" priority="47">
      <formula>OR($D238="Closed",$D238="Cancelled",$D238="")</formula>
    </cfRule>
  </conditionalFormatting>
  <conditionalFormatting sqref="D238:G238">
    <cfRule type="expression" dxfId="56" priority="46">
      <formula>OR($D238="Closed",$D238="Cancelled")</formula>
    </cfRule>
  </conditionalFormatting>
  <conditionalFormatting sqref="D238:G238">
    <cfRule type="expression" dxfId="55" priority="45">
      <formula>OR($D238="Closed",$D238="Cancelled",$D238="")</formula>
    </cfRule>
  </conditionalFormatting>
  <conditionalFormatting sqref="D237:G237">
    <cfRule type="expression" dxfId="54" priority="44">
      <formula>OR($D237="Closed",$D237="Cancelled")</formula>
    </cfRule>
  </conditionalFormatting>
  <conditionalFormatting sqref="D237:G237">
    <cfRule type="expression" dxfId="53" priority="43">
      <formula>OR($D237="Closed",$D237="Cancelled",$D237="")</formula>
    </cfRule>
  </conditionalFormatting>
  <conditionalFormatting sqref="D237:G237">
    <cfRule type="expression" dxfId="52" priority="42">
      <formula>OR($D237="Closed",$D237="Cancelled")</formula>
    </cfRule>
  </conditionalFormatting>
  <conditionalFormatting sqref="D237:G237">
    <cfRule type="expression" dxfId="51" priority="41">
      <formula>OR($D237="Closed",$D237="Cancelled",$D237="")</formula>
    </cfRule>
  </conditionalFormatting>
  <conditionalFormatting sqref="D236:G236">
    <cfRule type="expression" dxfId="50" priority="40">
      <formula>OR($D236="Closed",$D236="Cancelled")</formula>
    </cfRule>
  </conditionalFormatting>
  <conditionalFormatting sqref="D236:G236">
    <cfRule type="expression" dxfId="49" priority="39">
      <formula>OR($D236="Closed",$D236="Cancelled",$D236="")</formula>
    </cfRule>
  </conditionalFormatting>
  <conditionalFormatting sqref="D236:G236">
    <cfRule type="expression" dxfId="48" priority="38">
      <formula>OR($D236="Closed",$D236="Cancelled")</formula>
    </cfRule>
  </conditionalFormatting>
  <conditionalFormatting sqref="D236:G236">
    <cfRule type="expression" dxfId="47" priority="37">
      <formula>OR($D236="Closed",$D236="Cancelled",$D236="")</formula>
    </cfRule>
  </conditionalFormatting>
  <conditionalFormatting sqref="D231:G235">
    <cfRule type="expression" dxfId="46" priority="36">
      <formula>OR($D231="Closed",$D231="Cancelled")</formula>
    </cfRule>
  </conditionalFormatting>
  <conditionalFormatting sqref="D231:G235">
    <cfRule type="expression" dxfId="45" priority="35">
      <formula>OR($D231="Closed",$D231="Cancelled",$D231="")</formula>
    </cfRule>
  </conditionalFormatting>
  <conditionalFormatting sqref="D231:G235">
    <cfRule type="expression" dxfId="44" priority="34">
      <formula>OR($D231="Closed",$D231="Cancelled")</formula>
    </cfRule>
  </conditionalFormatting>
  <conditionalFormatting sqref="D231:G235">
    <cfRule type="expression" dxfId="43" priority="33">
      <formula>OR($D231="Closed",$D231="Cancelled",$D231="")</formula>
    </cfRule>
  </conditionalFormatting>
  <conditionalFormatting sqref="D248:G248">
    <cfRule type="expression" dxfId="42" priority="32">
      <formula>OR($D248="Closed",$D248="Cancelled")</formula>
    </cfRule>
  </conditionalFormatting>
  <conditionalFormatting sqref="D248:G248">
    <cfRule type="expression" dxfId="41" priority="31">
      <formula>OR($D248="Closed",$D248="Cancelled",$D248="")</formula>
    </cfRule>
  </conditionalFormatting>
  <conditionalFormatting sqref="D248:G248">
    <cfRule type="expression" dxfId="40" priority="30">
      <formula>OR($D248="Closed",$D248="Cancelled")</formula>
    </cfRule>
  </conditionalFormatting>
  <conditionalFormatting sqref="D248:G248">
    <cfRule type="expression" dxfId="39" priority="29">
      <formula>OR($D248="Closed",$D248="Cancelled",$D248="")</formula>
    </cfRule>
  </conditionalFormatting>
  <conditionalFormatting sqref="D249:G249">
    <cfRule type="expression" dxfId="38" priority="28">
      <formula>OR($D249="Closed",$D249="Cancelled")</formula>
    </cfRule>
  </conditionalFormatting>
  <conditionalFormatting sqref="D249:G249">
    <cfRule type="expression" dxfId="37" priority="27">
      <formula>OR($D249="Closed",$D249="Cancelled",$D249="")</formula>
    </cfRule>
  </conditionalFormatting>
  <conditionalFormatting sqref="D249:G249">
    <cfRule type="expression" dxfId="36" priority="26">
      <formula>OR($D249="Closed",$D249="Cancelled")</formula>
    </cfRule>
  </conditionalFormatting>
  <conditionalFormatting sqref="D249:G249">
    <cfRule type="expression" dxfId="35" priority="25">
      <formula>OR($D249="Closed",$D249="Cancelled",$D249="")</formula>
    </cfRule>
  </conditionalFormatting>
  <conditionalFormatting sqref="D246:G247">
    <cfRule type="expression" dxfId="34" priority="24">
      <formula>OR($D246="Closed",$D246="Cancelled")</formula>
    </cfRule>
  </conditionalFormatting>
  <conditionalFormatting sqref="D246:G247">
    <cfRule type="expression" dxfId="33" priority="23">
      <formula>OR($D246="Closed",$D246="Cancelled",$D246="")</formula>
    </cfRule>
  </conditionalFormatting>
  <conditionalFormatting sqref="D246:G247">
    <cfRule type="expression" dxfId="32" priority="22">
      <formula>OR($D246="Closed",$D246="Cancelled")</formula>
    </cfRule>
  </conditionalFormatting>
  <conditionalFormatting sqref="D246:G247">
    <cfRule type="expression" dxfId="31" priority="21">
      <formula>OR($D246="Closed",$D246="Cancelled",$D246="")</formula>
    </cfRule>
  </conditionalFormatting>
  <conditionalFormatting sqref="D255:G255">
    <cfRule type="expression" dxfId="30" priority="16">
      <formula>OR($D255="Closed",$D255="Cancelled")</formula>
    </cfRule>
  </conditionalFormatting>
  <conditionalFormatting sqref="D255:G255">
    <cfRule type="expression" dxfId="29" priority="15">
      <formula>OR($D255="Closed",$D255="Cancelled",$D255="")</formula>
    </cfRule>
  </conditionalFormatting>
  <conditionalFormatting sqref="D255:G255">
    <cfRule type="expression" dxfId="28" priority="14">
      <formula>OR($D255="Closed",$D255="Cancelled")</formula>
    </cfRule>
  </conditionalFormatting>
  <conditionalFormatting sqref="D255:G255">
    <cfRule type="expression" dxfId="27" priority="13">
      <formula>OR($D255="Closed",$D255="Cancelled",$D255="")</formula>
    </cfRule>
  </conditionalFormatting>
  <conditionalFormatting sqref="D256:G256">
    <cfRule type="expression" dxfId="26" priority="12">
      <formula>OR($D256="Closed",$D256="Cancelled")</formula>
    </cfRule>
  </conditionalFormatting>
  <conditionalFormatting sqref="D256:G256">
    <cfRule type="expression" dxfId="25" priority="11">
      <formula>OR($D256="Closed",$D256="Cancelled",$D256="")</formula>
    </cfRule>
  </conditionalFormatting>
  <conditionalFormatting sqref="D256:G256">
    <cfRule type="expression" dxfId="24" priority="10">
      <formula>OR($D256="Closed",$D256="Cancelled")</formula>
    </cfRule>
  </conditionalFormatting>
  <conditionalFormatting sqref="D256:G256">
    <cfRule type="expression" dxfId="23" priority="9">
      <formula>OR($D256="Closed",$D256="Cancelled",$D256="")</formula>
    </cfRule>
  </conditionalFormatting>
  <conditionalFormatting sqref="D260:G260">
    <cfRule type="expression" dxfId="22" priority="8">
      <formula>OR($D260="Closed",$D260="Cancelled")</formula>
    </cfRule>
  </conditionalFormatting>
  <conditionalFormatting sqref="D260:G260">
    <cfRule type="expression" dxfId="21" priority="7">
      <formula>OR($D260="Closed",$D260="Cancelled",$D260="")</formula>
    </cfRule>
  </conditionalFormatting>
  <conditionalFormatting sqref="D260:G260">
    <cfRule type="expression" dxfId="20" priority="6">
      <formula>OR($D260="Closed",$D260="Cancelled")</formula>
    </cfRule>
  </conditionalFormatting>
  <conditionalFormatting sqref="D260:G260">
    <cfRule type="expression" dxfId="19" priority="5">
      <formula>OR($D260="Closed",$D260="Cancelled",$D260="")</formula>
    </cfRule>
  </conditionalFormatting>
  <conditionalFormatting sqref="D264:G268">
    <cfRule type="expression" dxfId="18" priority="4">
      <formula>OR($D264="Closed",$D264="Cancelled")</formula>
    </cfRule>
  </conditionalFormatting>
  <conditionalFormatting sqref="D264:G268">
    <cfRule type="expression" dxfId="17" priority="3">
      <formula>OR($D264="Closed",$D264="Cancelled",$D264="")</formula>
    </cfRule>
  </conditionalFormatting>
  <conditionalFormatting sqref="D264:G268">
    <cfRule type="expression" dxfId="16" priority="2">
      <formula>OR($D264="Closed",$D264="Cancelled")</formula>
    </cfRule>
  </conditionalFormatting>
  <conditionalFormatting sqref="D264:G268">
    <cfRule type="expression" dxfId="15" priority="1">
      <formula>OR($D264="Closed",$D264="Cancelled",$D264="")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71"/>
  <sheetViews>
    <sheetView workbookViewId="0"/>
  </sheetViews>
  <sheetFormatPr defaultRowHeight="12.75"/>
  <cols>
    <col min="1" max="1" width="13.85546875" customWidth="1"/>
    <col min="2" max="2" width="17" customWidth="1"/>
    <col min="3" max="4" width="11.140625" customWidth="1"/>
    <col min="5" max="5" width="8.140625" customWidth="1"/>
    <col min="6" max="6" width="11.7109375" customWidth="1"/>
    <col min="7" max="7" width="9.42578125" customWidth="1"/>
    <col min="8" max="8" width="18.85546875" customWidth="1"/>
    <col min="9" max="9" width="17" customWidth="1"/>
    <col min="10" max="11" width="11.140625" customWidth="1"/>
    <col min="12" max="12" width="8.140625" customWidth="1"/>
    <col min="13" max="13" width="11.7109375" customWidth="1"/>
    <col min="14" max="14" width="11.7109375" bestFit="1" customWidth="1"/>
    <col min="16" max="16" width="9.42578125" bestFit="1" customWidth="1"/>
    <col min="17" max="17" width="10.5703125" bestFit="1" customWidth="1"/>
    <col min="18" max="18" width="8.28515625" style="65" bestFit="1" customWidth="1"/>
    <col min="19" max="20" width="10.42578125" style="65" bestFit="1" customWidth="1"/>
    <col min="21" max="21" width="8" style="65" bestFit="1" customWidth="1"/>
    <col min="22" max="22" width="10.5703125" style="65" bestFit="1" customWidth="1"/>
    <col min="23" max="23" width="9.140625" style="65"/>
    <col min="24" max="24" width="10.5703125" style="65" bestFit="1" customWidth="1"/>
    <col min="25" max="25" width="9.42578125" style="65" bestFit="1" customWidth="1"/>
    <col min="26" max="27" width="10.42578125" style="65" bestFit="1" customWidth="1"/>
    <col min="28" max="28" width="9.7109375" style="65" bestFit="1" customWidth="1"/>
    <col min="29" max="29" width="10.5703125" style="65" bestFit="1" customWidth="1"/>
    <col min="30" max="30" width="9.42578125" style="21" bestFit="1" customWidth="1"/>
    <col min="31" max="31" width="9.140625" style="65"/>
  </cols>
  <sheetData>
    <row r="1" spans="1:32" s="50" customFormat="1" ht="15.75">
      <c r="A1" s="50" t="s">
        <v>694</v>
      </c>
      <c r="H1" s="50" t="s">
        <v>695</v>
      </c>
      <c r="P1" s="52">
        <v>40154</v>
      </c>
      <c r="Q1" t="s">
        <v>647</v>
      </c>
      <c r="R1" s="65" t="s">
        <v>716</v>
      </c>
      <c r="S1" s="65" t="s">
        <v>7</v>
      </c>
      <c r="T1" s="65" t="s">
        <v>5</v>
      </c>
      <c r="U1" s="65" t="s">
        <v>289</v>
      </c>
      <c r="V1" s="65" t="s">
        <v>648</v>
      </c>
      <c r="W1" s="65"/>
      <c r="X1" s="65" t="s">
        <v>647</v>
      </c>
      <c r="Y1" s="65" t="s">
        <v>716</v>
      </c>
      <c r="Z1" s="65" t="s">
        <v>7</v>
      </c>
      <c r="AA1" s="65" t="s">
        <v>5</v>
      </c>
      <c r="AB1" s="65" t="s">
        <v>289</v>
      </c>
      <c r="AC1" s="65" t="s">
        <v>648</v>
      </c>
      <c r="AD1" s="21" t="s">
        <v>1786</v>
      </c>
      <c r="AE1" s="66" t="s">
        <v>855</v>
      </c>
    </row>
    <row r="2" spans="1:32">
      <c r="A2" s="19" t="s">
        <v>2</v>
      </c>
      <c r="B2" t="s">
        <v>650</v>
      </c>
      <c r="H2" s="19" t="s">
        <v>2</v>
      </c>
      <c r="I2" t="s">
        <v>650</v>
      </c>
      <c r="Q2" t="s">
        <v>197</v>
      </c>
      <c r="S2" s="65">
        <v>12</v>
      </c>
      <c r="T2" s="65">
        <v>1</v>
      </c>
      <c r="V2" s="65">
        <v>13</v>
      </c>
      <c r="X2" s="65" t="s">
        <v>197</v>
      </c>
      <c r="Z2" s="65">
        <v>36</v>
      </c>
      <c r="AA2" s="65">
        <v>3</v>
      </c>
      <c r="AC2" s="65">
        <v>39</v>
      </c>
    </row>
    <row r="3" spans="1:32">
      <c r="Q3" t="s">
        <v>38</v>
      </c>
      <c r="S3" s="65">
        <v>21</v>
      </c>
      <c r="T3" s="65">
        <v>2</v>
      </c>
      <c r="V3" s="65">
        <v>23</v>
      </c>
      <c r="X3" s="65" t="s">
        <v>38</v>
      </c>
      <c r="Z3" s="65">
        <v>69</v>
      </c>
      <c r="AA3" s="65">
        <v>2.5</v>
      </c>
      <c r="AC3" s="65">
        <v>71.5</v>
      </c>
    </row>
    <row r="4" spans="1:32">
      <c r="A4" s="19" t="s">
        <v>651</v>
      </c>
      <c r="B4" s="19" t="s">
        <v>649</v>
      </c>
      <c r="H4" s="19" t="s">
        <v>693</v>
      </c>
      <c r="I4" s="19" t="s">
        <v>649</v>
      </c>
      <c r="Q4" t="s">
        <v>10</v>
      </c>
      <c r="R4" s="65">
        <v>3</v>
      </c>
      <c r="S4" s="65">
        <v>33</v>
      </c>
      <c r="T4" s="65">
        <v>10</v>
      </c>
      <c r="U4" s="65">
        <v>2</v>
      </c>
      <c r="V4" s="65">
        <v>48</v>
      </c>
      <c r="X4" s="65" t="s">
        <v>10</v>
      </c>
      <c r="Y4" s="65">
        <v>235</v>
      </c>
      <c r="Z4" s="65">
        <v>236.75</v>
      </c>
      <c r="AA4" s="65">
        <v>21</v>
      </c>
      <c r="AB4" s="65">
        <v>5.7</v>
      </c>
      <c r="AC4" s="65">
        <v>498.45</v>
      </c>
    </row>
    <row r="5" spans="1:32">
      <c r="A5" s="19" t="s">
        <v>647</v>
      </c>
      <c r="B5" s="21" t="s">
        <v>716</v>
      </c>
      <c r="C5" s="21" t="s">
        <v>7</v>
      </c>
      <c r="D5" s="21" t="s">
        <v>5</v>
      </c>
      <c r="E5" s="21" t="s">
        <v>289</v>
      </c>
      <c r="F5" s="21" t="s">
        <v>648</v>
      </c>
      <c r="H5" s="19" t="s">
        <v>647</v>
      </c>
      <c r="I5" s="21" t="s">
        <v>716</v>
      </c>
      <c r="J5" s="21" t="s">
        <v>7</v>
      </c>
      <c r="K5" s="21" t="s">
        <v>5</v>
      </c>
      <c r="L5" s="21" t="s">
        <v>289</v>
      </c>
      <c r="M5" s="21" t="s">
        <v>648</v>
      </c>
      <c r="Q5" t="s">
        <v>12</v>
      </c>
      <c r="R5" s="65">
        <v>1</v>
      </c>
      <c r="S5" s="65">
        <v>12</v>
      </c>
      <c r="T5" s="65">
        <v>6</v>
      </c>
      <c r="U5" s="65">
        <v>3</v>
      </c>
      <c r="V5" s="65">
        <v>22</v>
      </c>
      <c r="X5" s="65" t="s">
        <v>12</v>
      </c>
      <c r="Y5" s="65">
        <v>120</v>
      </c>
      <c r="Z5" s="65">
        <v>76.5</v>
      </c>
      <c r="AA5" s="65">
        <v>29</v>
      </c>
      <c r="AB5" s="65">
        <v>91</v>
      </c>
      <c r="AC5" s="65">
        <v>316.5</v>
      </c>
    </row>
    <row r="6" spans="1:32">
      <c r="A6" s="63" t="s">
        <v>197</v>
      </c>
      <c r="B6" s="62"/>
      <c r="C6" s="62">
        <v>20</v>
      </c>
      <c r="D6" s="62"/>
      <c r="E6" s="62"/>
      <c r="F6" s="62">
        <v>20</v>
      </c>
      <c r="G6" s="21"/>
      <c r="H6" s="64" t="s">
        <v>197</v>
      </c>
      <c r="I6" s="62"/>
      <c r="J6" s="62">
        <v>71.5</v>
      </c>
      <c r="K6" s="62"/>
      <c r="L6" s="62"/>
      <c r="M6" s="62">
        <v>71.5</v>
      </c>
      <c r="Q6" t="s">
        <v>684</v>
      </c>
      <c r="S6" s="65">
        <v>1</v>
      </c>
      <c r="T6" s="65">
        <v>1</v>
      </c>
      <c r="U6" s="65">
        <v>1</v>
      </c>
      <c r="V6" s="65">
        <v>3</v>
      </c>
      <c r="X6" s="65" t="s">
        <v>684</v>
      </c>
      <c r="Z6" s="65">
        <v>15</v>
      </c>
      <c r="AA6" s="65">
        <v>3</v>
      </c>
      <c r="AB6" s="65">
        <v>52</v>
      </c>
      <c r="AC6" s="65">
        <v>70</v>
      </c>
    </row>
    <row r="7" spans="1:32">
      <c r="A7" s="63" t="s">
        <v>38</v>
      </c>
      <c r="B7" s="62">
        <v>3</v>
      </c>
      <c r="C7" s="62">
        <v>37</v>
      </c>
      <c r="D7" s="62">
        <v>4</v>
      </c>
      <c r="E7" s="62">
        <v>1</v>
      </c>
      <c r="F7" s="62">
        <v>45</v>
      </c>
      <c r="G7" s="21"/>
      <c r="H7" s="64" t="s">
        <v>38</v>
      </c>
      <c r="I7" s="62">
        <v>47</v>
      </c>
      <c r="J7" s="62">
        <v>94.5</v>
      </c>
      <c r="K7" s="62">
        <v>17</v>
      </c>
      <c r="L7" s="62">
        <v>0.5</v>
      </c>
      <c r="M7" s="62">
        <v>159</v>
      </c>
      <c r="Q7" t="s">
        <v>648</v>
      </c>
      <c r="R7" s="65">
        <v>4</v>
      </c>
      <c r="S7" s="65">
        <v>79</v>
      </c>
      <c r="T7" s="65">
        <v>20</v>
      </c>
      <c r="U7" s="65">
        <v>6</v>
      </c>
      <c r="V7" s="65">
        <v>109</v>
      </c>
      <c r="X7" s="65" t="s">
        <v>648</v>
      </c>
      <c r="Y7" s="65">
        <v>355</v>
      </c>
      <c r="Z7" s="65">
        <v>433.25</v>
      </c>
      <c r="AA7" s="65">
        <v>58.5</v>
      </c>
      <c r="AB7" s="65">
        <v>148.69999999999999</v>
      </c>
      <c r="AC7" s="65">
        <v>995.45</v>
      </c>
      <c r="AD7" s="21">
        <f>P1</f>
        <v>40154</v>
      </c>
      <c r="AE7" s="65">
        <f>AC7/250</f>
        <v>3.9818000000000002</v>
      </c>
      <c r="AF7" s="62"/>
    </row>
    <row r="8" spans="1:32">
      <c r="A8" s="63" t="s">
        <v>10</v>
      </c>
      <c r="B8" s="62">
        <v>1</v>
      </c>
      <c r="C8" s="62">
        <v>65</v>
      </c>
      <c r="D8" s="62">
        <v>18</v>
      </c>
      <c r="E8" s="62"/>
      <c r="F8" s="62">
        <v>84</v>
      </c>
      <c r="G8" s="21"/>
      <c r="H8" s="64" t="s">
        <v>10</v>
      </c>
      <c r="I8" s="62">
        <v>180</v>
      </c>
      <c r="J8" s="62">
        <v>130.5</v>
      </c>
      <c r="K8" s="62">
        <v>55</v>
      </c>
      <c r="L8" s="62"/>
      <c r="M8" s="62">
        <v>365.5</v>
      </c>
    </row>
    <row r="9" spans="1:32">
      <c r="A9" s="63" t="s">
        <v>12</v>
      </c>
      <c r="B9" s="62"/>
      <c r="C9" s="62">
        <v>22</v>
      </c>
      <c r="D9" s="62">
        <v>19</v>
      </c>
      <c r="E9" s="62">
        <v>2</v>
      </c>
      <c r="F9" s="62">
        <v>43</v>
      </c>
      <c r="G9" s="21"/>
      <c r="H9" s="64" t="s">
        <v>12</v>
      </c>
      <c r="I9" s="62"/>
      <c r="J9" s="62">
        <v>30.7</v>
      </c>
      <c r="K9" s="62">
        <v>53.5</v>
      </c>
      <c r="L9" s="62">
        <v>78</v>
      </c>
      <c r="M9" s="62">
        <v>162.19999999999999</v>
      </c>
      <c r="P9" s="52">
        <v>40200</v>
      </c>
      <c r="Q9" t="s">
        <v>647</v>
      </c>
      <c r="R9" s="65" t="s">
        <v>716</v>
      </c>
      <c r="S9" s="65" t="s">
        <v>7</v>
      </c>
      <c r="T9" s="65" t="s">
        <v>5</v>
      </c>
      <c r="U9" s="65" t="s">
        <v>289</v>
      </c>
      <c r="V9" s="65" t="s">
        <v>648</v>
      </c>
      <c r="X9" s="65" t="s">
        <v>647</v>
      </c>
      <c r="Y9" s="65" t="s">
        <v>716</v>
      </c>
      <c r="Z9" s="65" t="s">
        <v>7</v>
      </c>
      <c r="AA9" s="65" t="s">
        <v>5</v>
      </c>
      <c r="AB9" s="65" t="s">
        <v>289</v>
      </c>
      <c r="AC9" s="65" t="s">
        <v>648</v>
      </c>
    </row>
    <row r="10" spans="1:32">
      <c r="A10" s="63" t="s">
        <v>684</v>
      </c>
      <c r="B10" s="62"/>
      <c r="C10" s="62">
        <v>2</v>
      </c>
      <c r="D10" s="62">
        <v>8</v>
      </c>
      <c r="E10" s="62"/>
      <c r="F10" s="62">
        <v>10</v>
      </c>
      <c r="G10" s="21"/>
      <c r="H10" s="64" t="s">
        <v>684</v>
      </c>
      <c r="I10" s="62"/>
      <c r="J10" s="62">
        <v>5.0999999999999996</v>
      </c>
      <c r="K10" s="62">
        <v>17.5</v>
      </c>
      <c r="L10" s="62"/>
      <c r="M10" s="62">
        <v>22.6</v>
      </c>
      <c r="N10" s="3"/>
      <c r="Q10" t="s">
        <v>197</v>
      </c>
      <c r="S10" s="65">
        <v>14</v>
      </c>
      <c r="T10" s="65">
        <v>2</v>
      </c>
      <c r="V10" s="65">
        <v>16</v>
      </c>
      <c r="X10" s="65" t="s">
        <v>197</v>
      </c>
      <c r="Z10" s="65">
        <v>39</v>
      </c>
      <c r="AA10" s="65">
        <v>5</v>
      </c>
      <c r="AC10" s="65">
        <v>44</v>
      </c>
    </row>
    <row r="11" spans="1:32">
      <c r="A11" s="64" t="s">
        <v>648</v>
      </c>
      <c r="B11" s="62">
        <v>4</v>
      </c>
      <c r="C11" s="62">
        <v>146</v>
      </c>
      <c r="D11" s="62">
        <v>49</v>
      </c>
      <c r="E11" s="62">
        <v>3</v>
      </c>
      <c r="F11" s="62">
        <v>202</v>
      </c>
      <c r="G11" s="21"/>
      <c r="H11" s="64" t="s">
        <v>648</v>
      </c>
      <c r="I11" s="62">
        <v>227</v>
      </c>
      <c r="J11" s="62">
        <v>332.3</v>
      </c>
      <c r="K11" s="62">
        <v>143</v>
      </c>
      <c r="L11" s="62">
        <v>78.5</v>
      </c>
      <c r="M11" s="62">
        <v>780.80000000000007</v>
      </c>
      <c r="Q11" t="s">
        <v>38</v>
      </c>
      <c r="R11" s="65">
        <v>1</v>
      </c>
      <c r="S11" s="65">
        <v>20</v>
      </c>
      <c r="T11" s="65">
        <v>1</v>
      </c>
      <c r="V11" s="65">
        <v>22</v>
      </c>
      <c r="X11" s="65" t="s">
        <v>38</v>
      </c>
      <c r="Y11" s="65">
        <v>45</v>
      </c>
      <c r="Z11" s="65">
        <v>187</v>
      </c>
      <c r="AA11" s="65">
        <v>0.5</v>
      </c>
      <c r="AC11" s="65">
        <v>232.5</v>
      </c>
    </row>
    <row r="12" spans="1:32">
      <c r="Q12" t="s">
        <v>10</v>
      </c>
      <c r="R12" s="65">
        <v>2</v>
      </c>
      <c r="S12" s="65">
        <v>32</v>
      </c>
      <c r="T12" s="65">
        <v>11</v>
      </c>
      <c r="U12" s="65">
        <v>2</v>
      </c>
      <c r="V12" s="65">
        <v>47</v>
      </c>
      <c r="X12" s="65" t="s">
        <v>10</v>
      </c>
      <c r="Y12" s="65">
        <v>190</v>
      </c>
      <c r="Z12" s="65">
        <v>254</v>
      </c>
      <c r="AA12" s="65">
        <v>39</v>
      </c>
      <c r="AB12" s="65">
        <v>5.7</v>
      </c>
      <c r="AC12" s="65">
        <v>488.7</v>
      </c>
    </row>
    <row r="13" spans="1:32">
      <c r="Q13" t="s">
        <v>12</v>
      </c>
      <c r="S13" s="65">
        <v>18</v>
      </c>
      <c r="T13" s="65">
        <v>7</v>
      </c>
      <c r="U13" s="65">
        <v>3</v>
      </c>
      <c r="V13" s="65">
        <v>28</v>
      </c>
      <c r="X13" s="65" t="s">
        <v>12</v>
      </c>
      <c r="Z13" s="65">
        <v>75.5</v>
      </c>
      <c r="AA13" s="65">
        <v>25</v>
      </c>
      <c r="AB13" s="65">
        <v>91</v>
      </c>
      <c r="AC13" s="65">
        <v>191.5</v>
      </c>
    </row>
    <row r="14" spans="1:32">
      <c r="Q14" t="s">
        <v>684</v>
      </c>
      <c r="T14" s="65">
        <v>6</v>
      </c>
      <c r="U14" s="65">
        <v>1</v>
      </c>
      <c r="V14" s="65">
        <v>7</v>
      </c>
      <c r="X14" s="65" t="s">
        <v>684</v>
      </c>
      <c r="AA14" s="65">
        <v>23</v>
      </c>
      <c r="AB14" s="65">
        <v>52</v>
      </c>
      <c r="AC14" s="65">
        <v>75</v>
      </c>
    </row>
    <row r="15" spans="1:32">
      <c r="Q15" t="s">
        <v>648</v>
      </c>
      <c r="R15" s="65">
        <v>3</v>
      </c>
      <c r="S15" s="65">
        <v>84</v>
      </c>
      <c r="T15" s="65">
        <v>27</v>
      </c>
      <c r="U15" s="65">
        <v>6</v>
      </c>
      <c r="V15" s="65">
        <v>120</v>
      </c>
      <c r="X15" s="65" t="s">
        <v>648</v>
      </c>
      <c r="Y15" s="65">
        <v>235</v>
      </c>
      <c r="Z15" s="65">
        <v>555.5</v>
      </c>
      <c r="AA15" s="65">
        <v>92.5</v>
      </c>
      <c r="AB15" s="65">
        <v>148.69999999999999</v>
      </c>
      <c r="AC15" s="65">
        <v>1031.7</v>
      </c>
      <c r="AD15" s="21">
        <f>P9</f>
        <v>40200</v>
      </c>
      <c r="AE15" s="65">
        <f>AC15/250</f>
        <v>4.1268000000000002</v>
      </c>
    </row>
    <row r="17" spans="8:31">
      <c r="P17" s="52">
        <v>40205</v>
      </c>
      <c r="Q17" t="s">
        <v>647</v>
      </c>
      <c r="R17" s="65" t="s">
        <v>716</v>
      </c>
      <c r="S17" s="65" t="s">
        <v>7</v>
      </c>
      <c r="T17" s="65" t="s">
        <v>5</v>
      </c>
      <c r="U17" s="65" t="s">
        <v>289</v>
      </c>
      <c r="V17" s="65" t="s">
        <v>648</v>
      </c>
      <c r="X17" s="65" t="s">
        <v>647</v>
      </c>
      <c r="Y17" s="65" t="s">
        <v>716</v>
      </c>
      <c r="Z17" s="65" t="s">
        <v>7</v>
      </c>
      <c r="AA17" s="65" t="s">
        <v>5</v>
      </c>
      <c r="AB17" s="65" t="s">
        <v>289</v>
      </c>
      <c r="AC17" s="65" t="s">
        <v>648</v>
      </c>
    </row>
    <row r="18" spans="8:31">
      <c r="Q18" t="s">
        <v>197</v>
      </c>
      <c r="S18" s="65">
        <v>14</v>
      </c>
      <c r="T18" s="65">
        <v>2</v>
      </c>
      <c r="V18" s="65">
        <v>16</v>
      </c>
      <c r="X18" s="65" t="s">
        <v>197</v>
      </c>
      <c r="Z18" s="65">
        <v>39</v>
      </c>
      <c r="AA18" s="65">
        <v>5</v>
      </c>
      <c r="AC18" s="65">
        <v>44</v>
      </c>
    </row>
    <row r="19" spans="8:31">
      <c r="Q19" t="s">
        <v>38</v>
      </c>
      <c r="R19" s="65">
        <v>1</v>
      </c>
      <c r="S19" s="65">
        <v>18</v>
      </c>
      <c r="T19" s="65">
        <v>1</v>
      </c>
      <c r="V19" s="65">
        <v>20</v>
      </c>
      <c r="X19" s="65" t="s">
        <v>38</v>
      </c>
      <c r="Y19" s="65">
        <v>45</v>
      </c>
      <c r="Z19" s="65">
        <v>183.5</v>
      </c>
      <c r="AA19" s="65">
        <v>0.5</v>
      </c>
      <c r="AC19" s="65">
        <v>229</v>
      </c>
    </row>
    <row r="20" spans="8:31">
      <c r="Q20" t="s">
        <v>10</v>
      </c>
      <c r="R20" s="65">
        <v>2</v>
      </c>
      <c r="S20" s="65">
        <v>30</v>
      </c>
      <c r="T20" s="65">
        <v>11</v>
      </c>
      <c r="U20" s="65">
        <v>2</v>
      </c>
      <c r="V20" s="65">
        <v>45</v>
      </c>
      <c r="X20" s="65" t="s">
        <v>10</v>
      </c>
      <c r="Y20" s="65">
        <v>190</v>
      </c>
      <c r="Z20" s="65">
        <v>243</v>
      </c>
      <c r="AA20" s="65">
        <v>37</v>
      </c>
      <c r="AB20" s="65">
        <v>5.7</v>
      </c>
      <c r="AC20" s="65">
        <v>475.7</v>
      </c>
    </row>
    <row r="21" spans="8:31">
      <c r="Q21" t="s">
        <v>12</v>
      </c>
      <c r="S21" s="65">
        <v>17</v>
      </c>
      <c r="T21" s="65">
        <v>11</v>
      </c>
      <c r="U21" s="65">
        <v>3</v>
      </c>
      <c r="V21" s="65">
        <v>31</v>
      </c>
      <c r="X21" s="65" t="s">
        <v>12</v>
      </c>
      <c r="Z21" s="65">
        <v>53</v>
      </c>
      <c r="AA21" s="65">
        <v>50</v>
      </c>
      <c r="AB21" s="65">
        <v>91</v>
      </c>
      <c r="AC21" s="65">
        <v>194</v>
      </c>
    </row>
    <row r="22" spans="8:31">
      <c r="Q22" t="s">
        <v>684</v>
      </c>
      <c r="T22" s="65">
        <v>5</v>
      </c>
      <c r="U22" s="65">
        <v>1</v>
      </c>
      <c r="V22" s="65">
        <v>6</v>
      </c>
      <c r="X22" s="65" t="s">
        <v>684</v>
      </c>
      <c r="AA22" s="65">
        <v>22</v>
      </c>
      <c r="AB22" s="65">
        <v>52</v>
      </c>
      <c r="AC22" s="65">
        <v>74</v>
      </c>
    </row>
    <row r="23" spans="8:31">
      <c r="Q23" t="s">
        <v>648</v>
      </c>
      <c r="R23" s="65">
        <v>3</v>
      </c>
      <c r="S23" s="65">
        <v>79</v>
      </c>
      <c r="T23" s="65">
        <v>30</v>
      </c>
      <c r="U23" s="65">
        <v>6</v>
      </c>
      <c r="V23" s="65">
        <v>118</v>
      </c>
      <c r="X23" s="65" t="s">
        <v>648</v>
      </c>
      <c r="Y23" s="65">
        <v>235</v>
      </c>
      <c r="Z23" s="65">
        <v>518.5</v>
      </c>
      <c r="AA23" s="65">
        <v>114.5</v>
      </c>
      <c r="AB23" s="65">
        <v>148.69999999999999</v>
      </c>
      <c r="AC23" s="65">
        <v>1016.7</v>
      </c>
      <c r="AD23" s="21">
        <f>P17</f>
        <v>40205</v>
      </c>
      <c r="AE23" s="65">
        <f>AC23/250</f>
        <v>4.0667999999999997</v>
      </c>
    </row>
    <row r="25" spans="8:31">
      <c r="P25" s="52">
        <v>40240</v>
      </c>
      <c r="Q25" t="s">
        <v>647</v>
      </c>
      <c r="R25" s="65" t="s">
        <v>716</v>
      </c>
      <c r="S25" s="65" t="s">
        <v>7</v>
      </c>
      <c r="T25" s="65" t="s">
        <v>5</v>
      </c>
      <c r="U25" s="65" t="s">
        <v>289</v>
      </c>
      <c r="V25" s="65" t="s">
        <v>648</v>
      </c>
      <c r="X25" s="65" t="s">
        <v>647</v>
      </c>
      <c r="Y25" s="65" t="s">
        <v>716</v>
      </c>
      <c r="Z25" s="65" t="s">
        <v>7</v>
      </c>
      <c r="AA25" s="65" t="s">
        <v>5</v>
      </c>
      <c r="AB25" s="65" t="s">
        <v>289</v>
      </c>
      <c r="AC25" s="65" t="s">
        <v>648</v>
      </c>
    </row>
    <row r="26" spans="8:31">
      <c r="Q26" s="20" t="s">
        <v>197</v>
      </c>
      <c r="S26" s="65">
        <v>19</v>
      </c>
      <c r="T26" s="65">
        <v>1</v>
      </c>
      <c r="V26" s="65">
        <v>20</v>
      </c>
      <c r="X26" s="67" t="s">
        <v>197</v>
      </c>
      <c r="Z26" s="65">
        <v>69</v>
      </c>
      <c r="AA26" s="65">
        <v>3</v>
      </c>
      <c r="AC26" s="65">
        <v>72</v>
      </c>
    </row>
    <row r="27" spans="8:31">
      <c r="Q27" s="20" t="s">
        <v>38</v>
      </c>
      <c r="R27" s="65">
        <v>1</v>
      </c>
      <c r="S27" s="65">
        <v>21</v>
      </c>
      <c r="T27" s="65">
        <v>2</v>
      </c>
      <c r="V27" s="65">
        <v>24</v>
      </c>
      <c r="X27" s="67" t="s">
        <v>38</v>
      </c>
      <c r="Y27" s="65">
        <v>45</v>
      </c>
      <c r="Z27" s="65">
        <v>299.5</v>
      </c>
      <c r="AA27" s="65">
        <v>10.5</v>
      </c>
      <c r="AC27" s="65">
        <v>355</v>
      </c>
    </row>
    <row r="28" spans="8:31">
      <c r="Q28" s="20" t="s">
        <v>10</v>
      </c>
      <c r="R28" s="65">
        <v>1</v>
      </c>
      <c r="S28" s="65">
        <v>31</v>
      </c>
      <c r="T28" s="65">
        <v>8</v>
      </c>
      <c r="U28" s="65">
        <v>2</v>
      </c>
      <c r="V28" s="65">
        <v>42</v>
      </c>
      <c r="X28" s="67" t="s">
        <v>10</v>
      </c>
      <c r="Y28" s="65">
        <v>180</v>
      </c>
      <c r="Z28" s="65">
        <v>134.5</v>
      </c>
      <c r="AA28" s="65">
        <v>14.5</v>
      </c>
      <c r="AB28" s="65">
        <v>5.7</v>
      </c>
      <c r="AC28" s="65">
        <v>334.7</v>
      </c>
    </row>
    <row r="29" spans="8:31">
      <c r="Q29" s="20" t="s">
        <v>12</v>
      </c>
      <c r="S29" s="65">
        <v>25</v>
      </c>
      <c r="T29" s="65">
        <v>9</v>
      </c>
      <c r="U29" s="65">
        <v>3</v>
      </c>
      <c r="V29" s="65">
        <v>37</v>
      </c>
      <c r="X29" s="67" t="s">
        <v>12</v>
      </c>
      <c r="Z29" s="65">
        <v>75.5</v>
      </c>
      <c r="AA29" s="65">
        <v>34</v>
      </c>
      <c r="AB29" s="65">
        <v>91</v>
      </c>
      <c r="AC29" s="65">
        <v>200.5</v>
      </c>
    </row>
    <row r="30" spans="8:31">
      <c r="Q30" s="20" t="s">
        <v>684</v>
      </c>
      <c r="S30" s="65">
        <v>2</v>
      </c>
      <c r="T30" s="65">
        <v>3</v>
      </c>
      <c r="U30" s="65">
        <v>1</v>
      </c>
      <c r="V30" s="65">
        <v>6</v>
      </c>
      <c r="X30" s="67" t="s">
        <v>684</v>
      </c>
      <c r="Z30" s="65">
        <v>3.5</v>
      </c>
      <c r="AA30" s="65">
        <v>8</v>
      </c>
      <c r="AB30" s="65">
        <v>52</v>
      </c>
      <c r="AC30" s="65">
        <v>63.5</v>
      </c>
    </row>
    <row r="31" spans="8:31">
      <c r="H31" s="3" t="s">
        <v>725</v>
      </c>
      <c r="Q31" s="20" t="s">
        <v>648</v>
      </c>
      <c r="R31" s="65">
        <v>2</v>
      </c>
      <c r="S31" s="65">
        <v>98</v>
      </c>
      <c r="T31" s="65">
        <v>23</v>
      </c>
      <c r="U31" s="65">
        <v>6</v>
      </c>
      <c r="V31" s="65">
        <v>129</v>
      </c>
      <c r="X31" s="67" t="s">
        <v>648</v>
      </c>
      <c r="Y31" s="65">
        <v>225</v>
      </c>
      <c r="Z31" s="65">
        <v>582</v>
      </c>
      <c r="AA31" s="65">
        <v>70</v>
      </c>
      <c r="AB31" s="65">
        <v>148.69999999999999</v>
      </c>
      <c r="AC31" s="65">
        <v>1025.7</v>
      </c>
      <c r="AD31" s="21">
        <f>P25</f>
        <v>40240</v>
      </c>
      <c r="AE31" s="65">
        <f>AC31/250</f>
        <v>4.1028000000000002</v>
      </c>
    </row>
    <row r="33" spans="1:31">
      <c r="P33" s="52">
        <v>40291</v>
      </c>
      <c r="Q33" t="s">
        <v>647</v>
      </c>
      <c r="R33" s="65" t="s">
        <v>716</v>
      </c>
      <c r="S33" s="65" t="s">
        <v>7</v>
      </c>
      <c r="T33" s="65" t="s">
        <v>5</v>
      </c>
      <c r="U33" s="65" t="s">
        <v>289</v>
      </c>
      <c r="V33" s="65" t="s">
        <v>648</v>
      </c>
      <c r="X33" s="65" t="s">
        <v>647</v>
      </c>
      <c r="Y33" s="65" t="s">
        <v>716</v>
      </c>
      <c r="Z33" s="65" t="s">
        <v>7</v>
      </c>
      <c r="AA33" s="65" t="s">
        <v>5</v>
      </c>
      <c r="AB33" s="65" t="s">
        <v>289</v>
      </c>
      <c r="AC33" s="65" t="s">
        <v>648</v>
      </c>
    </row>
    <row r="34" spans="1:31">
      <c r="Q34" t="s">
        <v>197</v>
      </c>
      <c r="S34" s="65">
        <v>19</v>
      </c>
      <c r="T34" s="65">
        <v>1</v>
      </c>
      <c r="V34" s="65">
        <v>20</v>
      </c>
      <c r="X34" s="65" t="s">
        <v>197</v>
      </c>
      <c r="Z34" s="65">
        <v>69</v>
      </c>
      <c r="AA34" s="65">
        <v>3</v>
      </c>
      <c r="AC34" s="65">
        <v>72</v>
      </c>
    </row>
    <row r="35" spans="1:31">
      <c r="A35" s="19" t="s">
        <v>2</v>
      </c>
      <c r="B35" t="s">
        <v>1183</v>
      </c>
      <c r="Q35" t="s">
        <v>38</v>
      </c>
      <c r="R35" s="65">
        <v>1</v>
      </c>
      <c r="S35" s="65">
        <v>31</v>
      </c>
      <c r="T35" s="65">
        <v>4</v>
      </c>
      <c r="U35" s="65">
        <v>1</v>
      </c>
      <c r="V35" s="65">
        <v>37</v>
      </c>
      <c r="X35" s="65" t="s">
        <v>38</v>
      </c>
      <c r="Y35" s="65">
        <v>45</v>
      </c>
      <c r="Z35" s="65">
        <v>108</v>
      </c>
      <c r="AA35" s="65">
        <v>13.5</v>
      </c>
      <c r="AB35" s="65">
        <v>0.5</v>
      </c>
      <c r="AC35" s="65">
        <v>167</v>
      </c>
    </row>
    <row r="36" spans="1:31">
      <c r="Q36" t="s">
        <v>10</v>
      </c>
      <c r="R36" s="65">
        <v>1</v>
      </c>
      <c r="S36" s="65">
        <v>31</v>
      </c>
      <c r="T36" s="65">
        <v>11</v>
      </c>
      <c r="V36" s="65">
        <v>43</v>
      </c>
      <c r="X36" s="65" t="s">
        <v>10</v>
      </c>
      <c r="Y36" s="65">
        <v>180</v>
      </c>
      <c r="Z36" s="65">
        <v>97</v>
      </c>
      <c r="AA36" s="65">
        <v>34</v>
      </c>
      <c r="AC36" s="65">
        <v>311</v>
      </c>
    </row>
    <row r="37" spans="1:31">
      <c r="A37" s="19" t="s">
        <v>651</v>
      </c>
      <c r="B37" s="19" t="s">
        <v>649</v>
      </c>
      <c r="Q37" t="s">
        <v>12</v>
      </c>
      <c r="S37" s="65">
        <v>27</v>
      </c>
      <c r="T37" s="65">
        <v>10</v>
      </c>
      <c r="U37" s="65">
        <v>4</v>
      </c>
      <c r="V37" s="65">
        <v>41</v>
      </c>
      <c r="X37" s="65" t="s">
        <v>12</v>
      </c>
      <c r="Z37" s="65">
        <v>80</v>
      </c>
      <c r="AA37" s="65">
        <v>33</v>
      </c>
      <c r="AB37" s="65">
        <v>96.2</v>
      </c>
      <c r="AC37" s="65">
        <v>209.2</v>
      </c>
    </row>
    <row r="38" spans="1:31">
      <c r="A38" s="19" t="s">
        <v>647</v>
      </c>
      <c r="B38" t="s">
        <v>5</v>
      </c>
      <c r="C38" t="s">
        <v>7</v>
      </c>
      <c r="D38" t="s">
        <v>648</v>
      </c>
      <c r="Q38" t="s">
        <v>684</v>
      </c>
      <c r="S38" s="65">
        <v>7</v>
      </c>
      <c r="T38" s="65">
        <v>1</v>
      </c>
      <c r="U38" s="65">
        <v>1</v>
      </c>
      <c r="V38" s="65">
        <v>9</v>
      </c>
      <c r="X38" s="65" t="s">
        <v>684</v>
      </c>
      <c r="Z38" s="65">
        <v>10.5</v>
      </c>
      <c r="AA38" s="65">
        <v>2</v>
      </c>
      <c r="AB38" s="65">
        <v>52</v>
      </c>
      <c r="AC38" s="65">
        <v>64.5</v>
      </c>
    </row>
    <row r="39" spans="1:31">
      <c r="A39" s="20" t="s">
        <v>10</v>
      </c>
      <c r="B39" s="62">
        <v>4</v>
      </c>
      <c r="C39" s="62">
        <v>28</v>
      </c>
      <c r="D39" s="62">
        <v>32</v>
      </c>
      <c r="Q39" t="s">
        <v>648</v>
      </c>
      <c r="R39" s="65">
        <v>2</v>
      </c>
      <c r="S39" s="65">
        <v>115</v>
      </c>
      <c r="T39" s="65">
        <v>27</v>
      </c>
      <c r="U39" s="65">
        <v>6</v>
      </c>
      <c r="V39" s="65">
        <v>150</v>
      </c>
      <c r="X39" s="65" t="s">
        <v>648</v>
      </c>
      <c r="Y39" s="65">
        <v>225</v>
      </c>
      <c r="Z39" s="65">
        <v>364.5</v>
      </c>
      <c r="AA39" s="65">
        <v>85.5</v>
      </c>
      <c r="AB39" s="65">
        <v>148.69999999999999</v>
      </c>
      <c r="AC39" s="65">
        <v>823.7</v>
      </c>
      <c r="AD39" s="21">
        <f>P33</f>
        <v>40291</v>
      </c>
      <c r="AE39" s="65">
        <f>AC39/250</f>
        <v>3.2948000000000004</v>
      </c>
    </row>
    <row r="40" spans="1:31">
      <c r="A40" s="20" t="s">
        <v>12</v>
      </c>
      <c r="B40" s="62">
        <v>4</v>
      </c>
      <c r="C40" s="62">
        <v>27</v>
      </c>
      <c r="D40" s="62">
        <v>31</v>
      </c>
    </row>
    <row r="41" spans="1:31">
      <c r="A41" s="20" t="s">
        <v>684</v>
      </c>
      <c r="B41" s="62">
        <v>1</v>
      </c>
      <c r="C41" s="62"/>
      <c r="D41" s="62">
        <v>1</v>
      </c>
      <c r="P41">
        <v>40353</v>
      </c>
      <c r="Q41" t="s">
        <v>647</v>
      </c>
      <c r="R41" s="65" t="s">
        <v>716</v>
      </c>
      <c r="S41" s="65" t="s">
        <v>7</v>
      </c>
      <c r="T41" s="65" t="s">
        <v>5</v>
      </c>
      <c r="U41" s="65" t="s">
        <v>289</v>
      </c>
      <c r="V41" s="65" t="s">
        <v>648</v>
      </c>
      <c r="X41" s="65" t="s">
        <v>647</v>
      </c>
      <c r="Y41" s="65" t="s">
        <v>716</v>
      </c>
      <c r="Z41" s="65" t="s">
        <v>7</v>
      </c>
      <c r="AA41" s="65" t="s">
        <v>5</v>
      </c>
      <c r="AB41" s="65" t="s">
        <v>289</v>
      </c>
      <c r="AC41" s="65" t="s">
        <v>648</v>
      </c>
    </row>
    <row r="42" spans="1:31">
      <c r="A42" s="20" t="s">
        <v>648</v>
      </c>
      <c r="B42" s="62">
        <v>9</v>
      </c>
      <c r="C42" s="62">
        <v>55</v>
      </c>
      <c r="D42" s="62">
        <v>64</v>
      </c>
      <c r="Q42" t="s">
        <v>197</v>
      </c>
      <c r="S42" s="65">
        <v>17</v>
      </c>
      <c r="T42" s="65">
        <v>1</v>
      </c>
      <c r="V42" s="65">
        <v>18</v>
      </c>
      <c r="X42" s="65" t="s">
        <v>197</v>
      </c>
      <c r="Z42" s="65">
        <v>67</v>
      </c>
      <c r="AA42" s="65">
        <v>3</v>
      </c>
      <c r="AC42" s="65">
        <v>70</v>
      </c>
    </row>
    <row r="43" spans="1:31">
      <c r="Q43" t="s">
        <v>38</v>
      </c>
      <c r="R43" s="65">
        <v>1</v>
      </c>
      <c r="S43" s="65">
        <v>27</v>
      </c>
      <c r="T43" s="65">
        <v>4</v>
      </c>
      <c r="U43" s="65">
        <v>1</v>
      </c>
      <c r="V43" s="65">
        <v>33</v>
      </c>
      <c r="X43" s="65" t="s">
        <v>38</v>
      </c>
      <c r="Y43" s="65">
        <v>45</v>
      </c>
      <c r="Z43" s="65">
        <v>99</v>
      </c>
      <c r="AA43" s="65">
        <v>13.5</v>
      </c>
      <c r="AB43" s="65">
        <v>0.5</v>
      </c>
      <c r="AC43" s="65">
        <v>158</v>
      </c>
    </row>
    <row r="44" spans="1:31">
      <c r="Q44" t="s">
        <v>10</v>
      </c>
      <c r="R44" s="65">
        <v>1</v>
      </c>
      <c r="S44" s="65">
        <v>58</v>
      </c>
      <c r="T44" s="65">
        <v>13</v>
      </c>
      <c r="V44" s="65">
        <v>72</v>
      </c>
      <c r="X44" s="65" t="s">
        <v>10</v>
      </c>
      <c r="Y44" s="65">
        <v>180</v>
      </c>
      <c r="Z44" s="65">
        <v>150</v>
      </c>
      <c r="AA44" s="65">
        <v>26</v>
      </c>
      <c r="AC44" s="65">
        <v>356</v>
      </c>
    </row>
    <row r="45" spans="1:31">
      <c r="Q45" t="s">
        <v>12</v>
      </c>
      <c r="S45" s="65">
        <v>28</v>
      </c>
      <c r="T45" s="65">
        <v>8</v>
      </c>
      <c r="U45" s="65">
        <v>5</v>
      </c>
      <c r="V45" s="65">
        <v>41</v>
      </c>
      <c r="X45" s="65" t="s">
        <v>12</v>
      </c>
      <c r="Z45" s="65">
        <v>54</v>
      </c>
      <c r="AA45" s="65">
        <v>48</v>
      </c>
      <c r="AB45" s="65">
        <v>102.7</v>
      </c>
      <c r="AC45" s="65">
        <v>204.7</v>
      </c>
    </row>
    <row r="46" spans="1:31">
      <c r="A46" s="19" t="s">
        <v>4</v>
      </c>
      <c r="B46" t="s">
        <v>7</v>
      </c>
      <c r="Q46" t="s">
        <v>684</v>
      </c>
      <c r="S46" s="65">
        <v>4</v>
      </c>
      <c r="T46" s="65">
        <v>2</v>
      </c>
      <c r="V46" s="65">
        <v>6</v>
      </c>
      <c r="X46" s="65" t="s">
        <v>684</v>
      </c>
      <c r="AA46" s="65">
        <v>39</v>
      </c>
      <c r="AC46" s="65">
        <v>39</v>
      </c>
    </row>
    <row r="47" spans="1:31">
      <c r="Q47" t="s">
        <v>648</v>
      </c>
      <c r="R47" s="65">
        <v>2</v>
      </c>
      <c r="S47" s="65">
        <v>134</v>
      </c>
      <c r="T47" s="65">
        <v>28</v>
      </c>
      <c r="U47" s="65">
        <v>6</v>
      </c>
      <c r="V47" s="65">
        <v>170</v>
      </c>
      <c r="X47" s="65" t="s">
        <v>648</v>
      </c>
      <c r="Y47" s="65">
        <v>225</v>
      </c>
      <c r="Z47" s="65">
        <v>370</v>
      </c>
      <c r="AA47" s="65">
        <v>129.5</v>
      </c>
      <c r="AB47" s="65">
        <v>103.2</v>
      </c>
      <c r="AC47" s="65">
        <v>827.7</v>
      </c>
      <c r="AD47" s="21">
        <f>P41</f>
        <v>40353</v>
      </c>
      <c r="AE47" s="65">
        <f>AC47/250</f>
        <v>3.3108</v>
      </c>
    </row>
    <row r="48" spans="1:31">
      <c r="A48" s="19" t="s">
        <v>647</v>
      </c>
      <c r="B48" t="s">
        <v>651</v>
      </c>
    </row>
    <row r="49" spans="1:31">
      <c r="A49" s="20" t="s">
        <v>1098</v>
      </c>
      <c r="B49" s="62">
        <v>42</v>
      </c>
      <c r="P49">
        <v>40394</v>
      </c>
      <c r="Q49" t="s">
        <v>647</v>
      </c>
      <c r="R49" s="65" t="s">
        <v>716</v>
      </c>
      <c r="S49" s="65" t="s">
        <v>7</v>
      </c>
      <c r="T49" s="65" t="s">
        <v>5</v>
      </c>
      <c r="U49" s="65" t="s">
        <v>289</v>
      </c>
      <c r="V49" s="65" t="s">
        <v>648</v>
      </c>
      <c r="X49" s="65" t="s">
        <v>647</v>
      </c>
      <c r="Y49" s="65" t="s">
        <v>716</v>
      </c>
      <c r="Z49" s="65" t="s">
        <v>7</v>
      </c>
      <c r="AA49" s="65" t="s">
        <v>5</v>
      </c>
      <c r="AB49" s="65" t="s">
        <v>289</v>
      </c>
      <c r="AC49" s="65" t="s">
        <v>648</v>
      </c>
    </row>
    <row r="50" spans="1:31">
      <c r="A50" s="20" t="s">
        <v>1099</v>
      </c>
      <c r="B50" s="62">
        <v>82</v>
      </c>
      <c r="Q50" t="s">
        <v>197</v>
      </c>
      <c r="S50" s="65">
        <v>17</v>
      </c>
      <c r="T50" s="65">
        <v>1</v>
      </c>
      <c r="V50" s="65">
        <v>18</v>
      </c>
      <c r="X50" s="65" t="s">
        <v>197</v>
      </c>
      <c r="Z50" s="65">
        <v>66</v>
      </c>
      <c r="AA50" s="65">
        <v>3</v>
      </c>
      <c r="AC50" s="65">
        <v>69</v>
      </c>
    </row>
    <row r="51" spans="1:31">
      <c r="A51" s="20" t="s">
        <v>648</v>
      </c>
      <c r="B51" s="62">
        <v>124</v>
      </c>
      <c r="Q51" t="s">
        <v>38</v>
      </c>
      <c r="R51" s="65">
        <v>1</v>
      </c>
      <c r="S51" s="65">
        <v>22</v>
      </c>
      <c r="T51" s="65">
        <v>4</v>
      </c>
      <c r="U51" s="65">
        <v>1</v>
      </c>
      <c r="V51" s="65">
        <v>28</v>
      </c>
      <c r="X51" s="65" t="s">
        <v>38</v>
      </c>
      <c r="Y51" s="65">
        <v>45</v>
      </c>
      <c r="Z51" s="65">
        <v>67</v>
      </c>
      <c r="AA51" s="65">
        <v>13.5</v>
      </c>
      <c r="AB51" s="65">
        <v>0.5</v>
      </c>
      <c r="AC51" s="65">
        <v>126</v>
      </c>
    </row>
    <row r="52" spans="1:31">
      <c r="Q52" t="s">
        <v>10</v>
      </c>
      <c r="R52" s="65">
        <v>1</v>
      </c>
      <c r="S52" s="65">
        <v>76</v>
      </c>
      <c r="T52" s="65">
        <v>11</v>
      </c>
      <c r="V52" s="65">
        <v>88</v>
      </c>
      <c r="X52" s="65" t="s">
        <v>10</v>
      </c>
      <c r="Y52" s="65">
        <v>180</v>
      </c>
      <c r="Z52" s="65">
        <v>178.5</v>
      </c>
      <c r="AA52" s="65">
        <v>34.5</v>
      </c>
      <c r="AC52" s="65">
        <v>393</v>
      </c>
    </row>
    <row r="53" spans="1:31">
      <c r="Q53" t="s">
        <v>12</v>
      </c>
      <c r="S53" s="65">
        <v>34</v>
      </c>
      <c r="T53" s="65">
        <v>6</v>
      </c>
      <c r="U53" s="65">
        <v>5</v>
      </c>
      <c r="V53" s="65">
        <v>45</v>
      </c>
      <c r="X53" s="65" t="s">
        <v>12</v>
      </c>
      <c r="Z53" s="65">
        <v>78</v>
      </c>
      <c r="AA53" s="65">
        <v>14</v>
      </c>
      <c r="AB53" s="65">
        <v>102.7</v>
      </c>
      <c r="AC53" s="65">
        <v>194.7</v>
      </c>
    </row>
    <row r="54" spans="1:31">
      <c r="Q54" t="s">
        <v>684</v>
      </c>
      <c r="S54" s="65">
        <v>1</v>
      </c>
      <c r="T54" s="65">
        <v>3</v>
      </c>
      <c r="V54" s="65">
        <v>4</v>
      </c>
      <c r="X54" s="65" t="s">
        <v>684</v>
      </c>
      <c r="Z54" s="65">
        <v>1</v>
      </c>
      <c r="AA54" s="65">
        <v>4</v>
      </c>
      <c r="AC54" s="65">
        <v>5</v>
      </c>
    </row>
    <row r="55" spans="1:31">
      <c r="Q55" t="s">
        <v>648</v>
      </c>
      <c r="R55" s="65">
        <v>2</v>
      </c>
      <c r="S55" s="65">
        <v>150</v>
      </c>
      <c r="T55" s="65">
        <v>25</v>
      </c>
      <c r="U55" s="65">
        <v>6</v>
      </c>
      <c r="V55" s="65">
        <v>183</v>
      </c>
      <c r="X55" s="65" t="s">
        <v>648</v>
      </c>
      <c r="Y55" s="65">
        <v>225</v>
      </c>
      <c r="Z55" s="65">
        <v>390.5</v>
      </c>
      <c r="AA55" s="65">
        <v>69</v>
      </c>
      <c r="AB55" s="65">
        <v>103.2</v>
      </c>
      <c r="AC55" s="65">
        <v>787.7</v>
      </c>
      <c r="AD55" s="21">
        <f>P49</f>
        <v>40394</v>
      </c>
      <c r="AE55" s="65">
        <f>AC55/250</f>
        <v>3.1508000000000003</v>
      </c>
    </row>
    <row r="57" spans="1:31">
      <c r="P57">
        <v>40406</v>
      </c>
      <c r="Q57" t="s">
        <v>647</v>
      </c>
      <c r="R57" s="65" t="s">
        <v>716</v>
      </c>
      <c r="S57" s="65" t="s">
        <v>7</v>
      </c>
      <c r="T57" s="65" t="s">
        <v>5</v>
      </c>
      <c r="U57" s="65" t="s">
        <v>289</v>
      </c>
      <c r="V57" s="65" t="s">
        <v>648</v>
      </c>
      <c r="X57" s="65" t="s">
        <v>647</v>
      </c>
      <c r="Y57" s="65" t="s">
        <v>716</v>
      </c>
      <c r="Z57" s="65" t="s">
        <v>7</v>
      </c>
      <c r="AA57" s="65" t="s">
        <v>5</v>
      </c>
      <c r="AB57" s="65" t="s">
        <v>289</v>
      </c>
      <c r="AC57" s="65" t="s">
        <v>648</v>
      </c>
    </row>
    <row r="58" spans="1:31">
      <c r="Q58" t="s">
        <v>197</v>
      </c>
      <c r="S58" s="65">
        <v>18</v>
      </c>
      <c r="V58" s="65">
        <v>18</v>
      </c>
      <c r="X58" s="65" t="s">
        <v>197</v>
      </c>
      <c r="Z58" s="65">
        <v>68</v>
      </c>
      <c r="AC58" s="65">
        <v>68</v>
      </c>
    </row>
    <row r="59" spans="1:31">
      <c r="Q59" t="s">
        <v>38</v>
      </c>
      <c r="R59" s="65">
        <v>1</v>
      </c>
      <c r="S59" s="65">
        <v>26</v>
      </c>
      <c r="T59" s="65">
        <v>4</v>
      </c>
      <c r="U59" s="65">
        <v>1</v>
      </c>
      <c r="V59" s="65">
        <v>32</v>
      </c>
      <c r="X59" s="65" t="s">
        <v>38</v>
      </c>
      <c r="Y59" s="65">
        <v>45</v>
      </c>
      <c r="Z59" s="65">
        <v>76</v>
      </c>
      <c r="AA59" s="65">
        <v>17</v>
      </c>
      <c r="AB59" s="65">
        <v>0.5</v>
      </c>
      <c r="AC59" s="65">
        <v>138.5</v>
      </c>
    </row>
    <row r="60" spans="1:31">
      <c r="Q60" t="s">
        <v>10</v>
      </c>
      <c r="R60" s="65">
        <v>1</v>
      </c>
      <c r="S60" s="65">
        <v>83</v>
      </c>
      <c r="T60" s="65">
        <v>11</v>
      </c>
      <c r="V60" s="65">
        <v>95</v>
      </c>
      <c r="X60" s="65" t="s">
        <v>10</v>
      </c>
      <c r="Y60" s="65">
        <v>180</v>
      </c>
      <c r="Z60" s="65">
        <v>189.5</v>
      </c>
      <c r="AA60" s="65">
        <v>34</v>
      </c>
      <c r="AC60" s="65">
        <v>403.5</v>
      </c>
    </row>
    <row r="61" spans="1:31">
      <c r="Q61" t="s">
        <v>12</v>
      </c>
      <c r="S61" s="65">
        <v>21</v>
      </c>
      <c r="T61" s="65">
        <v>7</v>
      </c>
      <c r="U61" s="65">
        <v>2</v>
      </c>
      <c r="V61" s="65">
        <v>30</v>
      </c>
      <c r="X61" s="65" t="s">
        <v>12</v>
      </c>
      <c r="Z61" s="65">
        <v>46.5</v>
      </c>
      <c r="AA61" s="65">
        <v>22.5</v>
      </c>
      <c r="AB61" s="65">
        <v>78</v>
      </c>
      <c r="AC61" s="65">
        <v>147</v>
      </c>
    </row>
    <row r="62" spans="1:31">
      <c r="Q62" t="s">
        <v>684</v>
      </c>
      <c r="S62" s="65">
        <v>1</v>
      </c>
      <c r="T62" s="65">
        <v>4</v>
      </c>
      <c r="V62" s="65">
        <v>5</v>
      </c>
      <c r="X62" s="65" t="s">
        <v>684</v>
      </c>
      <c r="Z62" s="65">
        <v>2</v>
      </c>
      <c r="AA62" s="65">
        <v>7</v>
      </c>
      <c r="AC62" s="65">
        <v>9</v>
      </c>
    </row>
    <row r="63" spans="1:31">
      <c r="Q63" t="s">
        <v>648</v>
      </c>
      <c r="R63" s="65">
        <v>2</v>
      </c>
      <c r="S63" s="65">
        <v>149</v>
      </c>
      <c r="T63" s="65">
        <v>26</v>
      </c>
      <c r="U63" s="65">
        <v>3</v>
      </c>
      <c r="V63" s="65">
        <v>180</v>
      </c>
      <c r="X63" s="65" t="s">
        <v>648</v>
      </c>
      <c r="Y63" s="65">
        <v>225</v>
      </c>
      <c r="Z63" s="65">
        <v>382</v>
      </c>
      <c r="AA63" s="65">
        <v>80.5</v>
      </c>
      <c r="AB63" s="65">
        <v>78.5</v>
      </c>
      <c r="AC63" s="65">
        <v>766</v>
      </c>
      <c r="AD63" s="21">
        <f>P57</f>
        <v>40406</v>
      </c>
      <c r="AE63" s="65">
        <f>AC63/250</f>
        <v>3.0640000000000001</v>
      </c>
    </row>
    <row r="65" spans="16:32">
      <c r="P65">
        <v>40521</v>
      </c>
      <c r="Q65" t="s">
        <v>647</v>
      </c>
      <c r="R65" s="65" t="s">
        <v>716</v>
      </c>
      <c r="S65" s="65" t="s">
        <v>7</v>
      </c>
      <c r="T65" s="65" t="s">
        <v>5</v>
      </c>
      <c r="U65" s="65" t="s">
        <v>289</v>
      </c>
      <c r="V65" s="65" t="s">
        <v>648</v>
      </c>
      <c r="X65" s="65" t="s">
        <v>647</v>
      </c>
      <c r="Y65" s="65" t="s">
        <v>716</v>
      </c>
      <c r="Z65" s="65" t="s">
        <v>7</v>
      </c>
      <c r="AA65" s="65" t="s">
        <v>5</v>
      </c>
      <c r="AB65" s="65" t="s">
        <v>289</v>
      </c>
      <c r="AC65" s="65" t="s">
        <v>648</v>
      </c>
    </row>
    <row r="66" spans="16:32">
      <c r="Q66" t="s">
        <v>197</v>
      </c>
      <c r="S66" s="65">
        <v>20</v>
      </c>
      <c r="V66" s="65">
        <v>20</v>
      </c>
      <c r="X66" s="65" t="s">
        <v>197</v>
      </c>
      <c r="Z66" s="65">
        <v>71.5</v>
      </c>
      <c r="AC66" s="65">
        <v>71.5</v>
      </c>
    </row>
    <row r="67" spans="16:32">
      <c r="Q67" t="s">
        <v>38</v>
      </c>
      <c r="R67" s="65">
        <v>3</v>
      </c>
      <c r="S67" s="65">
        <v>37</v>
      </c>
      <c r="T67" s="65">
        <v>4</v>
      </c>
      <c r="U67" s="65">
        <v>1</v>
      </c>
      <c r="V67" s="65">
        <v>45</v>
      </c>
      <c r="X67" s="65" t="s">
        <v>38</v>
      </c>
      <c r="Y67" s="65">
        <v>47</v>
      </c>
      <c r="Z67" s="65">
        <v>94.5</v>
      </c>
      <c r="AA67" s="65">
        <v>17</v>
      </c>
      <c r="AB67" s="65">
        <v>0.5</v>
      </c>
      <c r="AC67" s="65">
        <v>159</v>
      </c>
    </row>
    <row r="68" spans="16:32">
      <c r="Q68" t="s">
        <v>10</v>
      </c>
      <c r="R68" s="65">
        <v>1</v>
      </c>
      <c r="S68" s="65">
        <v>65</v>
      </c>
      <c r="T68" s="65">
        <v>18</v>
      </c>
      <c r="V68" s="65">
        <v>84</v>
      </c>
      <c r="X68" s="65" t="s">
        <v>10</v>
      </c>
      <c r="Y68" s="65">
        <v>180</v>
      </c>
      <c r="Z68" s="65">
        <v>130.5</v>
      </c>
      <c r="AA68" s="65">
        <v>55</v>
      </c>
      <c r="AC68" s="65">
        <v>365.5</v>
      </c>
    </row>
    <row r="69" spans="16:32">
      <c r="Q69" t="s">
        <v>12</v>
      </c>
      <c r="S69" s="65">
        <v>22</v>
      </c>
      <c r="T69" s="65">
        <v>19</v>
      </c>
      <c r="U69" s="65">
        <v>2</v>
      </c>
      <c r="V69" s="65">
        <v>43</v>
      </c>
      <c r="X69" s="65" t="s">
        <v>12</v>
      </c>
      <c r="Z69" s="65">
        <v>30.7</v>
      </c>
      <c r="AA69" s="65">
        <v>53.5</v>
      </c>
      <c r="AB69" s="65">
        <v>78</v>
      </c>
      <c r="AC69" s="65">
        <v>162.19999999999999</v>
      </c>
    </row>
    <row r="70" spans="16:32">
      <c r="Q70" t="s">
        <v>684</v>
      </c>
      <c r="S70" s="65">
        <v>2</v>
      </c>
      <c r="T70" s="65">
        <v>8</v>
      </c>
      <c r="V70" s="65">
        <v>10</v>
      </c>
      <c r="X70" s="65" t="s">
        <v>684</v>
      </c>
      <c r="Z70" s="65">
        <v>5.0999999999999996</v>
      </c>
      <c r="AA70" s="65">
        <v>17.5</v>
      </c>
      <c r="AC70" s="65">
        <v>22.6</v>
      </c>
    </row>
    <row r="71" spans="16:32">
      <c r="Q71" t="s">
        <v>648</v>
      </c>
      <c r="R71" s="65">
        <v>4</v>
      </c>
      <c r="S71" s="65">
        <v>146</v>
      </c>
      <c r="T71" s="65">
        <v>49</v>
      </c>
      <c r="U71" s="65">
        <v>3</v>
      </c>
      <c r="V71" s="65">
        <v>202</v>
      </c>
      <c r="X71" s="65" t="s">
        <v>648</v>
      </c>
      <c r="Y71" s="65">
        <v>227</v>
      </c>
      <c r="Z71" s="65">
        <v>332.3</v>
      </c>
      <c r="AA71" s="65">
        <v>143</v>
      </c>
      <c r="AB71" s="65">
        <v>78.5</v>
      </c>
      <c r="AC71" s="65">
        <v>780.80000000000007</v>
      </c>
      <c r="AD71" s="21">
        <f>P65</f>
        <v>40521</v>
      </c>
      <c r="AE71" s="65">
        <f>AC71/250</f>
        <v>3.1232000000000002</v>
      </c>
      <c r="AF71" s="62">
        <f>AD71</f>
        <v>40521</v>
      </c>
    </row>
  </sheetData>
  <pageMargins left="0.7" right="0.7" top="0.75" bottom="0.75" header="0.3" footer="0.3"/>
  <pageSetup orientation="portrait" r:id="rId5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WorkList</vt:lpstr>
      <vt:lpstr>TaskPlan</vt:lpstr>
      <vt:lpstr>Projects</vt:lpstr>
      <vt:lpstr>Summary</vt:lpstr>
    </vt:vector>
  </TitlesOfParts>
  <Company>Lehman Brothers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nmarriso</dc:creator>
  <cp:lastModifiedBy>Neil Marrison</cp:lastModifiedBy>
  <cp:lastPrinted>2010-04-20T08:21:06Z</cp:lastPrinted>
  <dcterms:created xsi:type="dcterms:W3CDTF">2007-11-07T09:43:27Z</dcterms:created>
  <dcterms:modified xsi:type="dcterms:W3CDTF">2011-02-25T23:41:53Z</dcterms:modified>
</cp:coreProperties>
</file>